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45356</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45356</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45356</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45356</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45356</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45356</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45356</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45356</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45356</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45356</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45356</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45356</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45356</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45356</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45356</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45356</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45356</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45356</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45356</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45356</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45356</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45356</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45356</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45356</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45356</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45356</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45356</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45356</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45356</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45356</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45356</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45356</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45356</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45356</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45356</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45356</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45356</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45356</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45356</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45356</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45356</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45356</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45356</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45356</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45356</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45356</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45356</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45356</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45356</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45356</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45356</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45356</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45356</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45356</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45356</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45356</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45356</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45356</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45356</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45356</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45356</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45356</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45356</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45356</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45356</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45356</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45356</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45356</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45356</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45356</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45356</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45356</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45356</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45356</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45356</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45356</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45356</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45356</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45356</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45356</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45356</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45356</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45356</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45356</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45356</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45356</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45356</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45356</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45356</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45356</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45356</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45356</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45356</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45356</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45356</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45356</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45356</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45356</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45356</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45356</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45356</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45356</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45356</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45356</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45356</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45356</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45356</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45356</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45356</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45356</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45356</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45356</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45356</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45356</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45356</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45356</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45356</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45356</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45356</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45356</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45356</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45356</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45356</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45356</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45356</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45356</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45356</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45356</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45356</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45356</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45356</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45356</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45356</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45356</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45356</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45356</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45356</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45356</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45356</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45356</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45356</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45356</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45356</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45356</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45356</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45356</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45356</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45356</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45356</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45356</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45356</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45356</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45356</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45356</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45356</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45356</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45356</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45356</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45356</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45356</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45356</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45356</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45356</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45356</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45356</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45356</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45356</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45356</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45356</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45356</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45356</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45356</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45356</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45356</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45356</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45356</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45356</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45356</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45356</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45356</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45356</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45356</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45356</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45356</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45356</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45356</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45356</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45356</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45356</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45356</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45356</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45356</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45356</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45356</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45356</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45356</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45356</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45356</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45356</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45356</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45356</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45356</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45356</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45356</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45356</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45356</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45356</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45356</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45356</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45356</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45356</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45356</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45356</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45356</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45356</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45356</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45356</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45356</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45356</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45356</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45356</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45356</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45356</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45356</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45356</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45356</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45356</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45356</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45356</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45356</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390-2024</t>
        </is>
      </c>
      <c r="B232" s="1" t="n">
        <v>45296</v>
      </c>
      <c r="C232" s="1" t="n">
        <v>45356</v>
      </c>
      <c r="D232" t="inlineStr">
        <is>
          <t>NORRBOTTENS LÄN</t>
        </is>
      </c>
      <c r="E232" t="inlineStr">
        <is>
          <t>PITEÅ</t>
        </is>
      </c>
      <c r="G232" t="n">
        <v>4.9</v>
      </c>
      <c r="H232" t="n">
        <v>2</v>
      </c>
      <c r="I232" t="n">
        <v>0</v>
      </c>
      <c r="J232" t="n">
        <v>4</v>
      </c>
      <c r="K232" t="n">
        <v>0</v>
      </c>
      <c r="L232" t="n">
        <v>0</v>
      </c>
      <c r="M232" t="n">
        <v>0</v>
      </c>
      <c r="N232" t="n">
        <v>0</v>
      </c>
      <c r="O232" t="n">
        <v>4</v>
      </c>
      <c r="P232" t="n">
        <v>0</v>
      </c>
      <c r="Q232" t="n">
        <v>4</v>
      </c>
      <c r="R232" s="2" t="inlineStr">
        <is>
          <t>Garnlav
Spillkråka
Talltita
Ullticka</t>
        </is>
      </c>
      <c r="S232">
        <f>HYPERLINK("https://klasma.github.io/Logging_2581/artfynd/A 390-2024 artfynd.xlsx", "A 390-2024")</f>
        <v/>
      </c>
      <c r="T232">
        <f>HYPERLINK("https://klasma.github.io/Logging_2581/kartor/A 390-2024 karta.png", "A 390-2024")</f>
        <v/>
      </c>
      <c r="V232">
        <f>HYPERLINK("https://klasma.github.io/Logging_2581/klagomål/A 390-2024 FSC-klagomål.docx", "A 390-2024")</f>
        <v/>
      </c>
      <c r="W232">
        <f>HYPERLINK("https://klasma.github.io/Logging_2581/klagomålsmail/A 390-2024 FSC-klagomål mail.docx", "A 390-2024")</f>
        <v/>
      </c>
      <c r="X232">
        <f>HYPERLINK("https://klasma.github.io/Logging_2581/tillsyn/A 390-2024 tillsynsbegäran.docx", "A 390-2024")</f>
        <v/>
      </c>
      <c r="Y232">
        <f>HYPERLINK("https://klasma.github.io/Logging_2581/tillsynsmail/A 390-2024 tillsynsbegäran mail.docx", "A 390-2024")</f>
        <v/>
      </c>
      <c r="Z232">
        <f>HYPERLINK("https://klasma.github.io/Logging_2581/fåglar/A 390-2024 prioriterade fågelarter.docx", "A 390-2024")</f>
        <v/>
      </c>
    </row>
    <row r="233" ht="15" customHeight="1">
      <c r="A233" t="inlineStr">
        <is>
          <t>A 3573-2024</t>
        </is>
      </c>
      <c r="B233" s="1" t="n">
        <v>45320</v>
      </c>
      <c r="C233" s="1" t="n">
        <v>45356</v>
      </c>
      <c r="D233" t="inlineStr">
        <is>
          <t>NORRBOTTENS LÄN</t>
        </is>
      </c>
      <c r="E233" t="inlineStr">
        <is>
          <t>ÄLVSBYN</t>
        </is>
      </c>
      <c r="G233" t="n">
        <v>5.5</v>
      </c>
      <c r="H233" t="n">
        <v>1</v>
      </c>
      <c r="I233" t="n">
        <v>2</v>
      </c>
      <c r="J233" t="n">
        <v>2</v>
      </c>
      <c r="K233" t="n">
        <v>0</v>
      </c>
      <c r="L233" t="n">
        <v>0</v>
      </c>
      <c r="M233" t="n">
        <v>0</v>
      </c>
      <c r="N233" t="n">
        <v>0</v>
      </c>
      <c r="O233" t="n">
        <v>2</v>
      </c>
      <c r="P233" t="n">
        <v>0</v>
      </c>
      <c r="Q233" t="n">
        <v>4</v>
      </c>
      <c r="R233" s="2" t="inlineStr">
        <is>
          <t>Kolflarnlav
Vedflamlav
Norrlandslav
Plattlummer</t>
        </is>
      </c>
      <c r="S233">
        <f>HYPERLINK("https://klasma.github.io/Logging_2560/artfynd/A 3573-2024 artfynd.xlsx", "A 3573-2024")</f>
        <v/>
      </c>
      <c r="T233">
        <f>HYPERLINK("https://klasma.github.io/Logging_2560/kartor/A 3573-2024 karta.png", "A 3573-2024")</f>
        <v/>
      </c>
      <c r="U233">
        <f>HYPERLINK("https://klasma.github.io/Logging_2560/knärot/A 3573-2024 karta knärot.png", "A 3573-2024")</f>
        <v/>
      </c>
      <c r="V233">
        <f>HYPERLINK("https://klasma.github.io/Logging_2560/klagomål/A 3573-2024 FSC-klagomål.docx", "A 3573-2024")</f>
        <v/>
      </c>
      <c r="W233">
        <f>HYPERLINK("https://klasma.github.io/Logging_2560/klagomålsmail/A 3573-2024 FSC-klagomål mail.docx", "A 3573-2024")</f>
        <v/>
      </c>
      <c r="X233">
        <f>HYPERLINK("https://klasma.github.io/Logging_2560/tillsyn/A 3573-2024 tillsynsbegäran.docx", "A 3573-2024")</f>
        <v/>
      </c>
      <c r="Y233">
        <f>HYPERLINK("https://klasma.github.io/Logging_2560/tillsynsmail/A 3573-2024 tillsynsbegäran mail.docx", "A 3573-2024")</f>
        <v/>
      </c>
    </row>
    <row r="234" ht="15" customHeight="1">
      <c r="A234" t="inlineStr">
        <is>
          <t>A 51860-2018</t>
        </is>
      </c>
      <c r="B234" s="1" t="n">
        <v>43384</v>
      </c>
      <c r="C234" s="1" t="n">
        <v>45356</v>
      </c>
      <c r="D234" t="inlineStr">
        <is>
          <t>NORRBOTTENS LÄN</t>
        </is>
      </c>
      <c r="E234" t="inlineStr">
        <is>
          <t>BODEN</t>
        </is>
      </c>
      <c r="F234" t="inlineStr">
        <is>
          <t>SCA</t>
        </is>
      </c>
      <c r="G234" t="n">
        <v>10.9</v>
      </c>
      <c r="H234" t="n">
        <v>3</v>
      </c>
      <c r="I234" t="n">
        <v>0</v>
      </c>
      <c r="J234" t="n">
        <v>2</v>
      </c>
      <c r="K234" t="n">
        <v>0</v>
      </c>
      <c r="L234" t="n">
        <v>1</v>
      </c>
      <c r="M234" t="n">
        <v>0</v>
      </c>
      <c r="N234" t="n">
        <v>0</v>
      </c>
      <c r="O234" t="n">
        <v>3</v>
      </c>
      <c r="P234" t="n">
        <v>1</v>
      </c>
      <c r="Q234" t="n">
        <v>3</v>
      </c>
      <c r="R234" s="2" t="inlineStr">
        <is>
          <t>Tornseglare
Gulsparv
Rödvingetrast</t>
        </is>
      </c>
      <c r="S234">
        <f>HYPERLINK("https://klasma.github.io/Logging_2582/artfynd/A 51860-2018 artfynd.xlsx", "A 51860-2018")</f>
        <v/>
      </c>
      <c r="T234">
        <f>HYPERLINK("https://klasma.github.io/Logging_2582/kartor/A 51860-2018 karta.png", "A 51860-2018")</f>
        <v/>
      </c>
      <c r="V234">
        <f>HYPERLINK("https://klasma.github.io/Logging_2582/klagomål/A 51860-2018 FSC-klagomål.docx", "A 51860-2018")</f>
        <v/>
      </c>
      <c r="W234">
        <f>HYPERLINK("https://klasma.github.io/Logging_2582/klagomålsmail/A 51860-2018 FSC-klagomål mail.docx", "A 51860-2018")</f>
        <v/>
      </c>
      <c r="X234">
        <f>HYPERLINK("https://klasma.github.io/Logging_2582/tillsyn/A 51860-2018 tillsynsbegäran.docx", "A 51860-2018")</f>
        <v/>
      </c>
      <c r="Y234">
        <f>HYPERLINK("https://klasma.github.io/Logging_2582/tillsynsmail/A 51860-2018 tillsynsbegäran mail.docx", "A 51860-2018")</f>
        <v/>
      </c>
      <c r="Z234">
        <f>HYPERLINK("https://klasma.github.io/Logging_2582/fåglar/A 51860-2018 prioriterade fågelarter.docx", "A 51860-2018")</f>
        <v/>
      </c>
    </row>
    <row r="235" ht="15" customHeight="1">
      <c r="A235" t="inlineStr">
        <is>
          <t>A 17525-2019</t>
        </is>
      </c>
      <c r="B235" s="1" t="n">
        <v>43553</v>
      </c>
      <c r="C235" s="1" t="n">
        <v>45356</v>
      </c>
      <c r="D235" t="inlineStr">
        <is>
          <t>NORRBOTTENS LÄN</t>
        </is>
      </c>
      <c r="E235" t="inlineStr">
        <is>
          <t>LULEÅ</t>
        </is>
      </c>
      <c r="G235" t="n">
        <v>5.5</v>
      </c>
      <c r="H235" t="n">
        <v>0</v>
      </c>
      <c r="I235" t="n">
        <v>0</v>
      </c>
      <c r="J235" t="n">
        <v>3</v>
      </c>
      <c r="K235" t="n">
        <v>0</v>
      </c>
      <c r="L235" t="n">
        <v>0</v>
      </c>
      <c r="M235" t="n">
        <v>0</v>
      </c>
      <c r="N235" t="n">
        <v>0</v>
      </c>
      <c r="O235" t="n">
        <v>3</v>
      </c>
      <c r="P235" t="n">
        <v>0</v>
      </c>
      <c r="Q235" t="n">
        <v>3</v>
      </c>
      <c r="R235" s="2" t="inlineStr">
        <is>
          <t>Garnlav
Lunglav
Ullticka</t>
        </is>
      </c>
      <c r="S235">
        <f>HYPERLINK("https://klasma.github.io/Logging_2580/artfynd/A 17525-2019 artfynd.xlsx", "A 17525-2019")</f>
        <v/>
      </c>
      <c r="T235">
        <f>HYPERLINK("https://klasma.github.io/Logging_2580/kartor/A 17525-2019 karta.png", "A 17525-2019")</f>
        <v/>
      </c>
      <c r="V235">
        <f>HYPERLINK("https://klasma.github.io/Logging_2580/klagomål/A 17525-2019 FSC-klagomål.docx", "A 17525-2019")</f>
        <v/>
      </c>
      <c r="W235">
        <f>HYPERLINK("https://klasma.github.io/Logging_2580/klagomålsmail/A 17525-2019 FSC-klagomål mail.docx", "A 17525-2019")</f>
        <v/>
      </c>
      <c r="X235">
        <f>HYPERLINK("https://klasma.github.io/Logging_2580/tillsyn/A 17525-2019 tillsynsbegäran.docx", "A 17525-2019")</f>
        <v/>
      </c>
      <c r="Y235">
        <f>HYPERLINK("https://klasma.github.io/Logging_2580/tillsynsmail/A 17525-2019 tillsynsbegäran mail.docx", "A 17525-2019")</f>
        <v/>
      </c>
    </row>
    <row r="236" ht="15" customHeight="1">
      <c r="A236" t="inlineStr">
        <is>
          <t>A 18165-2019</t>
        </is>
      </c>
      <c r="B236" s="1" t="n">
        <v>43558</v>
      </c>
      <c r="C236" s="1" t="n">
        <v>45356</v>
      </c>
      <c r="D236" t="inlineStr">
        <is>
          <t>NORRBOTTENS LÄN</t>
        </is>
      </c>
      <c r="E236" t="inlineStr">
        <is>
          <t>ÖVERKALIX</t>
        </is>
      </c>
      <c r="F236" t="inlineStr">
        <is>
          <t>Sveaskog</t>
        </is>
      </c>
      <c r="G236" t="n">
        <v>61.9</v>
      </c>
      <c r="H236" t="n">
        <v>3</v>
      </c>
      <c r="I236" t="n">
        <v>1</v>
      </c>
      <c r="J236" t="n">
        <v>0</v>
      </c>
      <c r="K236" t="n">
        <v>0</v>
      </c>
      <c r="L236" t="n">
        <v>0</v>
      </c>
      <c r="M236" t="n">
        <v>0</v>
      </c>
      <c r="N236" t="n">
        <v>0</v>
      </c>
      <c r="O236" t="n">
        <v>0</v>
      </c>
      <c r="P236" t="n">
        <v>0</v>
      </c>
      <c r="Q236" t="n">
        <v>3</v>
      </c>
      <c r="R236" s="2" t="inlineStr">
        <is>
          <t>Plattlummer
Mattlummer
Revlummer</t>
        </is>
      </c>
      <c r="S236">
        <f>HYPERLINK("https://klasma.github.io/Logging_2513/artfynd/A 18165-2019 artfynd.xlsx", "A 18165-2019")</f>
        <v/>
      </c>
      <c r="T236">
        <f>HYPERLINK("https://klasma.github.io/Logging_2513/kartor/A 18165-2019 karta.png", "A 18165-2019")</f>
        <v/>
      </c>
      <c r="V236">
        <f>HYPERLINK("https://klasma.github.io/Logging_2513/klagomål/A 18165-2019 FSC-klagomål.docx", "A 18165-2019")</f>
        <v/>
      </c>
      <c r="W236">
        <f>HYPERLINK("https://klasma.github.io/Logging_2513/klagomålsmail/A 18165-2019 FSC-klagomål mail.docx", "A 18165-2019")</f>
        <v/>
      </c>
      <c r="X236">
        <f>HYPERLINK("https://klasma.github.io/Logging_2513/tillsyn/A 18165-2019 tillsynsbegäran.docx", "A 18165-2019")</f>
        <v/>
      </c>
      <c r="Y236">
        <f>HYPERLINK("https://klasma.github.io/Logging_2513/tillsynsmail/A 18165-2019 tillsynsbegäran mail.docx", "A 18165-2019")</f>
        <v/>
      </c>
    </row>
    <row r="237" ht="15" customHeight="1">
      <c r="A237" t="inlineStr">
        <is>
          <t>A 20477-2019</t>
        </is>
      </c>
      <c r="B237" s="1" t="n">
        <v>43572</v>
      </c>
      <c r="C237" s="1" t="n">
        <v>45356</v>
      </c>
      <c r="D237" t="inlineStr">
        <is>
          <t>NORRBOTTENS LÄN</t>
        </is>
      </c>
      <c r="E237" t="inlineStr">
        <is>
          <t>BODEN</t>
        </is>
      </c>
      <c r="F237" t="inlineStr">
        <is>
          <t>Sveaskog</t>
        </is>
      </c>
      <c r="G237" t="n">
        <v>56.2</v>
      </c>
      <c r="H237" t="n">
        <v>0</v>
      </c>
      <c r="I237" t="n">
        <v>0</v>
      </c>
      <c r="J237" t="n">
        <v>3</v>
      </c>
      <c r="K237" t="n">
        <v>0</v>
      </c>
      <c r="L237" t="n">
        <v>0</v>
      </c>
      <c r="M237" t="n">
        <v>0</v>
      </c>
      <c r="N237" t="n">
        <v>0</v>
      </c>
      <c r="O237" t="n">
        <v>3</v>
      </c>
      <c r="P237" t="n">
        <v>0</v>
      </c>
      <c r="Q237" t="n">
        <v>3</v>
      </c>
      <c r="R237" s="2" t="inlineStr">
        <is>
          <t>Garnlav
Lunglav
Mörk kolflarnlav</t>
        </is>
      </c>
      <c r="S237">
        <f>HYPERLINK("https://klasma.github.io/Logging_2582/artfynd/A 20477-2019 artfynd.xlsx", "A 20477-2019")</f>
        <v/>
      </c>
      <c r="T237">
        <f>HYPERLINK("https://klasma.github.io/Logging_2582/kartor/A 20477-2019 karta.png", "A 20477-2019")</f>
        <v/>
      </c>
      <c r="V237">
        <f>HYPERLINK("https://klasma.github.io/Logging_2582/klagomål/A 20477-2019 FSC-klagomål.docx", "A 20477-2019")</f>
        <v/>
      </c>
      <c r="W237">
        <f>HYPERLINK("https://klasma.github.io/Logging_2582/klagomålsmail/A 20477-2019 FSC-klagomål mail.docx", "A 20477-2019")</f>
        <v/>
      </c>
      <c r="X237">
        <f>HYPERLINK("https://klasma.github.io/Logging_2582/tillsyn/A 20477-2019 tillsynsbegäran.docx", "A 20477-2019")</f>
        <v/>
      </c>
      <c r="Y237">
        <f>HYPERLINK("https://klasma.github.io/Logging_2582/tillsynsmail/A 20477-2019 tillsynsbegäran mail.docx", "A 20477-2019")</f>
        <v/>
      </c>
    </row>
    <row r="238" ht="15" customHeight="1">
      <c r="A238" t="inlineStr">
        <is>
          <t>A 25619-2019</t>
        </is>
      </c>
      <c r="B238" s="1" t="n">
        <v>43602</v>
      </c>
      <c r="C238" s="1" t="n">
        <v>45356</v>
      </c>
      <c r="D238" t="inlineStr">
        <is>
          <t>NORRBOTTENS LÄN</t>
        </is>
      </c>
      <c r="E238" t="inlineStr">
        <is>
          <t>JOKKMOKK</t>
        </is>
      </c>
      <c r="F238" t="inlineStr">
        <is>
          <t>Allmännings- och besparingsskogar</t>
        </is>
      </c>
      <c r="G238" t="n">
        <v>37.3</v>
      </c>
      <c r="H238" t="n">
        <v>0</v>
      </c>
      <c r="I238" t="n">
        <v>0</v>
      </c>
      <c r="J238" t="n">
        <v>3</v>
      </c>
      <c r="K238" t="n">
        <v>0</v>
      </c>
      <c r="L238" t="n">
        <v>0</v>
      </c>
      <c r="M238" t="n">
        <v>0</v>
      </c>
      <c r="N238" t="n">
        <v>0</v>
      </c>
      <c r="O238" t="n">
        <v>3</v>
      </c>
      <c r="P238" t="n">
        <v>0</v>
      </c>
      <c r="Q238" t="n">
        <v>3</v>
      </c>
      <c r="R238" s="2" t="inlineStr">
        <is>
          <t>Gammelgransskål
Motaggsvamp
Vaddporing</t>
        </is>
      </c>
      <c r="S238">
        <f>HYPERLINK("https://klasma.github.io/Logging_2510/artfynd/A 25619-2019 artfynd.xlsx", "A 25619-2019")</f>
        <v/>
      </c>
      <c r="T238">
        <f>HYPERLINK("https://klasma.github.io/Logging_2510/kartor/A 25619-2019 karta.png", "A 25619-2019")</f>
        <v/>
      </c>
      <c r="V238">
        <f>HYPERLINK("https://klasma.github.io/Logging_2510/klagomål/A 25619-2019 FSC-klagomål.docx", "A 25619-2019")</f>
        <v/>
      </c>
      <c r="W238">
        <f>HYPERLINK("https://klasma.github.io/Logging_2510/klagomålsmail/A 25619-2019 FSC-klagomål mail.docx", "A 25619-2019")</f>
        <v/>
      </c>
      <c r="X238">
        <f>HYPERLINK("https://klasma.github.io/Logging_2510/tillsyn/A 25619-2019 tillsynsbegäran.docx", "A 25619-2019")</f>
        <v/>
      </c>
      <c r="Y238">
        <f>HYPERLINK("https://klasma.github.io/Logging_2510/tillsynsmail/A 25619-2019 tillsynsbegäran mail.docx", "A 25619-2019")</f>
        <v/>
      </c>
    </row>
    <row r="239" ht="15" customHeight="1">
      <c r="A239" t="inlineStr">
        <is>
          <t>A 26313-2019</t>
        </is>
      </c>
      <c r="B239" s="1" t="n">
        <v>43609</v>
      </c>
      <c r="C239" s="1" t="n">
        <v>45356</v>
      </c>
      <c r="D239" t="inlineStr">
        <is>
          <t>NORRBOTTENS LÄN</t>
        </is>
      </c>
      <c r="E239" t="inlineStr">
        <is>
          <t>LULEÅ</t>
        </is>
      </c>
      <c r="F239" t="inlineStr">
        <is>
          <t>Övriga statliga verk och myndigheter</t>
        </is>
      </c>
      <c r="G239" t="n">
        <v>1.9</v>
      </c>
      <c r="H239" t="n">
        <v>1</v>
      </c>
      <c r="I239" t="n">
        <v>2</v>
      </c>
      <c r="J239" t="n">
        <v>0</v>
      </c>
      <c r="K239" t="n">
        <v>0</v>
      </c>
      <c r="L239" t="n">
        <v>0</v>
      </c>
      <c r="M239" t="n">
        <v>0</v>
      </c>
      <c r="N239" t="n">
        <v>0</v>
      </c>
      <c r="O239" t="n">
        <v>0</v>
      </c>
      <c r="P239" t="n">
        <v>0</v>
      </c>
      <c r="Q239" t="n">
        <v>3</v>
      </c>
      <c r="R239" s="2" t="inlineStr">
        <is>
          <t>Strutbräken
Ögonpyrola
Revlummer</t>
        </is>
      </c>
      <c r="S239">
        <f>HYPERLINK("https://klasma.github.io/Logging_2580/artfynd/A 26313-2019 artfynd.xlsx", "A 26313-2019")</f>
        <v/>
      </c>
      <c r="T239">
        <f>HYPERLINK("https://klasma.github.io/Logging_2580/kartor/A 26313-2019 karta.png", "A 26313-2019")</f>
        <v/>
      </c>
      <c r="V239">
        <f>HYPERLINK("https://klasma.github.io/Logging_2580/klagomål/A 26313-2019 FSC-klagomål.docx", "A 26313-2019")</f>
        <v/>
      </c>
      <c r="W239">
        <f>HYPERLINK("https://klasma.github.io/Logging_2580/klagomålsmail/A 26313-2019 FSC-klagomål mail.docx", "A 26313-2019")</f>
        <v/>
      </c>
      <c r="X239">
        <f>HYPERLINK("https://klasma.github.io/Logging_2580/tillsyn/A 26313-2019 tillsynsbegäran.docx", "A 26313-2019")</f>
        <v/>
      </c>
      <c r="Y239">
        <f>HYPERLINK("https://klasma.github.io/Logging_2580/tillsynsmail/A 26313-2019 tillsynsbegäran mail.docx", "A 26313-2019")</f>
        <v/>
      </c>
    </row>
    <row r="240" ht="15" customHeight="1">
      <c r="A240" t="inlineStr">
        <is>
          <t>A 31744-2019</t>
        </is>
      </c>
      <c r="B240" s="1" t="n">
        <v>43642</v>
      </c>
      <c r="C240" s="1" t="n">
        <v>45356</v>
      </c>
      <c r="D240" t="inlineStr">
        <is>
          <t>NORRBOTTENS LÄN</t>
        </is>
      </c>
      <c r="E240" t="inlineStr">
        <is>
          <t>ÖVERKALIX</t>
        </is>
      </c>
      <c r="F240" t="inlineStr">
        <is>
          <t>Sveaskog</t>
        </is>
      </c>
      <c r="G240" t="n">
        <v>4.4</v>
      </c>
      <c r="H240" t="n">
        <v>0</v>
      </c>
      <c r="I240" t="n">
        <v>0</v>
      </c>
      <c r="J240" t="n">
        <v>3</v>
      </c>
      <c r="K240" t="n">
        <v>0</v>
      </c>
      <c r="L240" t="n">
        <v>0</v>
      </c>
      <c r="M240" t="n">
        <v>0</v>
      </c>
      <c r="N240" t="n">
        <v>0</v>
      </c>
      <c r="O240" t="n">
        <v>3</v>
      </c>
      <c r="P240" t="n">
        <v>0</v>
      </c>
      <c r="Q240" t="n">
        <v>3</v>
      </c>
      <c r="R240" s="2" t="inlineStr">
        <is>
          <t>Gammelgransskål
Granticka
Violmussling</t>
        </is>
      </c>
      <c r="S240">
        <f>HYPERLINK("https://klasma.github.io/Logging_2513/artfynd/A 31744-2019 artfynd.xlsx", "A 31744-2019")</f>
        <v/>
      </c>
      <c r="T240">
        <f>HYPERLINK("https://klasma.github.io/Logging_2513/kartor/A 31744-2019 karta.png", "A 31744-2019")</f>
        <v/>
      </c>
      <c r="V240">
        <f>HYPERLINK("https://klasma.github.io/Logging_2513/klagomål/A 31744-2019 FSC-klagomål.docx", "A 31744-2019")</f>
        <v/>
      </c>
      <c r="W240">
        <f>HYPERLINK("https://klasma.github.io/Logging_2513/klagomålsmail/A 31744-2019 FSC-klagomål mail.docx", "A 31744-2019")</f>
        <v/>
      </c>
      <c r="X240">
        <f>HYPERLINK("https://klasma.github.io/Logging_2513/tillsyn/A 31744-2019 tillsynsbegäran.docx", "A 31744-2019")</f>
        <v/>
      </c>
      <c r="Y240">
        <f>HYPERLINK("https://klasma.github.io/Logging_2513/tillsynsmail/A 31744-2019 tillsynsbegäran mail.docx", "A 31744-2019")</f>
        <v/>
      </c>
    </row>
    <row r="241" ht="15" customHeight="1">
      <c r="A241" t="inlineStr">
        <is>
          <t>A 62167-2019</t>
        </is>
      </c>
      <c r="B241" s="1" t="n">
        <v>43787</v>
      </c>
      <c r="C241" s="1" t="n">
        <v>45356</v>
      </c>
      <c r="D241" t="inlineStr">
        <is>
          <t>NORRBOTTENS LÄN</t>
        </is>
      </c>
      <c r="E241" t="inlineStr">
        <is>
          <t>BODEN</t>
        </is>
      </c>
      <c r="F241" t="inlineStr">
        <is>
          <t>SCA</t>
        </is>
      </c>
      <c r="G241" t="n">
        <v>14.8</v>
      </c>
      <c r="H241" t="n">
        <v>1</v>
      </c>
      <c r="I241" t="n">
        <v>0</v>
      </c>
      <c r="J241" t="n">
        <v>2</v>
      </c>
      <c r="K241" t="n">
        <v>1</v>
      </c>
      <c r="L241" t="n">
        <v>0</v>
      </c>
      <c r="M241" t="n">
        <v>0</v>
      </c>
      <c r="N241" t="n">
        <v>0</v>
      </c>
      <c r="O241" t="n">
        <v>3</v>
      </c>
      <c r="P241" t="n">
        <v>1</v>
      </c>
      <c r="Q241" t="n">
        <v>3</v>
      </c>
      <c r="R241" s="2" t="inlineStr">
        <is>
          <t>Knärot
Blågrå svartspik
Kolflarnlav</t>
        </is>
      </c>
      <c r="S241">
        <f>HYPERLINK("https://klasma.github.io/Logging_2582/artfynd/A 62167-2019 artfynd.xlsx", "A 62167-2019")</f>
        <v/>
      </c>
      <c r="T241">
        <f>HYPERLINK("https://klasma.github.io/Logging_2582/kartor/A 62167-2019 karta.png", "A 62167-2019")</f>
        <v/>
      </c>
      <c r="U241">
        <f>HYPERLINK("https://klasma.github.io/Logging_2582/knärot/A 62167-2019 karta knärot.png", "A 62167-2019")</f>
        <v/>
      </c>
      <c r="V241">
        <f>HYPERLINK("https://klasma.github.io/Logging_2582/klagomål/A 62167-2019 FSC-klagomål.docx", "A 62167-2019")</f>
        <v/>
      </c>
      <c r="W241">
        <f>HYPERLINK("https://klasma.github.io/Logging_2582/klagomålsmail/A 62167-2019 FSC-klagomål mail.docx", "A 62167-2019")</f>
        <v/>
      </c>
      <c r="X241">
        <f>HYPERLINK("https://klasma.github.io/Logging_2582/tillsyn/A 62167-2019 tillsynsbegäran.docx", "A 62167-2019")</f>
        <v/>
      </c>
      <c r="Y241">
        <f>HYPERLINK("https://klasma.github.io/Logging_2582/tillsynsmail/A 62167-2019 tillsynsbegäran mail.docx", "A 62167-2019")</f>
        <v/>
      </c>
    </row>
    <row r="242" ht="15" customHeight="1">
      <c r="A242" t="inlineStr">
        <is>
          <t>A 62172-2019</t>
        </is>
      </c>
      <c r="B242" s="1" t="n">
        <v>43787</v>
      </c>
      <c r="C242" s="1" t="n">
        <v>45356</v>
      </c>
      <c r="D242" t="inlineStr">
        <is>
          <t>NORRBOTTENS LÄN</t>
        </is>
      </c>
      <c r="E242" t="inlineStr">
        <is>
          <t>BODEN</t>
        </is>
      </c>
      <c r="F242" t="inlineStr">
        <is>
          <t>SCA</t>
        </is>
      </c>
      <c r="G242" t="n">
        <v>1.8</v>
      </c>
      <c r="H242" t="n">
        <v>0</v>
      </c>
      <c r="I242" t="n">
        <v>0</v>
      </c>
      <c r="J242" t="n">
        <v>3</v>
      </c>
      <c r="K242" t="n">
        <v>0</v>
      </c>
      <c r="L242" t="n">
        <v>0</v>
      </c>
      <c r="M242" t="n">
        <v>0</v>
      </c>
      <c r="N242" t="n">
        <v>0</v>
      </c>
      <c r="O242" t="n">
        <v>3</v>
      </c>
      <c r="P242" t="n">
        <v>0</v>
      </c>
      <c r="Q242" t="n">
        <v>3</v>
      </c>
      <c r="R242" s="2" t="inlineStr">
        <is>
          <t>Brunpudrad nållav
Garnlav
Vitgrynig nållav</t>
        </is>
      </c>
      <c r="S242">
        <f>HYPERLINK("https://klasma.github.io/Logging_2582/artfynd/A 62172-2019 artfynd.xlsx", "A 62172-2019")</f>
        <v/>
      </c>
      <c r="T242">
        <f>HYPERLINK("https://klasma.github.io/Logging_2582/kartor/A 62172-2019 karta.png", "A 62172-2019")</f>
        <v/>
      </c>
      <c r="V242">
        <f>HYPERLINK("https://klasma.github.io/Logging_2582/klagomål/A 62172-2019 FSC-klagomål.docx", "A 62172-2019")</f>
        <v/>
      </c>
      <c r="W242">
        <f>HYPERLINK("https://klasma.github.io/Logging_2582/klagomålsmail/A 62172-2019 FSC-klagomål mail.docx", "A 62172-2019")</f>
        <v/>
      </c>
      <c r="X242">
        <f>HYPERLINK("https://klasma.github.io/Logging_2582/tillsyn/A 62172-2019 tillsynsbegäran.docx", "A 62172-2019")</f>
        <v/>
      </c>
      <c r="Y242">
        <f>HYPERLINK("https://klasma.github.io/Logging_2582/tillsynsmail/A 62172-2019 tillsynsbegäran mail.docx", "A 62172-2019")</f>
        <v/>
      </c>
    </row>
    <row r="243" ht="15" customHeight="1">
      <c r="A243" t="inlineStr">
        <is>
          <t>A 65081-2019</t>
        </is>
      </c>
      <c r="B243" s="1" t="n">
        <v>43802</v>
      </c>
      <c r="C243" s="1" t="n">
        <v>45356</v>
      </c>
      <c r="D243" t="inlineStr">
        <is>
          <t>NORRBOTTENS LÄN</t>
        </is>
      </c>
      <c r="E243" t="inlineStr">
        <is>
          <t>BODEN</t>
        </is>
      </c>
      <c r="F243" t="inlineStr">
        <is>
          <t>Kommuner</t>
        </is>
      </c>
      <c r="G243" t="n">
        <v>31.7</v>
      </c>
      <c r="H243" t="n">
        <v>2</v>
      </c>
      <c r="I243" t="n">
        <v>1</v>
      </c>
      <c r="J243" t="n">
        <v>2</v>
      </c>
      <c r="K243" t="n">
        <v>0</v>
      </c>
      <c r="L243" t="n">
        <v>0</v>
      </c>
      <c r="M243" t="n">
        <v>0</v>
      </c>
      <c r="N243" t="n">
        <v>0</v>
      </c>
      <c r="O243" t="n">
        <v>2</v>
      </c>
      <c r="P243" t="n">
        <v>0</v>
      </c>
      <c r="Q243" t="n">
        <v>3</v>
      </c>
      <c r="R243" s="2" t="inlineStr">
        <is>
          <t>Spillkråka
Tretåig hackspett
Strutbräken</t>
        </is>
      </c>
      <c r="S243">
        <f>HYPERLINK("https://klasma.github.io/Logging_2582/artfynd/A 65081-2019 artfynd.xlsx", "A 65081-2019")</f>
        <v/>
      </c>
      <c r="T243">
        <f>HYPERLINK("https://klasma.github.io/Logging_2582/kartor/A 65081-2019 karta.png", "A 65081-2019")</f>
        <v/>
      </c>
      <c r="V243">
        <f>HYPERLINK("https://klasma.github.io/Logging_2582/klagomål/A 65081-2019 FSC-klagomål.docx", "A 65081-2019")</f>
        <v/>
      </c>
      <c r="W243">
        <f>HYPERLINK("https://klasma.github.io/Logging_2582/klagomålsmail/A 65081-2019 FSC-klagomål mail.docx", "A 65081-2019")</f>
        <v/>
      </c>
      <c r="X243">
        <f>HYPERLINK("https://klasma.github.io/Logging_2582/tillsyn/A 65081-2019 tillsynsbegäran.docx", "A 65081-2019")</f>
        <v/>
      </c>
      <c r="Y243">
        <f>HYPERLINK("https://klasma.github.io/Logging_2582/tillsynsmail/A 65081-2019 tillsynsbegäran mail.docx", "A 65081-2019")</f>
        <v/>
      </c>
      <c r="Z243">
        <f>HYPERLINK("https://klasma.github.io/Logging_2582/fåglar/A 65081-2019 prioriterade fågelarter.docx", "A 65081-2019")</f>
        <v/>
      </c>
    </row>
    <row r="244" ht="15" customHeight="1">
      <c r="A244" t="inlineStr">
        <is>
          <t>A 24420-2020</t>
        </is>
      </c>
      <c r="B244" s="1" t="n">
        <v>43976</v>
      </c>
      <c r="C244" s="1" t="n">
        <v>45356</v>
      </c>
      <c r="D244" t="inlineStr">
        <is>
          <t>NORRBOTTENS LÄN</t>
        </is>
      </c>
      <c r="E244" t="inlineStr">
        <is>
          <t>JOKKMOKK</t>
        </is>
      </c>
      <c r="F244" t="inlineStr">
        <is>
          <t>SCA</t>
        </is>
      </c>
      <c r="G244" t="n">
        <v>2.9</v>
      </c>
      <c r="H244" t="n">
        <v>0</v>
      </c>
      <c r="I244" t="n">
        <v>0</v>
      </c>
      <c r="J244" t="n">
        <v>0</v>
      </c>
      <c r="K244" t="n">
        <v>3</v>
      </c>
      <c r="L244" t="n">
        <v>0</v>
      </c>
      <c r="M244" t="n">
        <v>0</v>
      </c>
      <c r="N244" t="n">
        <v>0</v>
      </c>
      <c r="O244" t="n">
        <v>3</v>
      </c>
      <c r="P244" t="n">
        <v>3</v>
      </c>
      <c r="Q244" t="n">
        <v>3</v>
      </c>
      <c r="R244" s="2" t="inlineStr">
        <is>
          <t>Goliatmusseron
Gräddporing
Tallgråticka</t>
        </is>
      </c>
      <c r="S244">
        <f>HYPERLINK("https://klasma.github.io/Logging_2510/artfynd/A 24420-2020 artfynd.xlsx", "A 24420-2020")</f>
        <v/>
      </c>
      <c r="T244">
        <f>HYPERLINK("https://klasma.github.io/Logging_2510/kartor/A 24420-2020 karta.png", "A 24420-2020")</f>
        <v/>
      </c>
      <c r="V244">
        <f>HYPERLINK("https://klasma.github.io/Logging_2510/klagomål/A 24420-2020 FSC-klagomål.docx", "A 24420-2020")</f>
        <v/>
      </c>
      <c r="W244">
        <f>HYPERLINK("https://klasma.github.io/Logging_2510/klagomålsmail/A 24420-2020 FSC-klagomål mail.docx", "A 24420-2020")</f>
        <v/>
      </c>
      <c r="X244">
        <f>HYPERLINK("https://klasma.github.io/Logging_2510/tillsyn/A 24420-2020 tillsynsbegäran.docx", "A 24420-2020")</f>
        <v/>
      </c>
      <c r="Y244">
        <f>HYPERLINK("https://klasma.github.io/Logging_2510/tillsynsmail/A 24420-2020 tillsynsbegäran mail.docx", "A 24420-2020")</f>
        <v/>
      </c>
    </row>
    <row r="245" ht="15" customHeight="1">
      <c r="A245" t="inlineStr">
        <is>
          <t>A 27642-2020</t>
        </is>
      </c>
      <c r="B245" s="1" t="n">
        <v>43993</v>
      </c>
      <c r="C245" s="1" t="n">
        <v>45356</v>
      </c>
      <c r="D245" t="inlineStr">
        <is>
          <t>NORRBOTTENS LÄN</t>
        </is>
      </c>
      <c r="E245" t="inlineStr">
        <is>
          <t>KIRUNA</t>
        </is>
      </c>
      <c r="G245" t="n">
        <v>31.9</v>
      </c>
      <c r="H245" t="n">
        <v>1</v>
      </c>
      <c r="I245" t="n">
        <v>0</v>
      </c>
      <c r="J245" t="n">
        <v>1</v>
      </c>
      <c r="K245" t="n">
        <v>1</v>
      </c>
      <c r="L245" t="n">
        <v>0</v>
      </c>
      <c r="M245" t="n">
        <v>0</v>
      </c>
      <c r="N245" t="n">
        <v>0</v>
      </c>
      <c r="O245" t="n">
        <v>2</v>
      </c>
      <c r="P245" t="n">
        <v>1</v>
      </c>
      <c r="Q245" t="n">
        <v>3</v>
      </c>
      <c r="R245" s="2" t="inlineStr">
        <is>
          <t>Gräddporing
Röd trolldruva
Brudsporre</t>
        </is>
      </c>
      <c r="S245">
        <f>HYPERLINK("https://klasma.github.io/Logging_2584/artfynd/A 27642-2020 artfynd.xlsx", "A 27642-2020")</f>
        <v/>
      </c>
      <c r="T245">
        <f>HYPERLINK("https://klasma.github.io/Logging_2584/kartor/A 27642-2020 karta.png", "A 27642-2020")</f>
        <v/>
      </c>
      <c r="V245">
        <f>HYPERLINK("https://klasma.github.io/Logging_2584/klagomål/A 27642-2020 FSC-klagomål.docx", "A 27642-2020")</f>
        <v/>
      </c>
      <c r="W245">
        <f>HYPERLINK("https://klasma.github.io/Logging_2584/klagomålsmail/A 27642-2020 FSC-klagomål mail.docx", "A 27642-2020")</f>
        <v/>
      </c>
      <c r="X245">
        <f>HYPERLINK("https://klasma.github.io/Logging_2584/tillsyn/A 27642-2020 tillsynsbegäran.docx", "A 27642-2020")</f>
        <v/>
      </c>
      <c r="Y245">
        <f>HYPERLINK("https://klasma.github.io/Logging_2584/tillsynsmail/A 27642-2020 tillsynsbegäran mail.docx", "A 27642-2020")</f>
        <v/>
      </c>
    </row>
    <row r="246" ht="15" customHeight="1">
      <c r="A246" t="inlineStr">
        <is>
          <t>A 31881-2020</t>
        </is>
      </c>
      <c r="B246" s="1" t="n">
        <v>44014</v>
      </c>
      <c r="C246" s="1" t="n">
        <v>45356</v>
      </c>
      <c r="D246" t="inlineStr">
        <is>
          <t>NORRBOTTENS LÄN</t>
        </is>
      </c>
      <c r="E246" t="inlineStr">
        <is>
          <t>PITEÅ</t>
        </is>
      </c>
      <c r="F246" t="inlineStr">
        <is>
          <t>Sveaskog</t>
        </is>
      </c>
      <c r="G246" t="n">
        <v>26</v>
      </c>
      <c r="H246" t="n">
        <v>0</v>
      </c>
      <c r="I246" t="n">
        <v>1</v>
      </c>
      <c r="J246" t="n">
        <v>2</v>
      </c>
      <c r="K246" t="n">
        <v>0</v>
      </c>
      <c r="L246" t="n">
        <v>0</v>
      </c>
      <c r="M246" t="n">
        <v>0</v>
      </c>
      <c r="N246" t="n">
        <v>0</v>
      </c>
      <c r="O246" t="n">
        <v>2</v>
      </c>
      <c r="P246" t="n">
        <v>0</v>
      </c>
      <c r="Q246" t="n">
        <v>3</v>
      </c>
      <c r="R246" s="2" t="inlineStr">
        <is>
          <t>Mörk kolflarnlav
Vedflamlav
Dropptaggsvamp</t>
        </is>
      </c>
      <c r="S246">
        <f>HYPERLINK("https://klasma.github.io/Logging_2581/artfynd/A 31881-2020 artfynd.xlsx", "A 31881-2020")</f>
        <v/>
      </c>
      <c r="T246">
        <f>HYPERLINK("https://klasma.github.io/Logging_2581/kartor/A 31881-2020 karta.png", "A 31881-2020")</f>
        <v/>
      </c>
      <c r="V246">
        <f>HYPERLINK("https://klasma.github.io/Logging_2581/klagomål/A 31881-2020 FSC-klagomål.docx", "A 31881-2020")</f>
        <v/>
      </c>
      <c r="W246">
        <f>HYPERLINK("https://klasma.github.io/Logging_2581/klagomålsmail/A 31881-2020 FSC-klagomål mail.docx", "A 31881-2020")</f>
        <v/>
      </c>
      <c r="X246">
        <f>HYPERLINK("https://klasma.github.io/Logging_2581/tillsyn/A 31881-2020 tillsynsbegäran.docx", "A 31881-2020")</f>
        <v/>
      </c>
      <c r="Y246">
        <f>HYPERLINK("https://klasma.github.io/Logging_2581/tillsynsmail/A 31881-2020 tillsynsbegäran mail.docx", "A 31881-2020")</f>
        <v/>
      </c>
    </row>
    <row r="247" ht="15" customHeight="1">
      <c r="A247" t="inlineStr">
        <is>
          <t>A 33313-2020</t>
        </is>
      </c>
      <c r="B247" s="1" t="n">
        <v>44022</v>
      </c>
      <c r="C247" s="1" t="n">
        <v>45356</v>
      </c>
      <c r="D247" t="inlineStr">
        <is>
          <t>NORRBOTTENS LÄN</t>
        </is>
      </c>
      <c r="E247" t="inlineStr">
        <is>
          <t>PAJALA</t>
        </is>
      </c>
      <c r="F247" t="inlineStr">
        <is>
          <t>Sveaskog</t>
        </is>
      </c>
      <c r="G247" t="n">
        <v>7.3</v>
      </c>
      <c r="H247" t="n">
        <v>0</v>
      </c>
      <c r="I247" t="n">
        <v>0</v>
      </c>
      <c r="J247" t="n">
        <v>3</v>
      </c>
      <c r="K247" t="n">
        <v>0</v>
      </c>
      <c r="L247" t="n">
        <v>0</v>
      </c>
      <c r="M247" t="n">
        <v>0</v>
      </c>
      <c r="N247" t="n">
        <v>0</v>
      </c>
      <c r="O247" t="n">
        <v>3</v>
      </c>
      <c r="P247" t="n">
        <v>0</v>
      </c>
      <c r="Q247" t="n">
        <v>3</v>
      </c>
      <c r="R247" s="2" t="inlineStr">
        <is>
          <t>Gammelgransskål
Garnlav
Ullticka</t>
        </is>
      </c>
      <c r="S247">
        <f>HYPERLINK("https://klasma.github.io/Logging_2521/artfynd/A 33313-2020 artfynd.xlsx", "A 33313-2020")</f>
        <v/>
      </c>
      <c r="T247">
        <f>HYPERLINK("https://klasma.github.io/Logging_2521/kartor/A 33313-2020 karta.png", "A 33313-2020")</f>
        <v/>
      </c>
      <c r="V247">
        <f>HYPERLINK("https://klasma.github.io/Logging_2521/klagomål/A 33313-2020 FSC-klagomål.docx", "A 33313-2020")</f>
        <v/>
      </c>
      <c r="W247">
        <f>HYPERLINK("https://klasma.github.io/Logging_2521/klagomålsmail/A 33313-2020 FSC-klagomål mail.docx", "A 33313-2020")</f>
        <v/>
      </c>
      <c r="X247">
        <f>HYPERLINK("https://klasma.github.io/Logging_2521/tillsyn/A 33313-2020 tillsynsbegäran.docx", "A 33313-2020")</f>
        <v/>
      </c>
      <c r="Y247">
        <f>HYPERLINK("https://klasma.github.io/Logging_2521/tillsynsmail/A 33313-2020 tillsynsbegäran mail.docx", "A 33313-2020")</f>
        <v/>
      </c>
    </row>
    <row r="248" ht="15" customHeight="1">
      <c r="A248" t="inlineStr">
        <is>
          <t>A 33836-2020</t>
        </is>
      </c>
      <c r="B248" s="1" t="n">
        <v>44022</v>
      </c>
      <c r="C248" s="1" t="n">
        <v>45356</v>
      </c>
      <c r="D248" t="inlineStr">
        <is>
          <t>NORRBOTTENS LÄN</t>
        </is>
      </c>
      <c r="E248" t="inlineStr">
        <is>
          <t>PAJALA</t>
        </is>
      </c>
      <c r="G248" t="n">
        <v>35.7</v>
      </c>
      <c r="H248" t="n">
        <v>1</v>
      </c>
      <c r="I248" t="n">
        <v>0</v>
      </c>
      <c r="J248" t="n">
        <v>3</v>
      </c>
      <c r="K248" t="n">
        <v>0</v>
      </c>
      <c r="L248" t="n">
        <v>0</v>
      </c>
      <c r="M248" t="n">
        <v>0</v>
      </c>
      <c r="N248" t="n">
        <v>0</v>
      </c>
      <c r="O248" t="n">
        <v>3</v>
      </c>
      <c r="P248" t="n">
        <v>0</v>
      </c>
      <c r="Q248" t="n">
        <v>3</v>
      </c>
      <c r="R248" s="2" t="inlineStr">
        <is>
          <t>Knottrig blåslav
Tretåig hackspett
Vitplätt</t>
        </is>
      </c>
      <c r="S248">
        <f>HYPERLINK("https://klasma.github.io/Logging_2521/artfynd/A 33836-2020 artfynd.xlsx", "A 33836-2020")</f>
        <v/>
      </c>
      <c r="T248">
        <f>HYPERLINK("https://klasma.github.io/Logging_2521/kartor/A 33836-2020 karta.png", "A 33836-2020")</f>
        <v/>
      </c>
      <c r="V248">
        <f>HYPERLINK("https://klasma.github.io/Logging_2521/klagomål/A 33836-2020 FSC-klagomål.docx", "A 33836-2020")</f>
        <v/>
      </c>
      <c r="W248">
        <f>HYPERLINK("https://klasma.github.io/Logging_2521/klagomålsmail/A 33836-2020 FSC-klagomål mail.docx", "A 33836-2020")</f>
        <v/>
      </c>
      <c r="X248">
        <f>HYPERLINK("https://klasma.github.io/Logging_2521/tillsyn/A 33836-2020 tillsynsbegäran.docx", "A 33836-2020")</f>
        <v/>
      </c>
      <c r="Y248">
        <f>HYPERLINK("https://klasma.github.io/Logging_2521/tillsynsmail/A 33836-2020 tillsynsbegäran mail.docx", "A 33836-2020")</f>
        <v/>
      </c>
      <c r="Z248">
        <f>HYPERLINK("https://klasma.github.io/Logging_2521/fåglar/A 33836-2020 prioriterade fågelarter.docx", "A 33836-2020")</f>
        <v/>
      </c>
    </row>
    <row r="249" ht="15" customHeight="1">
      <c r="A249" t="inlineStr">
        <is>
          <t>A 38334-2020</t>
        </is>
      </c>
      <c r="B249" s="1" t="n">
        <v>44060</v>
      </c>
      <c r="C249" s="1" t="n">
        <v>45356</v>
      </c>
      <c r="D249" t="inlineStr">
        <is>
          <t>NORRBOTTENS LÄN</t>
        </is>
      </c>
      <c r="E249" t="inlineStr">
        <is>
          <t>KIRUNA</t>
        </is>
      </c>
      <c r="F249" t="inlineStr">
        <is>
          <t>Allmännings- och besparingsskogar</t>
        </is>
      </c>
      <c r="G249" t="n">
        <v>13</v>
      </c>
      <c r="H249" t="n">
        <v>0</v>
      </c>
      <c r="I249" t="n">
        <v>0</v>
      </c>
      <c r="J249" t="n">
        <v>2</v>
      </c>
      <c r="K249" t="n">
        <v>1</v>
      </c>
      <c r="L249" t="n">
        <v>0</v>
      </c>
      <c r="M249" t="n">
        <v>0</v>
      </c>
      <c r="N249" t="n">
        <v>0</v>
      </c>
      <c r="O249" t="n">
        <v>3</v>
      </c>
      <c r="P249" t="n">
        <v>1</v>
      </c>
      <c r="Q249" t="n">
        <v>3</v>
      </c>
      <c r="R249" s="2" t="inlineStr">
        <is>
          <t>Torrmusseron
Blå taggsvamp
Talltaggsvamp</t>
        </is>
      </c>
      <c r="S249">
        <f>HYPERLINK("https://klasma.github.io/Logging_2584/artfynd/A 38334-2020 artfynd.xlsx", "A 38334-2020")</f>
        <v/>
      </c>
      <c r="T249">
        <f>HYPERLINK("https://klasma.github.io/Logging_2584/kartor/A 38334-2020 karta.png", "A 38334-2020")</f>
        <v/>
      </c>
      <c r="V249">
        <f>HYPERLINK("https://klasma.github.io/Logging_2584/klagomål/A 38334-2020 FSC-klagomål.docx", "A 38334-2020")</f>
        <v/>
      </c>
      <c r="W249">
        <f>HYPERLINK("https://klasma.github.io/Logging_2584/klagomålsmail/A 38334-2020 FSC-klagomål mail.docx", "A 38334-2020")</f>
        <v/>
      </c>
      <c r="X249">
        <f>HYPERLINK("https://klasma.github.io/Logging_2584/tillsyn/A 38334-2020 tillsynsbegäran.docx", "A 38334-2020")</f>
        <v/>
      </c>
      <c r="Y249">
        <f>HYPERLINK("https://klasma.github.io/Logging_2584/tillsynsmail/A 38334-2020 tillsynsbegäran mail.docx", "A 38334-2020")</f>
        <v/>
      </c>
    </row>
    <row r="250" ht="15" customHeight="1">
      <c r="A250" t="inlineStr">
        <is>
          <t>A 42509-2020</t>
        </is>
      </c>
      <c r="B250" s="1" t="n">
        <v>44074</v>
      </c>
      <c r="C250" s="1" t="n">
        <v>45356</v>
      </c>
      <c r="D250" t="inlineStr">
        <is>
          <t>NORRBOTTENS LÄN</t>
        </is>
      </c>
      <c r="E250" t="inlineStr">
        <is>
          <t>KIRUNA</t>
        </is>
      </c>
      <c r="F250" t="inlineStr">
        <is>
          <t>Sveaskog</t>
        </is>
      </c>
      <c r="G250" t="n">
        <v>25.3</v>
      </c>
      <c r="H250" t="n">
        <v>0</v>
      </c>
      <c r="I250" t="n">
        <v>0</v>
      </c>
      <c r="J250" t="n">
        <v>3</v>
      </c>
      <c r="K250" t="n">
        <v>0</v>
      </c>
      <c r="L250" t="n">
        <v>0</v>
      </c>
      <c r="M250" t="n">
        <v>0</v>
      </c>
      <c r="N250" t="n">
        <v>0</v>
      </c>
      <c r="O250" t="n">
        <v>3</v>
      </c>
      <c r="P250" t="n">
        <v>0</v>
      </c>
      <c r="Q250" t="n">
        <v>3</v>
      </c>
      <c r="R250" s="2" t="inlineStr">
        <is>
          <t>Granticka
Harticka
Knottrig blåslav</t>
        </is>
      </c>
      <c r="S250">
        <f>HYPERLINK("https://klasma.github.io/Logging_2584/artfynd/A 42509-2020 artfynd.xlsx", "A 42509-2020")</f>
        <v/>
      </c>
      <c r="T250">
        <f>HYPERLINK("https://klasma.github.io/Logging_2584/kartor/A 42509-2020 karta.png", "A 42509-2020")</f>
        <v/>
      </c>
      <c r="V250">
        <f>HYPERLINK("https://klasma.github.io/Logging_2584/klagomål/A 42509-2020 FSC-klagomål.docx", "A 42509-2020")</f>
        <v/>
      </c>
      <c r="W250">
        <f>HYPERLINK("https://klasma.github.io/Logging_2584/klagomålsmail/A 42509-2020 FSC-klagomål mail.docx", "A 42509-2020")</f>
        <v/>
      </c>
      <c r="X250">
        <f>HYPERLINK("https://klasma.github.io/Logging_2584/tillsyn/A 42509-2020 tillsynsbegäran.docx", "A 42509-2020")</f>
        <v/>
      </c>
      <c r="Y250">
        <f>HYPERLINK("https://klasma.github.io/Logging_2584/tillsynsmail/A 42509-2020 tillsynsbegäran mail.docx", "A 42509-2020")</f>
        <v/>
      </c>
    </row>
    <row r="251" ht="15" customHeight="1">
      <c r="A251" t="inlineStr">
        <is>
          <t>A 43640-2020</t>
        </is>
      </c>
      <c r="B251" s="1" t="n">
        <v>44082</v>
      </c>
      <c r="C251" s="1" t="n">
        <v>45356</v>
      </c>
      <c r="D251" t="inlineStr">
        <is>
          <t>NORRBOTTENS LÄN</t>
        </is>
      </c>
      <c r="E251" t="inlineStr">
        <is>
          <t>BODEN</t>
        </is>
      </c>
      <c r="F251" t="inlineStr">
        <is>
          <t>Sveaskog</t>
        </is>
      </c>
      <c r="G251" t="n">
        <v>0.9</v>
      </c>
      <c r="H251" t="n">
        <v>0</v>
      </c>
      <c r="I251" t="n">
        <v>1</v>
      </c>
      <c r="J251" t="n">
        <v>2</v>
      </c>
      <c r="K251" t="n">
        <v>0</v>
      </c>
      <c r="L251" t="n">
        <v>0</v>
      </c>
      <c r="M251" t="n">
        <v>0</v>
      </c>
      <c r="N251" t="n">
        <v>0</v>
      </c>
      <c r="O251" t="n">
        <v>2</v>
      </c>
      <c r="P251" t="n">
        <v>0</v>
      </c>
      <c r="Q251" t="n">
        <v>3</v>
      </c>
      <c r="R251" s="2" t="inlineStr">
        <is>
          <t>Blå taggsvamp
Garnlav
Dropptaggsvamp</t>
        </is>
      </c>
      <c r="S251">
        <f>HYPERLINK("https://klasma.github.io/Logging_2582/artfynd/A 43640-2020 artfynd.xlsx", "A 43640-2020")</f>
        <v/>
      </c>
      <c r="T251">
        <f>HYPERLINK("https://klasma.github.io/Logging_2582/kartor/A 43640-2020 karta.png", "A 43640-2020")</f>
        <v/>
      </c>
      <c r="V251">
        <f>HYPERLINK("https://klasma.github.io/Logging_2582/klagomål/A 43640-2020 FSC-klagomål.docx", "A 43640-2020")</f>
        <v/>
      </c>
      <c r="W251">
        <f>HYPERLINK("https://klasma.github.io/Logging_2582/klagomålsmail/A 43640-2020 FSC-klagomål mail.docx", "A 43640-2020")</f>
        <v/>
      </c>
      <c r="X251">
        <f>HYPERLINK("https://klasma.github.io/Logging_2582/tillsyn/A 43640-2020 tillsynsbegäran.docx", "A 43640-2020")</f>
        <v/>
      </c>
      <c r="Y251">
        <f>HYPERLINK("https://klasma.github.io/Logging_2582/tillsynsmail/A 43640-2020 tillsynsbegäran mail.docx", "A 43640-2020")</f>
        <v/>
      </c>
    </row>
    <row r="252" ht="15" customHeight="1">
      <c r="A252" t="inlineStr">
        <is>
          <t>A 44419-2020</t>
        </is>
      </c>
      <c r="B252" s="1" t="n">
        <v>44084</v>
      </c>
      <c r="C252" s="1" t="n">
        <v>45356</v>
      </c>
      <c r="D252" t="inlineStr">
        <is>
          <t>NORRBOTTENS LÄN</t>
        </is>
      </c>
      <c r="E252" t="inlineStr">
        <is>
          <t>BODEN</t>
        </is>
      </c>
      <c r="F252" t="inlineStr">
        <is>
          <t>Sveaskog</t>
        </is>
      </c>
      <c r="G252" t="n">
        <v>3.1</v>
      </c>
      <c r="H252" t="n">
        <v>1</v>
      </c>
      <c r="I252" t="n">
        <v>0</v>
      </c>
      <c r="J252" t="n">
        <v>3</v>
      </c>
      <c r="K252" t="n">
        <v>0</v>
      </c>
      <c r="L252" t="n">
        <v>0</v>
      </c>
      <c r="M252" t="n">
        <v>0</v>
      </c>
      <c r="N252" t="n">
        <v>0</v>
      </c>
      <c r="O252" t="n">
        <v>3</v>
      </c>
      <c r="P252" t="n">
        <v>0</v>
      </c>
      <c r="Q252" t="n">
        <v>3</v>
      </c>
      <c r="R252" s="2" t="inlineStr">
        <is>
          <t>Garnlav
Tretåig hackspett
Vedskivlav</t>
        </is>
      </c>
      <c r="S252">
        <f>HYPERLINK("https://klasma.github.io/Logging_2582/artfynd/A 44419-2020 artfynd.xlsx", "A 44419-2020")</f>
        <v/>
      </c>
      <c r="T252">
        <f>HYPERLINK("https://klasma.github.io/Logging_2582/kartor/A 44419-2020 karta.png", "A 44419-2020")</f>
        <v/>
      </c>
      <c r="V252">
        <f>HYPERLINK("https://klasma.github.io/Logging_2582/klagomål/A 44419-2020 FSC-klagomål.docx", "A 44419-2020")</f>
        <v/>
      </c>
      <c r="W252">
        <f>HYPERLINK("https://klasma.github.io/Logging_2582/klagomålsmail/A 44419-2020 FSC-klagomål mail.docx", "A 44419-2020")</f>
        <v/>
      </c>
      <c r="X252">
        <f>HYPERLINK("https://klasma.github.io/Logging_2582/tillsyn/A 44419-2020 tillsynsbegäran.docx", "A 44419-2020")</f>
        <v/>
      </c>
      <c r="Y252">
        <f>HYPERLINK("https://klasma.github.io/Logging_2582/tillsynsmail/A 44419-2020 tillsynsbegäran mail.docx", "A 44419-2020")</f>
        <v/>
      </c>
      <c r="Z252">
        <f>HYPERLINK("https://klasma.github.io/Logging_2582/fåglar/A 44419-2020 prioriterade fågelarter.docx", "A 44419-2020")</f>
        <v/>
      </c>
    </row>
    <row r="253" ht="15" customHeight="1">
      <c r="A253" t="inlineStr">
        <is>
          <t>A 55246-2020</t>
        </is>
      </c>
      <c r="B253" s="1" t="n">
        <v>44130</v>
      </c>
      <c r="C253" s="1" t="n">
        <v>45356</v>
      </c>
      <c r="D253" t="inlineStr">
        <is>
          <t>NORRBOTTENS LÄN</t>
        </is>
      </c>
      <c r="E253" t="inlineStr">
        <is>
          <t>BODEN</t>
        </is>
      </c>
      <c r="F253" t="inlineStr">
        <is>
          <t>Sveaskog</t>
        </is>
      </c>
      <c r="G253" t="n">
        <v>4.5</v>
      </c>
      <c r="H253" t="n">
        <v>0</v>
      </c>
      <c r="I253" t="n">
        <v>1</v>
      </c>
      <c r="J253" t="n">
        <v>2</v>
      </c>
      <c r="K253" t="n">
        <v>0</v>
      </c>
      <c r="L253" t="n">
        <v>0</v>
      </c>
      <c r="M253" t="n">
        <v>0</v>
      </c>
      <c r="N253" t="n">
        <v>0</v>
      </c>
      <c r="O253" t="n">
        <v>2</v>
      </c>
      <c r="P253" t="n">
        <v>0</v>
      </c>
      <c r="Q253" t="n">
        <v>3</v>
      </c>
      <c r="R253" s="2" t="inlineStr">
        <is>
          <t>Gammelgransskål
Lunglav
Bronshjon</t>
        </is>
      </c>
      <c r="S253">
        <f>HYPERLINK("https://klasma.github.io/Logging_2582/artfynd/A 55246-2020 artfynd.xlsx", "A 55246-2020")</f>
        <v/>
      </c>
      <c r="T253">
        <f>HYPERLINK("https://klasma.github.io/Logging_2582/kartor/A 55246-2020 karta.png", "A 55246-2020")</f>
        <v/>
      </c>
      <c r="V253">
        <f>HYPERLINK("https://klasma.github.io/Logging_2582/klagomål/A 55246-2020 FSC-klagomål.docx", "A 55246-2020")</f>
        <v/>
      </c>
      <c r="W253">
        <f>HYPERLINK("https://klasma.github.io/Logging_2582/klagomålsmail/A 55246-2020 FSC-klagomål mail.docx", "A 55246-2020")</f>
        <v/>
      </c>
      <c r="X253">
        <f>HYPERLINK("https://klasma.github.io/Logging_2582/tillsyn/A 55246-2020 tillsynsbegäran.docx", "A 55246-2020")</f>
        <v/>
      </c>
      <c r="Y253">
        <f>HYPERLINK("https://klasma.github.io/Logging_2582/tillsynsmail/A 55246-2020 tillsynsbegäran mail.docx", "A 55246-2020")</f>
        <v/>
      </c>
    </row>
    <row r="254" ht="15" customHeight="1">
      <c r="A254" t="inlineStr">
        <is>
          <t>A 3458-2021</t>
        </is>
      </c>
      <c r="B254" s="1" t="n">
        <v>44216</v>
      </c>
      <c r="C254" s="1" t="n">
        <v>45356</v>
      </c>
      <c r="D254" t="inlineStr">
        <is>
          <t>NORRBOTTENS LÄN</t>
        </is>
      </c>
      <c r="E254" t="inlineStr">
        <is>
          <t>ÖVERTORNEÅ</t>
        </is>
      </c>
      <c r="G254" t="n">
        <v>3</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3458-2021 artfynd.xlsx", "A 3458-2021")</f>
        <v/>
      </c>
      <c r="T254">
        <f>HYPERLINK("https://klasma.github.io/Logging_2518/kartor/A 3458-2021 karta.png", "A 3458-2021")</f>
        <v/>
      </c>
      <c r="U254">
        <f>HYPERLINK("https://klasma.github.io/Logging_2518/knärot/A 3458-2021 karta knärot.png", "A 3458-2021")</f>
        <v/>
      </c>
      <c r="V254">
        <f>HYPERLINK("https://klasma.github.io/Logging_2518/klagomål/A 3458-2021 FSC-klagomål.docx", "A 3458-2021")</f>
        <v/>
      </c>
      <c r="W254">
        <f>HYPERLINK("https://klasma.github.io/Logging_2518/klagomålsmail/A 3458-2021 FSC-klagomål mail.docx", "A 3458-2021")</f>
        <v/>
      </c>
      <c r="X254">
        <f>HYPERLINK("https://klasma.github.io/Logging_2518/tillsyn/A 3458-2021 tillsynsbegäran.docx", "A 3458-2021")</f>
        <v/>
      </c>
      <c r="Y254">
        <f>HYPERLINK("https://klasma.github.io/Logging_2518/tillsynsmail/A 3458-2021 tillsynsbegäran mail.docx", "A 3458-2021")</f>
        <v/>
      </c>
    </row>
    <row r="255" ht="15" customHeight="1">
      <c r="A255" t="inlineStr">
        <is>
          <t>A 24447-2021</t>
        </is>
      </c>
      <c r="B255" s="1" t="n">
        <v>44337</v>
      </c>
      <c r="C255" s="1" t="n">
        <v>45356</v>
      </c>
      <c r="D255" t="inlineStr">
        <is>
          <t>NORRBOTTENS LÄN</t>
        </is>
      </c>
      <c r="E255" t="inlineStr">
        <is>
          <t>BODEN</t>
        </is>
      </c>
      <c r="F255" t="inlineStr">
        <is>
          <t>Sveaskog</t>
        </is>
      </c>
      <c r="G255" t="n">
        <v>3.7</v>
      </c>
      <c r="H255" t="n">
        <v>0</v>
      </c>
      <c r="I255" t="n">
        <v>2</v>
      </c>
      <c r="J255" t="n">
        <v>1</v>
      </c>
      <c r="K255" t="n">
        <v>0</v>
      </c>
      <c r="L255" t="n">
        <v>0</v>
      </c>
      <c r="M255" t="n">
        <v>0</v>
      </c>
      <c r="N255" t="n">
        <v>0</v>
      </c>
      <c r="O255" t="n">
        <v>1</v>
      </c>
      <c r="P255" t="n">
        <v>0</v>
      </c>
      <c r="Q255" t="n">
        <v>3</v>
      </c>
      <c r="R255" s="2" t="inlineStr">
        <is>
          <t>Lunglav
Bårdlav
Stuplav</t>
        </is>
      </c>
      <c r="S255">
        <f>HYPERLINK("https://klasma.github.io/Logging_2582/artfynd/A 24447-2021 artfynd.xlsx", "A 24447-2021")</f>
        <v/>
      </c>
      <c r="T255">
        <f>HYPERLINK("https://klasma.github.io/Logging_2582/kartor/A 24447-2021 karta.png", "A 24447-2021")</f>
        <v/>
      </c>
      <c r="V255">
        <f>HYPERLINK("https://klasma.github.io/Logging_2582/klagomål/A 24447-2021 FSC-klagomål.docx", "A 24447-2021")</f>
        <v/>
      </c>
      <c r="W255">
        <f>HYPERLINK("https://klasma.github.io/Logging_2582/klagomålsmail/A 24447-2021 FSC-klagomål mail.docx", "A 24447-2021")</f>
        <v/>
      </c>
      <c r="X255">
        <f>HYPERLINK("https://klasma.github.io/Logging_2582/tillsyn/A 24447-2021 tillsynsbegäran.docx", "A 24447-2021")</f>
        <v/>
      </c>
      <c r="Y255">
        <f>HYPERLINK("https://klasma.github.io/Logging_2582/tillsynsmail/A 24447-2021 tillsynsbegäran mail.docx", "A 24447-2021")</f>
        <v/>
      </c>
    </row>
    <row r="256" ht="15" customHeight="1">
      <c r="A256" t="inlineStr">
        <is>
          <t>A 46019-2021</t>
        </is>
      </c>
      <c r="B256" s="1" t="n">
        <v>44441</v>
      </c>
      <c r="C256" s="1" t="n">
        <v>45356</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52078-2021</t>
        </is>
      </c>
      <c r="B257" s="1" t="n">
        <v>44463</v>
      </c>
      <c r="C257" s="1" t="n">
        <v>45356</v>
      </c>
      <c r="D257" t="inlineStr">
        <is>
          <t>NORRBOTTENS LÄN</t>
        </is>
      </c>
      <c r="E257" t="inlineStr">
        <is>
          <t>BODEN</t>
        </is>
      </c>
      <c r="F257" t="inlineStr">
        <is>
          <t>Sveaskog</t>
        </is>
      </c>
      <c r="G257" t="n">
        <v>0.5</v>
      </c>
      <c r="H257" t="n">
        <v>1</v>
      </c>
      <c r="I257" t="n">
        <v>0</v>
      </c>
      <c r="J257" t="n">
        <v>2</v>
      </c>
      <c r="K257" t="n">
        <v>1</v>
      </c>
      <c r="L257" t="n">
        <v>0</v>
      </c>
      <c r="M257" t="n">
        <v>0</v>
      </c>
      <c r="N257" t="n">
        <v>0</v>
      </c>
      <c r="O257" t="n">
        <v>3</v>
      </c>
      <c r="P257" t="n">
        <v>1</v>
      </c>
      <c r="Q257" t="n">
        <v>3</v>
      </c>
      <c r="R257" s="2" t="inlineStr">
        <is>
          <t>Knärot
Granticka
Lunglav</t>
        </is>
      </c>
      <c r="S257">
        <f>HYPERLINK("https://klasma.github.io/Logging_2582/artfynd/A 52078-2021 artfynd.xlsx", "A 52078-2021")</f>
        <v/>
      </c>
      <c r="T257">
        <f>HYPERLINK("https://klasma.github.io/Logging_2582/kartor/A 52078-2021 karta.png", "A 52078-2021")</f>
        <v/>
      </c>
      <c r="U257">
        <f>HYPERLINK("https://klasma.github.io/Logging_2582/knärot/A 52078-2021 karta knärot.png", "A 52078-2021")</f>
        <v/>
      </c>
      <c r="V257">
        <f>HYPERLINK("https://klasma.github.io/Logging_2582/klagomål/A 52078-2021 FSC-klagomål.docx", "A 52078-2021")</f>
        <v/>
      </c>
      <c r="W257">
        <f>HYPERLINK("https://klasma.github.io/Logging_2582/klagomålsmail/A 52078-2021 FSC-klagomål mail.docx", "A 52078-2021")</f>
        <v/>
      </c>
      <c r="X257">
        <f>HYPERLINK("https://klasma.github.io/Logging_2582/tillsyn/A 52078-2021 tillsynsbegäran.docx", "A 52078-2021")</f>
        <v/>
      </c>
      <c r="Y257">
        <f>HYPERLINK("https://klasma.github.io/Logging_2582/tillsynsmail/A 52078-2021 tillsynsbegäran mail.docx", "A 52078-2021")</f>
        <v/>
      </c>
    </row>
    <row r="258" ht="15" customHeight="1">
      <c r="A258" t="inlineStr">
        <is>
          <t>A 60554-2021</t>
        </is>
      </c>
      <c r="B258" s="1" t="n">
        <v>44496</v>
      </c>
      <c r="C258" s="1" t="n">
        <v>45356</v>
      </c>
      <c r="D258" t="inlineStr">
        <is>
          <t>NORRBOTTENS LÄN</t>
        </is>
      </c>
      <c r="E258" t="inlineStr">
        <is>
          <t>ÖVERKALIX</t>
        </is>
      </c>
      <c r="F258" t="inlineStr">
        <is>
          <t>Sveaskog</t>
        </is>
      </c>
      <c r="G258" t="n">
        <v>7.4</v>
      </c>
      <c r="H258" t="n">
        <v>1</v>
      </c>
      <c r="I258" t="n">
        <v>1</v>
      </c>
      <c r="J258" t="n">
        <v>2</v>
      </c>
      <c r="K258" t="n">
        <v>0</v>
      </c>
      <c r="L258" t="n">
        <v>0</v>
      </c>
      <c r="M258" t="n">
        <v>0</v>
      </c>
      <c r="N258" t="n">
        <v>0</v>
      </c>
      <c r="O258" t="n">
        <v>2</v>
      </c>
      <c r="P258" t="n">
        <v>0</v>
      </c>
      <c r="Q258" t="n">
        <v>3</v>
      </c>
      <c r="R258" s="2" t="inlineStr">
        <is>
          <t>Tretåig hackspett
Veckticka
Luddlav</t>
        </is>
      </c>
      <c r="S258">
        <f>HYPERLINK("https://klasma.github.io/Logging_2513/artfynd/A 60554-2021 artfynd.xlsx", "A 60554-2021")</f>
        <v/>
      </c>
      <c r="T258">
        <f>HYPERLINK("https://klasma.github.io/Logging_2513/kartor/A 60554-2021 karta.png", "A 60554-2021")</f>
        <v/>
      </c>
      <c r="V258">
        <f>HYPERLINK("https://klasma.github.io/Logging_2513/klagomål/A 60554-2021 FSC-klagomål.docx", "A 60554-2021")</f>
        <v/>
      </c>
      <c r="W258">
        <f>HYPERLINK("https://klasma.github.io/Logging_2513/klagomålsmail/A 60554-2021 FSC-klagomål mail.docx", "A 60554-2021")</f>
        <v/>
      </c>
      <c r="X258">
        <f>HYPERLINK("https://klasma.github.io/Logging_2513/tillsyn/A 60554-2021 tillsynsbegäran.docx", "A 60554-2021")</f>
        <v/>
      </c>
      <c r="Y258">
        <f>HYPERLINK("https://klasma.github.io/Logging_2513/tillsynsmail/A 60554-2021 tillsynsbegäran mail.docx", "A 60554-2021")</f>
        <v/>
      </c>
      <c r="Z258">
        <f>HYPERLINK("https://klasma.github.io/Logging_2513/fåglar/A 60554-2021 prioriterade fågelarter.docx", "A 60554-2021")</f>
        <v/>
      </c>
    </row>
    <row r="259" ht="15" customHeight="1">
      <c r="A259" t="inlineStr">
        <is>
          <t>A 62610-2021</t>
        </is>
      </c>
      <c r="B259" s="1" t="n">
        <v>44503</v>
      </c>
      <c r="C259" s="1" t="n">
        <v>45356</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64289-2021</t>
        </is>
      </c>
      <c r="B260" s="1" t="n">
        <v>44510</v>
      </c>
      <c r="C260" s="1" t="n">
        <v>45356</v>
      </c>
      <c r="D260" t="inlineStr">
        <is>
          <t>NORRBOTTENS LÄN</t>
        </is>
      </c>
      <c r="E260" t="inlineStr">
        <is>
          <t>KALIX</t>
        </is>
      </c>
      <c r="F260" t="inlineStr">
        <is>
          <t>Sveaskog</t>
        </is>
      </c>
      <c r="G260" t="n">
        <v>18.9</v>
      </c>
      <c r="H260" t="n">
        <v>3</v>
      </c>
      <c r="I260" t="n">
        <v>0</v>
      </c>
      <c r="J260" t="n">
        <v>2</v>
      </c>
      <c r="K260" t="n">
        <v>0</v>
      </c>
      <c r="L260" t="n">
        <v>1</v>
      </c>
      <c r="M260" t="n">
        <v>0</v>
      </c>
      <c r="N260" t="n">
        <v>0</v>
      </c>
      <c r="O260" t="n">
        <v>3</v>
      </c>
      <c r="P260" t="n">
        <v>1</v>
      </c>
      <c r="Q260" t="n">
        <v>3</v>
      </c>
      <c r="R260" s="2" t="inlineStr">
        <is>
          <t>Grönfink
Spillkråka
Talltita</t>
        </is>
      </c>
      <c r="S260">
        <f>HYPERLINK("https://klasma.github.io/Logging_2514/artfynd/A 64289-2021 artfynd.xlsx", "A 64289-2021")</f>
        <v/>
      </c>
      <c r="T260">
        <f>HYPERLINK("https://klasma.github.io/Logging_2514/kartor/A 64289-2021 karta.png", "A 64289-2021")</f>
        <v/>
      </c>
      <c r="V260">
        <f>HYPERLINK("https://klasma.github.io/Logging_2514/klagomål/A 64289-2021 FSC-klagomål.docx", "A 64289-2021")</f>
        <v/>
      </c>
      <c r="W260">
        <f>HYPERLINK("https://klasma.github.io/Logging_2514/klagomålsmail/A 64289-2021 FSC-klagomål mail.docx", "A 64289-2021")</f>
        <v/>
      </c>
      <c r="X260">
        <f>HYPERLINK("https://klasma.github.io/Logging_2514/tillsyn/A 64289-2021 tillsynsbegäran.docx", "A 64289-2021")</f>
        <v/>
      </c>
      <c r="Y260">
        <f>HYPERLINK("https://klasma.github.io/Logging_2514/tillsynsmail/A 64289-2021 tillsynsbegäran mail.docx", "A 64289-2021")</f>
        <v/>
      </c>
      <c r="Z260">
        <f>HYPERLINK("https://klasma.github.io/Logging_2514/fåglar/A 64289-2021 prioriterade fågelarter.docx", "A 64289-2021")</f>
        <v/>
      </c>
    </row>
    <row r="261" ht="15" customHeight="1">
      <c r="A261" t="inlineStr">
        <is>
          <t>A 66859-2021</t>
        </is>
      </c>
      <c r="B261" s="1" t="n">
        <v>44522</v>
      </c>
      <c r="C261" s="1" t="n">
        <v>45356</v>
      </c>
      <c r="D261" t="inlineStr">
        <is>
          <t>NORRBOTTENS LÄN</t>
        </is>
      </c>
      <c r="E261" t="inlineStr">
        <is>
          <t>PITEÅ</t>
        </is>
      </c>
      <c r="F261" t="inlineStr">
        <is>
          <t>Sveaskog</t>
        </is>
      </c>
      <c r="G261" t="n">
        <v>0.9</v>
      </c>
      <c r="H261" t="n">
        <v>1</v>
      </c>
      <c r="I261" t="n">
        <v>2</v>
      </c>
      <c r="J261" t="n">
        <v>0</v>
      </c>
      <c r="K261" t="n">
        <v>0</v>
      </c>
      <c r="L261" t="n">
        <v>0</v>
      </c>
      <c r="M261" t="n">
        <v>0</v>
      </c>
      <c r="N261" t="n">
        <v>0</v>
      </c>
      <c r="O261" t="n">
        <v>0</v>
      </c>
      <c r="P261" t="n">
        <v>0</v>
      </c>
      <c r="Q261" t="n">
        <v>3</v>
      </c>
      <c r="R261" s="2" t="inlineStr">
        <is>
          <t>Hårjordtunga
Ögonpyrola
Nattviol</t>
        </is>
      </c>
      <c r="S261">
        <f>HYPERLINK("https://klasma.github.io/Logging_2581/artfynd/A 66859-2021 artfynd.xlsx", "A 66859-2021")</f>
        <v/>
      </c>
      <c r="T261">
        <f>HYPERLINK("https://klasma.github.io/Logging_2581/kartor/A 66859-2021 karta.png", "A 66859-2021")</f>
        <v/>
      </c>
      <c r="V261">
        <f>HYPERLINK("https://klasma.github.io/Logging_2581/klagomål/A 66859-2021 FSC-klagomål.docx", "A 66859-2021")</f>
        <v/>
      </c>
      <c r="W261">
        <f>HYPERLINK("https://klasma.github.io/Logging_2581/klagomålsmail/A 66859-2021 FSC-klagomål mail.docx", "A 66859-2021")</f>
        <v/>
      </c>
      <c r="X261">
        <f>HYPERLINK("https://klasma.github.io/Logging_2581/tillsyn/A 66859-2021 tillsynsbegäran.docx", "A 66859-2021")</f>
        <v/>
      </c>
      <c r="Y261">
        <f>HYPERLINK("https://klasma.github.io/Logging_2581/tillsynsmail/A 66859-2021 tillsynsbegäran mail.docx", "A 66859-2021")</f>
        <v/>
      </c>
    </row>
    <row r="262" ht="15" customHeight="1">
      <c r="A262" t="inlineStr">
        <is>
          <t>A 68201-2021</t>
        </is>
      </c>
      <c r="B262" s="1" t="n">
        <v>44526</v>
      </c>
      <c r="C262" s="1" t="n">
        <v>45356</v>
      </c>
      <c r="D262" t="inlineStr">
        <is>
          <t>NORRBOTTENS LÄN</t>
        </is>
      </c>
      <c r="E262" t="inlineStr">
        <is>
          <t>PITEÅ</t>
        </is>
      </c>
      <c r="G262" t="n">
        <v>6.3</v>
      </c>
      <c r="H262" t="n">
        <v>1</v>
      </c>
      <c r="I262" t="n">
        <v>0</v>
      </c>
      <c r="J262" t="n">
        <v>3</v>
      </c>
      <c r="K262" t="n">
        <v>0</v>
      </c>
      <c r="L262" t="n">
        <v>0</v>
      </c>
      <c r="M262" t="n">
        <v>0</v>
      </c>
      <c r="N262" t="n">
        <v>0</v>
      </c>
      <c r="O262" t="n">
        <v>3</v>
      </c>
      <c r="P262" t="n">
        <v>0</v>
      </c>
      <c r="Q262" t="n">
        <v>3</v>
      </c>
      <c r="R262" s="2" t="inlineStr">
        <is>
          <t>Gammelgransskål
Lunglav
Spillkråka</t>
        </is>
      </c>
      <c r="S262">
        <f>HYPERLINK("https://klasma.github.io/Logging_2581/artfynd/A 68201-2021 artfynd.xlsx", "A 68201-2021")</f>
        <v/>
      </c>
      <c r="T262">
        <f>HYPERLINK("https://klasma.github.io/Logging_2581/kartor/A 68201-2021 karta.png", "A 68201-2021")</f>
        <v/>
      </c>
      <c r="V262">
        <f>HYPERLINK("https://klasma.github.io/Logging_2581/klagomål/A 68201-2021 FSC-klagomål.docx", "A 68201-2021")</f>
        <v/>
      </c>
      <c r="W262">
        <f>HYPERLINK("https://klasma.github.io/Logging_2581/klagomålsmail/A 68201-2021 FSC-klagomål mail.docx", "A 68201-2021")</f>
        <v/>
      </c>
      <c r="X262">
        <f>HYPERLINK("https://klasma.github.io/Logging_2581/tillsyn/A 68201-2021 tillsynsbegäran.docx", "A 68201-2021")</f>
        <v/>
      </c>
      <c r="Y262">
        <f>HYPERLINK("https://klasma.github.io/Logging_2581/tillsynsmail/A 68201-2021 tillsynsbegäran mail.docx", "A 68201-2021")</f>
        <v/>
      </c>
      <c r="Z262">
        <f>HYPERLINK("https://klasma.github.io/Logging_2581/fåglar/A 68201-2021 prioriterade fågelarter.docx", "A 68201-2021")</f>
        <v/>
      </c>
    </row>
    <row r="263" ht="15" customHeight="1">
      <c r="A263" t="inlineStr">
        <is>
          <t>A 72477-2021</t>
        </is>
      </c>
      <c r="B263" s="1" t="n">
        <v>44545</v>
      </c>
      <c r="C263" s="1" t="n">
        <v>45356</v>
      </c>
      <c r="D263" t="inlineStr">
        <is>
          <t>NORRBOTTENS LÄN</t>
        </is>
      </c>
      <c r="E263" t="inlineStr">
        <is>
          <t>JOKKMOKK</t>
        </is>
      </c>
      <c r="G263" t="n">
        <v>18.1</v>
      </c>
      <c r="H263" t="n">
        <v>0</v>
      </c>
      <c r="I263" t="n">
        <v>0</v>
      </c>
      <c r="J263" t="n">
        <v>2</v>
      </c>
      <c r="K263" t="n">
        <v>1</v>
      </c>
      <c r="L263" t="n">
        <v>0</v>
      </c>
      <c r="M263" t="n">
        <v>0</v>
      </c>
      <c r="N263" t="n">
        <v>0</v>
      </c>
      <c r="O263" t="n">
        <v>3</v>
      </c>
      <c r="P263" t="n">
        <v>1</v>
      </c>
      <c r="Q263" t="n">
        <v>3</v>
      </c>
      <c r="R263" s="2" t="inlineStr">
        <is>
          <t>Gräddporing
Blågrå svartspik
Ladlav</t>
        </is>
      </c>
      <c r="S263">
        <f>HYPERLINK("https://klasma.github.io/Logging_2510/artfynd/A 72477-2021 artfynd.xlsx", "A 72477-2021")</f>
        <v/>
      </c>
      <c r="T263">
        <f>HYPERLINK("https://klasma.github.io/Logging_2510/kartor/A 72477-2021 karta.png", "A 72477-2021")</f>
        <v/>
      </c>
      <c r="V263">
        <f>HYPERLINK("https://klasma.github.io/Logging_2510/klagomål/A 72477-2021 FSC-klagomål.docx", "A 72477-2021")</f>
        <v/>
      </c>
      <c r="W263">
        <f>HYPERLINK("https://klasma.github.io/Logging_2510/klagomålsmail/A 72477-2021 FSC-klagomål mail.docx", "A 72477-2021")</f>
        <v/>
      </c>
      <c r="X263">
        <f>HYPERLINK("https://klasma.github.io/Logging_2510/tillsyn/A 72477-2021 tillsynsbegäran.docx", "A 72477-2021")</f>
        <v/>
      </c>
      <c r="Y263">
        <f>HYPERLINK("https://klasma.github.io/Logging_2510/tillsynsmail/A 72477-2021 tillsynsbegäran mail.docx", "A 72477-2021")</f>
        <v/>
      </c>
    </row>
    <row r="264" ht="15" customHeight="1">
      <c r="A264" t="inlineStr">
        <is>
          <t>A 73971-2021</t>
        </is>
      </c>
      <c r="B264" s="1" t="n">
        <v>44553</v>
      </c>
      <c r="C264" s="1" t="n">
        <v>45356</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7959-2022</t>
        </is>
      </c>
      <c r="B265" s="1" t="n">
        <v>44608</v>
      </c>
      <c r="C265" s="1" t="n">
        <v>45356</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15171-2022</t>
        </is>
      </c>
      <c r="B266" s="1" t="n">
        <v>44658</v>
      </c>
      <c r="C266" s="1" t="n">
        <v>45356</v>
      </c>
      <c r="D266" t="inlineStr">
        <is>
          <t>NORRBOTTENS LÄN</t>
        </is>
      </c>
      <c r="E266" t="inlineStr">
        <is>
          <t>ARJEPLOG</t>
        </is>
      </c>
      <c r="G266" t="n">
        <v>48</v>
      </c>
      <c r="H266" t="n">
        <v>1</v>
      </c>
      <c r="I266" t="n">
        <v>0</v>
      </c>
      <c r="J266" t="n">
        <v>3</v>
      </c>
      <c r="K266" t="n">
        <v>0</v>
      </c>
      <c r="L266" t="n">
        <v>0</v>
      </c>
      <c r="M266" t="n">
        <v>0</v>
      </c>
      <c r="N266" t="n">
        <v>0</v>
      </c>
      <c r="O266" t="n">
        <v>3</v>
      </c>
      <c r="P266" t="n">
        <v>0</v>
      </c>
      <c r="Q266" t="n">
        <v>3</v>
      </c>
      <c r="R266" s="2" t="inlineStr">
        <is>
          <t>Granticka
Lunglav
Tretåig hackspett</t>
        </is>
      </c>
      <c r="S266">
        <f>HYPERLINK("https://klasma.github.io/Logging_2506/artfynd/A 15171-2022 artfynd.xlsx", "A 15171-2022")</f>
        <v/>
      </c>
      <c r="T266">
        <f>HYPERLINK("https://klasma.github.io/Logging_2506/kartor/A 15171-2022 karta.png", "A 15171-2022")</f>
        <v/>
      </c>
      <c r="V266">
        <f>HYPERLINK("https://klasma.github.io/Logging_2506/klagomål/A 15171-2022 FSC-klagomål.docx", "A 15171-2022")</f>
        <v/>
      </c>
      <c r="W266">
        <f>HYPERLINK("https://klasma.github.io/Logging_2506/klagomålsmail/A 15171-2022 FSC-klagomål mail.docx", "A 15171-2022")</f>
        <v/>
      </c>
      <c r="X266">
        <f>HYPERLINK("https://klasma.github.io/Logging_2506/tillsyn/A 15171-2022 tillsynsbegäran.docx", "A 15171-2022")</f>
        <v/>
      </c>
      <c r="Y266">
        <f>HYPERLINK("https://klasma.github.io/Logging_2506/tillsynsmail/A 15171-2022 tillsynsbegäran mail.docx", "A 15171-2022")</f>
        <v/>
      </c>
      <c r="Z266">
        <f>HYPERLINK("https://klasma.github.io/Logging_2506/fåglar/A 15171-2022 prioriterade fågelarter.docx", "A 15171-2022")</f>
        <v/>
      </c>
    </row>
    <row r="267" ht="15" customHeight="1">
      <c r="A267" t="inlineStr">
        <is>
          <t>A 16752-2022</t>
        </is>
      </c>
      <c r="B267" s="1" t="n">
        <v>44673</v>
      </c>
      <c r="C267" s="1" t="n">
        <v>45356</v>
      </c>
      <c r="D267" t="inlineStr">
        <is>
          <t>NORRBOTTENS LÄN</t>
        </is>
      </c>
      <c r="E267" t="inlineStr">
        <is>
          <t>LULEÅ</t>
        </is>
      </c>
      <c r="G267" t="n">
        <v>14</v>
      </c>
      <c r="H267" t="n">
        <v>1</v>
      </c>
      <c r="I267" t="n">
        <v>1</v>
      </c>
      <c r="J267" t="n">
        <v>1</v>
      </c>
      <c r="K267" t="n">
        <v>0</v>
      </c>
      <c r="L267" t="n">
        <v>0</v>
      </c>
      <c r="M267" t="n">
        <v>0</v>
      </c>
      <c r="N267" t="n">
        <v>0</v>
      </c>
      <c r="O267" t="n">
        <v>1</v>
      </c>
      <c r="P267" t="n">
        <v>0</v>
      </c>
      <c r="Q267" t="n">
        <v>3</v>
      </c>
      <c r="R267" s="2" t="inlineStr">
        <is>
          <t>Vedskivlav
Nästlav
Fläcknycklar</t>
        </is>
      </c>
      <c r="S267">
        <f>HYPERLINK("https://klasma.github.io/Logging_2580/artfynd/A 16752-2022 artfynd.xlsx", "A 16752-2022")</f>
        <v/>
      </c>
      <c r="T267">
        <f>HYPERLINK("https://klasma.github.io/Logging_2580/kartor/A 16752-2022 karta.png", "A 16752-2022")</f>
        <v/>
      </c>
      <c r="V267">
        <f>HYPERLINK("https://klasma.github.io/Logging_2580/klagomål/A 16752-2022 FSC-klagomål.docx", "A 16752-2022")</f>
        <v/>
      </c>
      <c r="W267">
        <f>HYPERLINK("https://klasma.github.io/Logging_2580/klagomålsmail/A 16752-2022 FSC-klagomål mail.docx", "A 16752-2022")</f>
        <v/>
      </c>
      <c r="X267">
        <f>HYPERLINK("https://klasma.github.io/Logging_2580/tillsyn/A 16752-2022 tillsynsbegäran.docx", "A 16752-2022")</f>
        <v/>
      </c>
      <c r="Y267">
        <f>HYPERLINK("https://klasma.github.io/Logging_2580/tillsynsmail/A 16752-2022 tillsynsbegäran mail.docx", "A 16752-2022")</f>
        <v/>
      </c>
    </row>
    <row r="268" ht="15" customHeight="1">
      <c r="A268" t="inlineStr">
        <is>
          <t>A 30324-2022</t>
        </is>
      </c>
      <c r="B268" s="1" t="n">
        <v>44760</v>
      </c>
      <c r="C268" s="1" t="n">
        <v>45356</v>
      </c>
      <c r="D268" t="inlineStr">
        <is>
          <t>NORRBOTTENS LÄN</t>
        </is>
      </c>
      <c r="E268" t="inlineStr">
        <is>
          <t>PAJALA</t>
        </is>
      </c>
      <c r="G268" t="n">
        <v>19.5</v>
      </c>
      <c r="H268" t="n">
        <v>3</v>
      </c>
      <c r="I268" t="n">
        <v>0</v>
      </c>
      <c r="J268" t="n">
        <v>1</v>
      </c>
      <c r="K268" t="n">
        <v>0</v>
      </c>
      <c r="L268" t="n">
        <v>0</v>
      </c>
      <c r="M268" t="n">
        <v>0</v>
      </c>
      <c r="N268" t="n">
        <v>0</v>
      </c>
      <c r="O268" t="n">
        <v>1</v>
      </c>
      <c r="P268" t="n">
        <v>0</v>
      </c>
      <c r="Q268" t="n">
        <v>3</v>
      </c>
      <c r="R268" s="2" t="inlineStr">
        <is>
          <t>Rödvingetrast
Gök
Tjäder</t>
        </is>
      </c>
      <c r="S268">
        <f>HYPERLINK("https://klasma.github.io/Logging_2521/artfynd/A 30324-2022 artfynd.xlsx", "A 30324-2022")</f>
        <v/>
      </c>
      <c r="T268">
        <f>HYPERLINK("https://klasma.github.io/Logging_2521/kartor/A 30324-2022 karta.png", "A 30324-2022")</f>
        <v/>
      </c>
      <c r="V268">
        <f>HYPERLINK("https://klasma.github.io/Logging_2521/klagomål/A 30324-2022 FSC-klagomål.docx", "A 30324-2022")</f>
        <v/>
      </c>
      <c r="W268">
        <f>HYPERLINK("https://klasma.github.io/Logging_2521/klagomålsmail/A 30324-2022 FSC-klagomål mail.docx", "A 30324-2022")</f>
        <v/>
      </c>
      <c r="X268">
        <f>HYPERLINK("https://klasma.github.io/Logging_2521/tillsyn/A 30324-2022 tillsynsbegäran.docx", "A 30324-2022")</f>
        <v/>
      </c>
      <c r="Y268">
        <f>HYPERLINK("https://klasma.github.io/Logging_2521/tillsynsmail/A 30324-2022 tillsynsbegäran mail.docx", "A 30324-2022")</f>
        <v/>
      </c>
      <c r="Z268">
        <f>HYPERLINK("https://klasma.github.io/Logging_2521/fåglar/A 30324-2022 prioriterade fågelarter.docx", "A 30324-2022")</f>
        <v/>
      </c>
    </row>
    <row r="269" ht="15" customHeight="1">
      <c r="A269" t="inlineStr">
        <is>
          <t>A 33453-2022</t>
        </is>
      </c>
      <c r="B269" s="1" t="n">
        <v>44788</v>
      </c>
      <c r="C269" s="1" t="n">
        <v>45356</v>
      </c>
      <c r="D269" t="inlineStr">
        <is>
          <t>NORRBOTTENS LÄN</t>
        </is>
      </c>
      <c r="E269" t="inlineStr">
        <is>
          <t>ARVIDSJAUR</t>
        </is>
      </c>
      <c r="F269" t="inlineStr">
        <is>
          <t>Allmännings- och besparingsskogar</t>
        </is>
      </c>
      <c r="G269" t="n">
        <v>18</v>
      </c>
      <c r="H269" t="n">
        <v>0</v>
      </c>
      <c r="I269" t="n">
        <v>0</v>
      </c>
      <c r="J269" t="n">
        <v>2</v>
      </c>
      <c r="K269" t="n">
        <v>1</v>
      </c>
      <c r="L269" t="n">
        <v>0</v>
      </c>
      <c r="M269" t="n">
        <v>0</v>
      </c>
      <c r="N269" t="n">
        <v>0</v>
      </c>
      <c r="O269" t="n">
        <v>3</v>
      </c>
      <c r="P269" t="n">
        <v>1</v>
      </c>
      <c r="Q269" t="n">
        <v>3</v>
      </c>
      <c r="R269" s="2" t="inlineStr">
        <is>
          <t>Fläckporing
Gränsticka
Nordtagging</t>
        </is>
      </c>
      <c r="S269">
        <f>HYPERLINK("https://klasma.github.io/Logging_2505/artfynd/A 33453-2022 artfynd.xlsx", "A 33453-2022")</f>
        <v/>
      </c>
      <c r="T269">
        <f>HYPERLINK("https://klasma.github.io/Logging_2505/kartor/A 33453-2022 karta.png", "A 33453-2022")</f>
        <v/>
      </c>
      <c r="V269">
        <f>HYPERLINK("https://klasma.github.io/Logging_2505/klagomål/A 33453-2022 FSC-klagomål.docx", "A 33453-2022")</f>
        <v/>
      </c>
      <c r="W269">
        <f>HYPERLINK("https://klasma.github.io/Logging_2505/klagomålsmail/A 33453-2022 FSC-klagomål mail.docx", "A 33453-2022")</f>
        <v/>
      </c>
      <c r="X269">
        <f>HYPERLINK("https://klasma.github.io/Logging_2505/tillsyn/A 33453-2022 tillsynsbegäran.docx", "A 33453-2022")</f>
        <v/>
      </c>
      <c r="Y269">
        <f>HYPERLINK("https://klasma.github.io/Logging_2505/tillsynsmail/A 33453-2022 tillsynsbegäran mail.docx", "A 33453-2022")</f>
        <v/>
      </c>
    </row>
    <row r="270" ht="15" customHeight="1">
      <c r="A270" t="inlineStr">
        <is>
          <t>A 35090-2022</t>
        </is>
      </c>
      <c r="B270" s="1" t="n">
        <v>44797</v>
      </c>
      <c r="C270" s="1" t="n">
        <v>45356</v>
      </c>
      <c r="D270" t="inlineStr">
        <is>
          <t>NORRBOTTENS LÄN</t>
        </is>
      </c>
      <c r="E270" t="inlineStr">
        <is>
          <t>GÄLLIVARE</t>
        </is>
      </c>
      <c r="G270" t="n">
        <v>6.8</v>
      </c>
      <c r="H270" t="n">
        <v>0</v>
      </c>
      <c r="I270" t="n">
        <v>0</v>
      </c>
      <c r="J270" t="n">
        <v>2</v>
      </c>
      <c r="K270" t="n">
        <v>1</v>
      </c>
      <c r="L270" t="n">
        <v>0</v>
      </c>
      <c r="M270" t="n">
        <v>0</v>
      </c>
      <c r="N270" t="n">
        <v>0</v>
      </c>
      <c r="O270" t="n">
        <v>3</v>
      </c>
      <c r="P270" t="n">
        <v>1</v>
      </c>
      <c r="Q270" t="n">
        <v>3</v>
      </c>
      <c r="R270" s="2" t="inlineStr">
        <is>
          <t>Fläckporing
Garnlav
Violmussling</t>
        </is>
      </c>
      <c r="S270">
        <f>HYPERLINK("https://klasma.github.io/Logging_2523/artfynd/A 35090-2022 artfynd.xlsx", "A 35090-2022")</f>
        <v/>
      </c>
      <c r="T270">
        <f>HYPERLINK("https://klasma.github.io/Logging_2523/kartor/A 35090-2022 karta.png", "A 35090-2022")</f>
        <v/>
      </c>
      <c r="V270">
        <f>HYPERLINK("https://klasma.github.io/Logging_2523/klagomål/A 35090-2022 FSC-klagomål.docx", "A 35090-2022")</f>
        <v/>
      </c>
      <c r="W270">
        <f>HYPERLINK("https://klasma.github.io/Logging_2523/klagomålsmail/A 35090-2022 FSC-klagomål mail.docx", "A 35090-2022")</f>
        <v/>
      </c>
      <c r="X270">
        <f>HYPERLINK("https://klasma.github.io/Logging_2523/tillsyn/A 35090-2022 tillsynsbegäran.docx", "A 35090-2022")</f>
        <v/>
      </c>
      <c r="Y270">
        <f>HYPERLINK("https://klasma.github.io/Logging_2523/tillsynsmail/A 35090-2022 tillsynsbegäran mail.docx", "A 35090-2022")</f>
        <v/>
      </c>
    </row>
    <row r="271" ht="15" customHeight="1">
      <c r="A271" t="inlineStr">
        <is>
          <t>A 37113-2022</t>
        </is>
      </c>
      <c r="B271" s="1" t="n">
        <v>44806</v>
      </c>
      <c r="C271" s="1" t="n">
        <v>45356</v>
      </c>
      <c r="D271" t="inlineStr">
        <is>
          <t>NORRBOTTENS LÄN</t>
        </is>
      </c>
      <c r="E271" t="inlineStr">
        <is>
          <t>ARVIDSJAUR</t>
        </is>
      </c>
      <c r="F271" t="inlineStr">
        <is>
          <t>Sveaskog</t>
        </is>
      </c>
      <c r="G271" t="n">
        <v>6.6</v>
      </c>
      <c r="H271" t="n">
        <v>0</v>
      </c>
      <c r="I271" t="n">
        <v>1</v>
      </c>
      <c r="J271" t="n">
        <v>1</v>
      </c>
      <c r="K271" t="n">
        <v>1</v>
      </c>
      <c r="L271" t="n">
        <v>0</v>
      </c>
      <c r="M271" t="n">
        <v>0</v>
      </c>
      <c r="N271" t="n">
        <v>0</v>
      </c>
      <c r="O271" t="n">
        <v>2</v>
      </c>
      <c r="P271" t="n">
        <v>1</v>
      </c>
      <c r="Q271" t="n">
        <v>3</v>
      </c>
      <c r="R271" s="2" t="inlineStr">
        <is>
          <t>Gräddporing
Svart taggsvamp
Dropptaggsvamp</t>
        </is>
      </c>
      <c r="S271">
        <f>HYPERLINK("https://klasma.github.io/Logging_2505/artfynd/A 37113-2022 artfynd.xlsx", "A 37113-2022")</f>
        <v/>
      </c>
      <c r="T271">
        <f>HYPERLINK("https://klasma.github.io/Logging_2505/kartor/A 37113-2022 karta.png", "A 37113-2022")</f>
        <v/>
      </c>
      <c r="V271">
        <f>HYPERLINK("https://klasma.github.io/Logging_2505/klagomål/A 37113-2022 FSC-klagomål.docx", "A 37113-2022")</f>
        <v/>
      </c>
      <c r="W271">
        <f>HYPERLINK("https://klasma.github.io/Logging_2505/klagomålsmail/A 37113-2022 FSC-klagomål mail.docx", "A 37113-2022")</f>
        <v/>
      </c>
      <c r="X271">
        <f>HYPERLINK("https://klasma.github.io/Logging_2505/tillsyn/A 37113-2022 tillsynsbegäran.docx", "A 37113-2022")</f>
        <v/>
      </c>
      <c r="Y271">
        <f>HYPERLINK("https://klasma.github.io/Logging_2505/tillsynsmail/A 37113-2022 tillsynsbegäran mail.docx", "A 37113-2022")</f>
        <v/>
      </c>
    </row>
    <row r="272" ht="15" customHeight="1">
      <c r="A272" t="inlineStr">
        <is>
          <t>A 37703-2022</t>
        </is>
      </c>
      <c r="B272" s="1" t="n">
        <v>44810</v>
      </c>
      <c r="C272" s="1" t="n">
        <v>45356</v>
      </c>
      <c r="D272" t="inlineStr">
        <is>
          <t>NORRBOTTENS LÄN</t>
        </is>
      </c>
      <c r="E272" t="inlineStr">
        <is>
          <t>PITEÅ</t>
        </is>
      </c>
      <c r="F272" t="inlineStr">
        <is>
          <t>Sveaskog</t>
        </is>
      </c>
      <c r="G272" t="n">
        <v>11.6</v>
      </c>
      <c r="H272" t="n">
        <v>0</v>
      </c>
      <c r="I272" t="n">
        <v>1</v>
      </c>
      <c r="J272" t="n">
        <v>2</v>
      </c>
      <c r="K272" t="n">
        <v>0</v>
      </c>
      <c r="L272" t="n">
        <v>0</v>
      </c>
      <c r="M272" t="n">
        <v>0</v>
      </c>
      <c r="N272" t="n">
        <v>0</v>
      </c>
      <c r="O272" t="n">
        <v>2</v>
      </c>
      <c r="P272" t="n">
        <v>0</v>
      </c>
      <c r="Q272" t="n">
        <v>3</v>
      </c>
      <c r="R272" s="2" t="inlineStr">
        <is>
          <t>Nordtagging
Tallticka
Skarp dropptaggsvamp</t>
        </is>
      </c>
      <c r="S272">
        <f>HYPERLINK("https://klasma.github.io/Logging_2581/artfynd/A 37703-2022 artfynd.xlsx", "A 37703-2022")</f>
        <v/>
      </c>
      <c r="T272">
        <f>HYPERLINK("https://klasma.github.io/Logging_2581/kartor/A 37703-2022 karta.png", "A 37703-2022")</f>
        <v/>
      </c>
      <c r="V272">
        <f>HYPERLINK("https://klasma.github.io/Logging_2581/klagomål/A 37703-2022 FSC-klagomål.docx", "A 37703-2022")</f>
        <v/>
      </c>
      <c r="W272">
        <f>HYPERLINK("https://klasma.github.io/Logging_2581/klagomålsmail/A 37703-2022 FSC-klagomål mail.docx", "A 37703-2022")</f>
        <v/>
      </c>
      <c r="X272">
        <f>HYPERLINK("https://klasma.github.io/Logging_2581/tillsyn/A 37703-2022 tillsynsbegäran.docx", "A 37703-2022")</f>
        <v/>
      </c>
      <c r="Y272">
        <f>HYPERLINK("https://klasma.github.io/Logging_2581/tillsynsmail/A 37703-2022 tillsynsbegäran mail.docx", "A 37703-2022")</f>
        <v/>
      </c>
    </row>
    <row r="273" ht="15" customHeight="1">
      <c r="A273" t="inlineStr">
        <is>
          <t>A 38022-2022</t>
        </is>
      </c>
      <c r="B273" s="1" t="n">
        <v>44811</v>
      </c>
      <c r="C273" s="1" t="n">
        <v>45356</v>
      </c>
      <c r="D273" t="inlineStr">
        <is>
          <t>NORRBOTTENS LÄN</t>
        </is>
      </c>
      <c r="E273" t="inlineStr">
        <is>
          <t>ÖVERKALIX</t>
        </is>
      </c>
      <c r="F273" t="inlineStr">
        <is>
          <t>Sveaskog</t>
        </is>
      </c>
      <c r="G273" t="n">
        <v>28</v>
      </c>
      <c r="H273" t="n">
        <v>0</v>
      </c>
      <c r="I273" t="n">
        <v>1</v>
      </c>
      <c r="J273" t="n">
        <v>2</v>
      </c>
      <c r="K273" t="n">
        <v>0</v>
      </c>
      <c r="L273" t="n">
        <v>0</v>
      </c>
      <c r="M273" t="n">
        <v>0</v>
      </c>
      <c r="N273" t="n">
        <v>0</v>
      </c>
      <c r="O273" t="n">
        <v>2</v>
      </c>
      <c r="P273" t="n">
        <v>0</v>
      </c>
      <c r="Q273" t="n">
        <v>3</v>
      </c>
      <c r="R273" s="2" t="inlineStr">
        <is>
          <t>Blå taggsvamp
Orange taggsvamp
Dropptaggsvamp</t>
        </is>
      </c>
      <c r="S273">
        <f>HYPERLINK("https://klasma.github.io/Logging_2513/artfynd/A 38022-2022 artfynd.xlsx", "A 38022-2022")</f>
        <v/>
      </c>
      <c r="T273">
        <f>HYPERLINK("https://klasma.github.io/Logging_2513/kartor/A 38022-2022 karta.png", "A 38022-2022")</f>
        <v/>
      </c>
      <c r="V273">
        <f>HYPERLINK("https://klasma.github.io/Logging_2513/klagomål/A 38022-2022 FSC-klagomål.docx", "A 38022-2022")</f>
        <v/>
      </c>
      <c r="W273">
        <f>HYPERLINK("https://klasma.github.io/Logging_2513/klagomålsmail/A 38022-2022 FSC-klagomål mail.docx", "A 38022-2022")</f>
        <v/>
      </c>
      <c r="X273">
        <f>HYPERLINK("https://klasma.github.io/Logging_2513/tillsyn/A 38022-2022 tillsynsbegäran.docx", "A 38022-2022")</f>
        <v/>
      </c>
      <c r="Y273">
        <f>HYPERLINK("https://klasma.github.io/Logging_2513/tillsynsmail/A 38022-2022 tillsynsbegäran mail.docx", "A 38022-2022")</f>
        <v/>
      </c>
    </row>
    <row r="274" ht="15" customHeight="1">
      <c r="A274" t="inlineStr">
        <is>
          <t>A 51247-2022</t>
        </is>
      </c>
      <c r="B274" s="1" t="n">
        <v>44868</v>
      </c>
      <c r="C274" s="1" t="n">
        <v>45356</v>
      </c>
      <c r="D274" t="inlineStr">
        <is>
          <t>NORRBOTTENS LÄN</t>
        </is>
      </c>
      <c r="E274" t="inlineStr">
        <is>
          <t>BODEN</t>
        </is>
      </c>
      <c r="F274" t="inlineStr">
        <is>
          <t>Sveaskog</t>
        </is>
      </c>
      <c r="G274" t="n">
        <v>9.800000000000001</v>
      </c>
      <c r="H274" t="n">
        <v>1</v>
      </c>
      <c r="I274" t="n">
        <v>0</v>
      </c>
      <c r="J274" t="n">
        <v>2</v>
      </c>
      <c r="K274" t="n">
        <v>1</v>
      </c>
      <c r="L274" t="n">
        <v>0</v>
      </c>
      <c r="M274" t="n">
        <v>0</v>
      </c>
      <c r="N274" t="n">
        <v>0</v>
      </c>
      <c r="O274" t="n">
        <v>3</v>
      </c>
      <c r="P274" t="n">
        <v>1</v>
      </c>
      <c r="Q274" t="n">
        <v>3</v>
      </c>
      <c r="R274" s="2" t="inlineStr">
        <is>
          <t>Doftticka
Koralltaggsvamp
Lunglav</t>
        </is>
      </c>
      <c r="S274">
        <f>HYPERLINK("https://klasma.github.io/Logging_2582/artfynd/A 51247-2022 artfynd.xlsx", "A 51247-2022")</f>
        <v/>
      </c>
      <c r="T274">
        <f>HYPERLINK("https://klasma.github.io/Logging_2582/kartor/A 51247-2022 karta.png", "A 51247-2022")</f>
        <v/>
      </c>
      <c r="V274">
        <f>HYPERLINK("https://klasma.github.io/Logging_2582/klagomål/A 51247-2022 FSC-klagomål.docx", "A 51247-2022")</f>
        <v/>
      </c>
      <c r="W274">
        <f>HYPERLINK("https://klasma.github.io/Logging_2582/klagomålsmail/A 51247-2022 FSC-klagomål mail.docx", "A 51247-2022")</f>
        <v/>
      </c>
      <c r="X274">
        <f>HYPERLINK("https://klasma.github.io/Logging_2582/tillsyn/A 51247-2022 tillsynsbegäran.docx", "A 51247-2022")</f>
        <v/>
      </c>
      <c r="Y274">
        <f>HYPERLINK("https://klasma.github.io/Logging_2582/tillsynsmail/A 51247-2022 tillsynsbegäran mail.docx", "A 51247-2022")</f>
        <v/>
      </c>
    </row>
    <row r="275" ht="15" customHeight="1">
      <c r="A275" t="inlineStr">
        <is>
          <t>A 53005-2022</t>
        </is>
      </c>
      <c r="B275" s="1" t="n">
        <v>44875</v>
      </c>
      <c r="C275" s="1" t="n">
        <v>45356</v>
      </c>
      <c r="D275" t="inlineStr">
        <is>
          <t>NORRBOTTENS LÄN</t>
        </is>
      </c>
      <c r="E275" t="inlineStr">
        <is>
          <t>BODEN</t>
        </is>
      </c>
      <c r="F275" t="inlineStr">
        <is>
          <t>SCA</t>
        </is>
      </c>
      <c r="G275" t="n">
        <v>5.7</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HYPERLINK("https://klasma.github.io/Logging_2582/artfynd/A 53005-2022 artfynd.xlsx", "A 53005-2022")</f>
        <v/>
      </c>
      <c r="T275">
        <f>HYPERLINK("https://klasma.github.io/Logging_2582/kartor/A 53005-2022 karta.png", "A 53005-2022")</f>
        <v/>
      </c>
      <c r="V275">
        <f>HYPERLINK("https://klasma.github.io/Logging_2582/klagomål/A 53005-2022 FSC-klagomål.docx", "A 53005-2022")</f>
        <v/>
      </c>
      <c r="W275">
        <f>HYPERLINK("https://klasma.github.io/Logging_2582/klagomålsmail/A 53005-2022 FSC-klagomål mail.docx", "A 53005-2022")</f>
        <v/>
      </c>
      <c r="X275">
        <f>HYPERLINK("https://klasma.github.io/Logging_2582/tillsyn/A 53005-2022 tillsynsbegäran.docx", "A 53005-2022")</f>
        <v/>
      </c>
      <c r="Y275">
        <f>HYPERLINK("https://klasma.github.io/Logging_2582/tillsynsmail/A 53005-2022 tillsynsbegäran mail.docx", "A 53005-2022")</f>
        <v/>
      </c>
    </row>
    <row r="276" ht="15" customHeight="1">
      <c r="A276" t="inlineStr">
        <is>
          <t>A 59358-2022</t>
        </is>
      </c>
      <c r="B276" s="1" t="n">
        <v>44904</v>
      </c>
      <c r="C276" s="1" t="n">
        <v>45356</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61137-2022</t>
        </is>
      </c>
      <c r="B277" s="1" t="n">
        <v>44915</v>
      </c>
      <c r="C277" s="1" t="n">
        <v>45356</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61712-2022</t>
        </is>
      </c>
      <c r="B278" s="1" t="n">
        <v>44917</v>
      </c>
      <c r="C278" s="1" t="n">
        <v>45356</v>
      </c>
      <c r="D278" t="inlineStr">
        <is>
          <t>NORRBOTTENS LÄN</t>
        </is>
      </c>
      <c r="E278" t="inlineStr">
        <is>
          <t>PITEÅ</t>
        </is>
      </c>
      <c r="F278" t="inlineStr">
        <is>
          <t>Sveaskog</t>
        </is>
      </c>
      <c r="G278" t="n">
        <v>4.2</v>
      </c>
      <c r="H278" t="n">
        <v>2</v>
      </c>
      <c r="I278" t="n">
        <v>0</v>
      </c>
      <c r="J278" t="n">
        <v>1</v>
      </c>
      <c r="K278" t="n">
        <v>0</v>
      </c>
      <c r="L278" t="n">
        <v>0</v>
      </c>
      <c r="M278" t="n">
        <v>0</v>
      </c>
      <c r="N278" t="n">
        <v>0</v>
      </c>
      <c r="O278" t="n">
        <v>1</v>
      </c>
      <c r="P278" t="n">
        <v>0</v>
      </c>
      <c r="Q278" t="n">
        <v>3</v>
      </c>
      <c r="R278" s="2" t="inlineStr">
        <is>
          <t>Garnlav
Mattlummer
Revlummer</t>
        </is>
      </c>
      <c r="S278">
        <f>HYPERLINK("https://klasma.github.io/Logging_2581/artfynd/A 61712-2022 artfynd.xlsx", "A 61712-2022")</f>
        <v/>
      </c>
      <c r="T278">
        <f>HYPERLINK("https://klasma.github.io/Logging_2581/kartor/A 61712-2022 karta.png", "A 61712-2022")</f>
        <v/>
      </c>
      <c r="V278">
        <f>HYPERLINK("https://klasma.github.io/Logging_2581/klagomål/A 61712-2022 FSC-klagomål.docx", "A 61712-2022")</f>
        <v/>
      </c>
      <c r="W278">
        <f>HYPERLINK("https://klasma.github.io/Logging_2581/klagomålsmail/A 61712-2022 FSC-klagomål mail.docx", "A 61712-2022")</f>
        <v/>
      </c>
      <c r="X278">
        <f>HYPERLINK("https://klasma.github.io/Logging_2581/tillsyn/A 61712-2022 tillsynsbegäran.docx", "A 61712-2022")</f>
        <v/>
      </c>
      <c r="Y278">
        <f>HYPERLINK("https://klasma.github.io/Logging_2581/tillsynsmail/A 61712-2022 tillsynsbegäran mail.docx", "A 61712-2022")</f>
        <v/>
      </c>
    </row>
    <row r="279" ht="15" customHeight="1">
      <c r="A279" t="inlineStr">
        <is>
          <t>A 3752-2023</t>
        </is>
      </c>
      <c r="B279" s="1" t="n">
        <v>44949</v>
      </c>
      <c r="C279" s="1" t="n">
        <v>45356</v>
      </c>
      <c r="D279" t="inlineStr">
        <is>
          <t>NORRBOTTENS LÄN</t>
        </is>
      </c>
      <c r="E279" t="inlineStr">
        <is>
          <t>ÄLVSBYN</t>
        </is>
      </c>
      <c r="G279" t="n">
        <v>3.7</v>
      </c>
      <c r="H279" t="n">
        <v>1</v>
      </c>
      <c r="I279" t="n">
        <v>0</v>
      </c>
      <c r="J279" t="n">
        <v>3</v>
      </c>
      <c r="K279" t="n">
        <v>0</v>
      </c>
      <c r="L279" t="n">
        <v>0</v>
      </c>
      <c r="M279" t="n">
        <v>0</v>
      </c>
      <c r="N279" t="n">
        <v>0</v>
      </c>
      <c r="O279" t="n">
        <v>3</v>
      </c>
      <c r="P279" t="n">
        <v>0</v>
      </c>
      <c r="Q279" t="n">
        <v>3</v>
      </c>
      <c r="R279" s="2" t="inlineStr">
        <is>
          <t>Garnlav
Tretåig hackspett
Ullticka</t>
        </is>
      </c>
      <c r="S279">
        <f>HYPERLINK("https://klasma.github.io/Logging_2560/artfynd/A 3752-2023 artfynd.xlsx", "A 3752-2023")</f>
        <v/>
      </c>
      <c r="T279">
        <f>HYPERLINK("https://klasma.github.io/Logging_2560/kartor/A 3752-2023 karta.png", "A 3752-2023")</f>
        <v/>
      </c>
      <c r="V279">
        <f>HYPERLINK("https://klasma.github.io/Logging_2560/klagomål/A 3752-2023 FSC-klagomål.docx", "A 3752-2023")</f>
        <v/>
      </c>
      <c r="W279">
        <f>HYPERLINK("https://klasma.github.io/Logging_2560/klagomålsmail/A 3752-2023 FSC-klagomål mail.docx", "A 3752-2023")</f>
        <v/>
      </c>
      <c r="X279">
        <f>HYPERLINK("https://klasma.github.io/Logging_2560/tillsyn/A 3752-2023 tillsynsbegäran.docx", "A 3752-2023")</f>
        <v/>
      </c>
      <c r="Y279">
        <f>HYPERLINK("https://klasma.github.io/Logging_2560/tillsynsmail/A 3752-2023 tillsynsbegäran mail.docx", "A 3752-2023")</f>
        <v/>
      </c>
      <c r="Z279">
        <f>HYPERLINK("https://klasma.github.io/Logging_2560/fåglar/A 3752-2023 prioriterade fågelarter.docx", "A 3752-2023")</f>
        <v/>
      </c>
    </row>
    <row r="280" ht="15" customHeight="1">
      <c r="A280" t="inlineStr">
        <is>
          <t>A 14482-2023</t>
        </is>
      </c>
      <c r="B280" s="1" t="n">
        <v>45012</v>
      </c>
      <c r="C280" s="1" t="n">
        <v>45356</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17705-2023</t>
        </is>
      </c>
      <c r="B281" s="1" t="n">
        <v>45035</v>
      </c>
      <c r="C281" s="1" t="n">
        <v>45356</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45356</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23020-2023</t>
        </is>
      </c>
      <c r="B283" s="1" t="n">
        <v>45073</v>
      </c>
      <c r="C283" s="1" t="n">
        <v>45356</v>
      </c>
      <c r="D283" t="inlineStr">
        <is>
          <t>NORRBOTTENS LÄN</t>
        </is>
      </c>
      <c r="E283" t="inlineStr">
        <is>
          <t>JOKKMOKK</t>
        </is>
      </c>
      <c r="F283" t="inlineStr">
        <is>
          <t>SCA</t>
        </is>
      </c>
      <c r="G283" t="n">
        <v>3.7</v>
      </c>
      <c r="H283" t="n">
        <v>0</v>
      </c>
      <c r="I283" t="n">
        <v>1</v>
      </c>
      <c r="J283" t="n">
        <v>2</v>
      </c>
      <c r="K283" t="n">
        <v>0</v>
      </c>
      <c r="L283" t="n">
        <v>0</v>
      </c>
      <c r="M283" t="n">
        <v>0</v>
      </c>
      <c r="N283" t="n">
        <v>0</v>
      </c>
      <c r="O283" t="n">
        <v>2</v>
      </c>
      <c r="P283" t="n">
        <v>0</v>
      </c>
      <c r="Q283" t="n">
        <v>3</v>
      </c>
      <c r="R283" s="2" t="inlineStr">
        <is>
          <t>Gammelgransskål
Garnlav
Bollvitmossa</t>
        </is>
      </c>
      <c r="S283">
        <f>HYPERLINK("https://klasma.github.io/Logging_2510/artfynd/A 23020-2023 artfynd.xlsx", "A 23020-2023")</f>
        <v/>
      </c>
      <c r="T283">
        <f>HYPERLINK("https://klasma.github.io/Logging_2510/kartor/A 23020-2023 karta.png", "A 23020-2023")</f>
        <v/>
      </c>
      <c r="V283">
        <f>HYPERLINK("https://klasma.github.io/Logging_2510/klagomål/A 23020-2023 FSC-klagomål.docx", "A 23020-2023")</f>
        <v/>
      </c>
      <c r="W283">
        <f>HYPERLINK("https://klasma.github.io/Logging_2510/klagomålsmail/A 23020-2023 FSC-klagomål mail.docx", "A 23020-2023")</f>
        <v/>
      </c>
      <c r="X283">
        <f>HYPERLINK("https://klasma.github.io/Logging_2510/tillsyn/A 23020-2023 tillsynsbegäran.docx", "A 23020-2023")</f>
        <v/>
      </c>
      <c r="Y283">
        <f>HYPERLINK("https://klasma.github.io/Logging_2510/tillsynsmail/A 23020-2023 tillsynsbegäran mail.docx", "A 23020-2023")</f>
        <v/>
      </c>
    </row>
    <row r="284" ht="15" customHeight="1">
      <c r="A284" t="inlineStr">
        <is>
          <t>A 23017-2023</t>
        </is>
      </c>
      <c r="B284" s="1" t="n">
        <v>45073</v>
      </c>
      <c r="C284" s="1" t="n">
        <v>45356</v>
      </c>
      <c r="D284" t="inlineStr">
        <is>
          <t>NORRBOTTENS LÄN</t>
        </is>
      </c>
      <c r="E284" t="inlineStr">
        <is>
          <t>JOKKMOKK</t>
        </is>
      </c>
      <c r="F284" t="inlineStr">
        <is>
          <t>SCA</t>
        </is>
      </c>
      <c r="G284" t="n">
        <v>6</v>
      </c>
      <c r="H284" t="n">
        <v>2</v>
      </c>
      <c r="I284" t="n">
        <v>2</v>
      </c>
      <c r="J284" t="n">
        <v>0</v>
      </c>
      <c r="K284" t="n">
        <v>1</v>
      </c>
      <c r="L284" t="n">
        <v>0</v>
      </c>
      <c r="M284" t="n">
        <v>0</v>
      </c>
      <c r="N284" t="n">
        <v>0</v>
      </c>
      <c r="O284" t="n">
        <v>1</v>
      </c>
      <c r="P284" t="n">
        <v>1</v>
      </c>
      <c r="Q284" t="n">
        <v>3</v>
      </c>
      <c r="R284" s="2" t="inlineStr">
        <is>
          <t>Norna
Spindelblomster
Tibast</t>
        </is>
      </c>
      <c r="S284">
        <f>HYPERLINK("https://klasma.github.io/Logging_2510/artfynd/A 23017-2023 artfynd.xlsx", "A 23017-2023")</f>
        <v/>
      </c>
      <c r="T284">
        <f>HYPERLINK("https://klasma.github.io/Logging_2510/kartor/A 23017-2023 karta.png", "A 23017-2023")</f>
        <v/>
      </c>
      <c r="V284">
        <f>HYPERLINK("https://klasma.github.io/Logging_2510/klagomål/A 23017-2023 FSC-klagomål.docx", "A 23017-2023")</f>
        <v/>
      </c>
      <c r="W284">
        <f>HYPERLINK("https://klasma.github.io/Logging_2510/klagomålsmail/A 23017-2023 FSC-klagomål mail.docx", "A 23017-2023")</f>
        <v/>
      </c>
      <c r="X284">
        <f>HYPERLINK("https://klasma.github.io/Logging_2510/tillsyn/A 23017-2023 tillsynsbegäran.docx", "A 23017-2023")</f>
        <v/>
      </c>
      <c r="Y284">
        <f>HYPERLINK("https://klasma.github.io/Logging_2510/tillsynsmail/A 23017-2023 tillsynsbegäran mail.docx", "A 23017-2023")</f>
        <v/>
      </c>
    </row>
    <row r="285" ht="15" customHeight="1">
      <c r="A285" t="inlineStr">
        <is>
          <t>A 24055-2023</t>
        </is>
      </c>
      <c r="B285" s="1" t="n">
        <v>45078</v>
      </c>
      <c r="C285" s="1" t="n">
        <v>45356</v>
      </c>
      <c r="D285" t="inlineStr">
        <is>
          <t>NORRBOTTENS LÄN</t>
        </is>
      </c>
      <c r="E285" t="inlineStr">
        <is>
          <t>JOKKMOKK</t>
        </is>
      </c>
      <c r="F285" t="inlineStr">
        <is>
          <t>SCA</t>
        </is>
      </c>
      <c r="G285" t="n">
        <v>9.9</v>
      </c>
      <c r="H285" t="n">
        <v>0</v>
      </c>
      <c r="I285" t="n">
        <v>0</v>
      </c>
      <c r="J285" t="n">
        <v>2</v>
      </c>
      <c r="K285" t="n">
        <v>1</v>
      </c>
      <c r="L285" t="n">
        <v>0</v>
      </c>
      <c r="M285" t="n">
        <v>0</v>
      </c>
      <c r="N285" t="n">
        <v>0</v>
      </c>
      <c r="O285" t="n">
        <v>3</v>
      </c>
      <c r="P285" t="n">
        <v>1</v>
      </c>
      <c r="Q285" t="n">
        <v>3</v>
      </c>
      <c r="R285" s="2" t="inlineStr">
        <is>
          <t>Goliatmusseron
Blå taggsvamp
Orange taggsvamp</t>
        </is>
      </c>
      <c r="S285">
        <f>HYPERLINK("https://klasma.github.io/Logging_2510/artfynd/A 24055-2023 artfynd.xlsx", "A 24055-2023")</f>
        <v/>
      </c>
      <c r="T285">
        <f>HYPERLINK("https://klasma.github.io/Logging_2510/kartor/A 24055-2023 karta.png", "A 24055-2023")</f>
        <v/>
      </c>
      <c r="V285">
        <f>HYPERLINK("https://klasma.github.io/Logging_2510/klagomål/A 24055-2023 FSC-klagomål.docx", "A 24055-2023")</f>
        <v/>
      </c>
      <c r="W285">
        <f>HYPERLINK("https://klasma.github.io/Logging_2510/klagomålsmail/A 24055-2023 FSC-klagomål mail.docx", "A 24055-2023")</f>
        <v/>
      </c>
      <c r="X285">
        <f>HYPERLINK("https://klasma.github.io/Logging_2510/tillsyn/A 24055-2023 tillsynsbegäran.docx", "A 24055-2023")</f>
        <v/>
      </c>
      <c r="Y285">
        <f>HYPERLINK("https://klasma.github.io/Logging_2510/tillsynsmail/A 24055-2023 tillsynsbegäran mail.docx", "A 24055-2023")</f>
        <v/>
      </c>
    </row>
    <row r="286" ht="15" customHeight="1">
      <c r="A286" t="inlineStr">
        <is>
          <t>A 26723-2023</t>
        </is>
      </c>
      <c r="B286" s="1" t="n">
        <v>45093</v>
      </c>
      <c r="C286" s="1" t="n">
        <v>45356</v>
      </c>
      <c r="D286" t="inlineStr">
        <is>
          <t>NORRBOTTENS LÄN</t>
        </is>
      </c>
      <c r="E286" t="inlineStr">
        <is>
          <t>GÄLLIVARE</t>
        </is>
      </c>
      <c r="F286" t="inlineStr">
        <is>
          <t>Sveaskog</t>
        </is>
      </c>
      <c r="G286" t="n">
        <v>10.4</v>
      </c>
      <c r="H286" t="n">
        <v>0</v>
      </c>
      <c r="I286" t="n">
        <v>0</v>
      </c>
      <c r="J286" t="n">
        <v>3</v>
      </c>
      <c r="K286" t="n">
        <v>0</v>
      </c>
      <c r="L286" t="n">
        <v>0</v>
      </c>
      <c r="M286" t="n">
        <v>0</v>
      </c>
      <c r="N286" t="n">
        <v>0</v>
      </c>
      <c r="O286" t="n">
        <v>3</v>
      </c>
      <c r="P286" t="n">
        <v>0</v>
      </c>
      <c r="Q286" t="n">
        <v>3</v>
      </c>
      <c r="R286" s="2" t="inlineStr">
        <is>
          <t>Granticka
Ullticka
Violmussling</t>
        </is>
      </c>
      <c r="S286">
        <f>HYPERLINK("https://klasma.github.io/Logging_2523/artfynd/A 26723-2023 artfynd.xlsx", "A 26723-2023")</f>
        <v/>
      </c>
      <c r="T286">
        <f>HYPERLINK("https://klasma.github.io/Logging_2523/kartor/A 26723-2023 karta.png", "A 26723-2023")</f>
        <v/>
      </c>
      <c r="V286">
        <f>HYPERLINK("https://klasma.github.io/Logging_2523/klagomål/A 26723-2023 FSC-klagomål.docx", "A 26723-2023")</f>
        <v/>
      </c>
      <c r="W286">
        <f>HYPERLINK("https://klasma.github.io/Logging_2523/klagomålsmail/A 26723-2023 FSC-klagomål mail.docx", "A 26723-2023")</f>
        <v/>
      </c>
      <c r="X286">
        <f>HYPERLINK("https://klasma.github.io/Logging_2523/tillsyn/A 26723-2023 tillsynsbegäran.docx", "A 26723-2023")</f>
        <v/>
      </c>
      <c r="Y286">
        <f>HYPERLINK("https://klasma.github.io/Logging_2523/tillsynsmail/A 26723-2023 tillsynsbegäran mail.docx", "A 26723-2023")</f>
        <v/>
      </c>
    </row>
    <row r="287" ht="15" customHeight="1">
      <c r="A287" t="inlineStr">
        <is>
          <t>A 28088-2023</t>
        </is>
      </c>
      <c r="B287" s="1" t="n">
        <v>45099</v>
      </c>
      <c r="C287" s="1" t="n">
        <v>45356</v>
      </c>
      <c r="D287" t="inlineStr">
        <is>
          <t>NORRBOTTENS LÄN</t>
        </is>
      </c>
      <c r="E287" t="inlineStr">
        <is>
          <t>ÄLVSBYN</t>
        </is>
      </c>
      <c r="F287" t="inlineStr">
        <is>
          <t>Sveaskog</t>
        </is>
      </c>
      <c r="G287" t="n">
        <v>5.6</v>
      </c>
      <c r="H287" t="n">
        <v>0</v>
      </c>
      <c r="I287" t="n">
        <v>0</v>
      </c>
      <c r="J287" t="n">
        <v>2</v>
      </c>
      <c r="K287" t="n">
        <v>1</v>
      </c>
      <c r="L287" t="n">
        <v>0</v>
      </c>
      <c r="M287" t="n">
        <v>0</v>
      </c>
      <c r="N287" t="n">
        <v>0</v>
      </c>
      <c r="O287" t="n">
        <v>3</v>
      </c>
      <c r="P287" t="n">
        <v>1</v>
      </c>
      <c r="Q287" t="n">
        <v>3</v>
      </c>
      <c r="R287" s="2" t="inlineStr">
        <is>
          <t>Fläckporing
Kolflarnlav
Lunglav</t>
        </is>
      </c>
      <c r="S287">
        <f>HYPERLINK("https://klasma.github.io/Logging_2560/artfynd/A 28088-2023 artfynd.xlsx", "A 28088-2023")</f>
        <v/>
      </c>
      <c r="T287">
        <f>HYPERLINK("https://klasma.github.io/Logging_2560/kartor/A 28088-2023 karta.png", "A 28088-2023")</f>
        <v/>
      </c>
      <c r="V287">
        <f>HYPERLINK("https://klasma.github.io/Logging_2560/klagomål/A 28088-2023 FSC-klagomål.docx", "A 28088-2023")</f>
        <v/>
      </c>
      <c r="W287">
        <f>HYPERLINK("https://klasma.github.io/Logging_2560/klagomålsmail/A 28088-2023 FSC-klagomål mail.docx", "A 28088-2023")</f>
        <v/>
      </c>
      <c r="X287">
        <f>HYPERLINK("https://klasma.github.io/Logging_2560/tillsyn/A 28088-2023 tillsynsbegäran.docx", "A 28088-2023")</f>
        <v/>
      </c>
      <c r="Y287">
        <f>HYPERLINK("https://klasma.github.io/Logging_2560/tillsynsmail/A 28088-2023 tillsynsbegäran mail.docx", "A 28088-2023")</f>
        <v/>
      </c>
    </row>
    <row r="288" ht="15" customHeight="1">
      <c r="A288" t="inlineStr">
        <is>
          <t>A 28595-2023</t>
        </is>
      </c>
      <c r="B288" s="1" t="n">
        <v>45103</v>
      </c>
      <c r="C288" s="1" t="n">
        <v>45356</v>
      </c>
      <c r="D288" t="inlineStr">
        <is>
          <t>NORRBOTTENS LÄN</t>
        </is>
      </c>
      <c r="E288" t="inlineStr">
        <is>
          <t>PITEÅ</t>
        </is>
      </c>
      <c r="F288" t="inlineStr">
        <is>
          <t>Sveaskog</t>
        </is>
      </c>
      <c r="G288" t="n">
        <v>21.2</v>
      </c>
      <c r="H288" t="n">
        <v>0</v>
      </c>
      <c r="I288" t="n">
        <v>0</v>
      </c>
      <c r="J288" t="n">
        <v>3</v>
      </c>
      <c r="K288" t="n">
        <v>0</v>
      </c>
      <c r="L288" t="n">
        <v>0</v>
      </c>
      <c r="M288" t="n">
        <v>0</v>
      </c>
      <c r="N288" t="n">
        <v>0</v>
      </c>
      <c r="O288" t="n">
        <v>3</v>
      </c>
      <c r="P288" t="n">
        <v>0</v>
      </c>
      <c r="Q288" t="n">
        <v>3</v>
      </c>
      <c r="R288" s="2" t="inlineStr">
        <is>
          <t>Harticka
Kolflarnlav
Rosenticka</t>
        </is>
      </c>
      <c r="S288">
        <f>HYPERLINK("https://klasma.github.io/Logging_2581/artfynd/A 28595-2023 artfynd.xlsx", "A 28595-2023")</f>
        <v/>
      </c>
      <c r="T288">
        <f>HYPERLINK("https://klasma.github.io/Logging_2581/kartor/A 28595-2023 karta.png", "A 28595-2023")</f>
        <v/>
      </c>
      <c r="V288">
        <f>HYPERLINK("https://klasma.github.io/Logging_2581/klagomål/A 28595-2023 FSC-klagomål.docx", "A 28595-2023")</f>
        <v/>
      </c>
      <c r="W288">
        <f>HYPERLINK("https://klasma.github.io/Logging_2581/klagomålsmail/A 28595-2023 FSC-klagomål mail.docx", "A 28595-2023")</f>
        <v/>
      </c>
      <c r="X288">
        <f>HYPERLINK("https://klasma.github.io/Logging_2581/tillsyn/A 28595-2023 tillsynsbegäran.docx", "A 28595-2023")</f>
        <v/>
      </c>
      <c r="Y288">
        <f>HYPERLINK("https://klasma.github.io/Logging_2581/tillsynsmail/A 28595-2023 tillsynsbegäran mail.docx", "A 28595-2023")</f>
        <v/>
      </c>
    </row>
    <row r="289" ht="15" customHeight="1">
      <c r="A289" t="inlineStr">
        <is>
          <t>A 29465-2023</t>
        </is>
      </c>
      <c r="B289" s="1" t="n">
        <v>45106</v>
      </c>
      <c r="C289" s="1" t="n">
        <v>45356</v>
      </c>
      <c r="D289" t="inlineStr">
        <is>
          <t>NORRBOTTENS LÄN</t>
        </is>
      </c>
      <c r="E289" t="inlineStr">
        <is>
          <t>PITEÅ</t>
        </is>
      </c>
      <c r="G289" t="n">
        <v>21.6</v>
      </c>
      <c r="H289" t="n">
        <v>2</v>
      </c>
      <c r="I289" t="n">
        <v>0</v>
      </c>
      <c r="J289" t="n">
        <v>1</v>
      </c>
      <c r="K289" t="n">
        <v>0</v>
      </c>
      <c r="L289" t="n">
        <v>0</v>
      </c>
      <c r="M289" t="n">
        <v>0</v>
      </c>
      <c r="N289" t="n">
        <v>0</v>
      </c>
      <c r="O289" t="n">
        <v>1</v>
      </c>
      <c r="P289" t="n">
        <v>0</v>
      </c>
      <c r="Q289" t="n">
        <v>3</v>
      </c>
      <c r="R289" s="2" t="inlineStr">
        <is>
          <t>Garnlav
Mattlummer
Revlummer</t>
        </is>
      </c>
      <c r="S289">
        <f>HYPERLINK("https://klasma.github.io/Logging_2581/artfynd/A 29465-2023 artfynd.xlsx", "A 29465-2023")</f>
        <v/>
      </c>
      <c r="T289">
        <f>HYPERLINK("https://klasma.github.io/Logging_2581/kartor/A 29465-2023 karta.png", "A 29465-2023")</f>
        <v/>
      </c>
      <c r="V289">
        <f>HYPERLINK("https://klasma.github.io/Logging_2581/klagomål/A 29465-2023 FSC-klagomål.docx", "A 29465-2023")</f>
        <v/>
      </c>
      <c r="W289">
        <f>HYPERLINK("https://klasma.github.io/Logging_2581/klagomålsmail/A 29465-2023 FSC-klagomål mail.docx", "A 29465-2023")</f>
        <v/>
      </c>
      <c r="X289">
        <f>HYPERLINK("https://klasma.github.io/Logging_2581/tillsyn/A 29465-2023 tillsynsbegäran.docx", "A 29465-2023")</f>
        <v/>
      </c>
      <c r="Y289">
        <f>HYPERLINK("https://klasma.github.io/Logging_2581/tillsynsmail/A 29465-2023 tillsynsbegäran mail.docx", "A 29465-2023")</f>
        <v/>
      </c>
    </row>
    <row r="290" ht="15" customHeight="1">
      <c r="A290" t="inlineStr">
        <is>
          <t>A 29865-2023</t>
        </is>
      </c>
      <c r="B290" s="1" t="n">
        <v>45107</v>
      </c>
      <c r="C290" s="1" t="n">
        <v>45356</v>
      </c>
      <c r="D290" t="inlineStr">
        <is>
          <t>NORRBOTTENS LÄN</t>
        </is>
      </c>
      <c r="E290" t="inlineStr">
        <is>
          <t>LULEÅ</t>
        </is>
      </c>
      <c r="F290" t="inlineStr">
        <is>
          <t>Sveaskog</t>
        </is>
      </c>
      <c r="G290" t="n">
        <v>7.8</v>
      </c>
      <c r="H290" t="n">
        <v>0</v>
      </c>
      <c r="I290" t="n">
        <v>1</v>
      </c>
      <c r="J290" t="n">
        <v>2</v>
      </c>
      <c r="K290" t="n">
        <v>0</v>
      </c>
      <c r="L290" t="n">
        <v>0</v>
      </c>
      <c r="M290" t="n">
        <v>0</v>
      </c>
      <c r="N290" t="n">
        <v>0</v>
      </c>
      <c r="O290" t="n">
        <v>2</v>
      </c>
      <c r="P290" t="n">
        <v>0</v>
      </c>
      <c r="Q290" t="n">
        <v>3</v>
      </c>
      <c r="R290" s="2" t="inlineStr">
        <is>
          <t>Gammelgransskål
Garnlav
Rävticka</t>
        </is>
      </c>
      <c r="S290">
        <f>HYPERLINK("https://klasma.github.io/Logging_2580/artfynd/A 29865-2023 artfynd.xlsx", "A 29865-2023")</f>
        <v/>
      </c>
      <c r="T290">
        <f>HYPERLINK("https://klasma.github.io/Logging_2580/kartor/A 29865-2023 karta.png", "A 29865-2023")</f>
        <v/>
      </c>
      <c r="V290">
        <f>HYPERLINK("https://klasma.github.io/Logging_2580/klagomål/A 29865-2023 FSC-klagomål.docx", "A 29865-2023")</f>
        <v/>
      </c>
      <c r="W290">
        <f>HYPERLINK("https://klasma.github.io/Logging_2580/klagomålsmail/A 29865-2023 FSC-klagomål mail.docx", "A 29865-2023")</f>
        <v/>
      </c>
      <c r="X290">
        <f>HYPERLINK("https://klasma.github.io/Logging_2580/tillsyn/A 29865-2023 tillsynsbegäran.docx", "A 29865-2023")</f>
        <v/>
      </c>
      <c r="Y290">
        <f>HYPERLINK("https://klasma.github.io/Logging_2580/tillsynsmail/A 29865-2023 tillsynsbegäran mail.docx", "A 29865-2023")</f>
        <v/>
      </c>
    </row>
    <row r="291" ht="15" customHeight="1">
      <c r="A291" t="inlineStr">
        <is>
          <t>A 30293-2023</t>
        </is>
      </c>
      <c r="B291" s="1" t="n">
        <v>45111</v>
      </c>
      <c r="C291" s="1" t="n">
        <v>45356</v>
      </c>
      <c r="D291" t="inlineStr">
        <is>
          <t>NORRBOTTENS LÄN</t>
        </is>
      </c>
      <c r="E291" t="inlineStr">
        <is>
          <t>ÖVERTORNEÅ</t>
        </is>
      </c>
      <c r="G291" t="n">
        <v>3.8</v>
      </c>
      <c r="H291" t="n">
        <v>1</v>
      </c>
      <c r="I291" t="n">
        <v>0</v>
      </c>
      <c r="J291" t="n">
        <v>3</v>
      </c>
      <c r="K291" t="n">
        <v>0</v>
      </c>
      <c r="L291" t="n">
        <v>0</v>
      </c>
      <c r="M291" t="n">
        <v>0</v>
      </c>
      <c r="N291" t="n">
        <v>0</v>
      </c>
      <c r="O291" t="n">
        <v>3</v>
      </c>
      <c r="P291" t="n">
        <v>0</v>
      </c>
      <c r="Q291" t="n">
        <v>3</v>
      </c>
      <c r="R291" s="2" t="inlineStr">
        <is>
          <t>Garnlav
Spillkråka
Violmussling</t>
        </is>
      </c>
      <c r="S291">
        <f>HYPERLINK("https://klasma.github.io/Logging_2518/artfynd/A 30293-2023 artfynd.xlsx", "A 30293-2023")</f>
        <v/>
      </c>
      <c r="T291">
        <f>HYPERLINK("https://klasma.github.io/Logging_2518/kartor/A 30293-2023 karta.png", "A 30293-2023")</f>
        <v/>
      </c>
      <c r="V291">
        <f>HYPERLINK("https://klasma.github.io/Logging_2518/klagomål/A 30293-2023 FSC-klagomål.docx", "A 30293-2023")</f>
        <v/>
      </c>
      <c r="W291">
        <f>HYPERLINK("https://klasma.github.io/Logging_2518/klagomålsmail/A 30293-2023 FSC-klagomål mail.docx", "A 30293-2023")</f>
        <v/>
      </c>
      <c r="X291">
        <f>HYPERLINK("https://klasma.github.io/Logging_2518/tillsyn/A 30293-2023 tillsynsbegäran.docx", "A 30293-2023")</f>
        <v/>
      </c>
      <c r="Y291">
        <f>HYPERLINK("https://klasma.github.io/Logging_2518/tillsynsmail/A 30293-2023 tillsynsbegäran mail.docx", "A 30293-2023")</f>
        <v/>
      </c>
      <c r="Z291">
        <f>HYPERLINK("https://klasma.github.io/Logging_2518/fåglar/A 30293-2023 prioriterade fågelarter.docx", "A 30293-2023")</f>
        <v/>
      </c>
    </row>
    <row r="292" ht="15" customHeight="1">
      <c r="A292" t="inlineStr">
        <is>
          <t>A 32913-2023</t>
        </is>
      </c>
      <c r="B292" s="1" t="n">
        <v>45124</v>
      </c>
      <c r="C292" s="1" t="n">
        <v>45356</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33994-2023</t>
        </is>
      </c>
      <c r="B293" s="1" t="n">
        <v>45134</v>
      </c>
      <c r="C293" s="1" t="n">
        <v>45356</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38176-2023</t>
        </is>
      </c>
      <c r="B294" s="1" t="n">
        <v>45161</v>
      </c>
      <c r="C294" s="1" t="n">
        <v>45356</v>
      </c>
      <c r="D294" t="inlineStr">
        <is>
          <t>NORRBOTTENS LÄN</t>
        </is>
      </c>
      <c r="E294" t="inlineStr">
        <is>
          <t>ÖVERTORNEÅ</t>
        </is>
      </c>
      <c r="F294" t="inlineStr">
        <is>
          <t>Sveaskog</t>
        </is>
      </c>
      <c r="G294" t="n">
        <v>1.3</v>
      </c>
      <c r="H294" t="n">
        <v>0</v>
      </c>
      <c r="I294" t="n">
        <v>2</v>
      </c>
      <c r="J294" t="n">
        <v>1</v>
      </c>
      <c r="K294" t="n">
        <v>0</v>
      </c>
      <c r="L294" t="n">
        <v>0</v>
      </c>
      <c r="M294" t="n">
        <v>0</v>
      </c>
      <c r="N294" t="n">
        <v>0</v>
      </c>
      <c r="O294" t="n">
        <v>1</v>
      </c>
      <c r="P294" t="n">
        <v>0</v>
      </c>
      <c r="Q294" t="n">
        <v>3</v>
      </c>
      <c r="R294" s="2" t="inlineStr">
        <is>
          <t>Garnlav
Bårdlav
Stuplav</t>
        </is>
      </c>
      <c r="S294">
        <f>HYPERLINK("https://klasma.github.io/Logging_2518/artfynd/A 38176-2023 artfynd.xlsx", "A 38176-2023")</f>
        <v/>
      </c>
      <c r="T294">
        <f>HYPERLINK("https://klasma.github.io/Logging_2518/kartor/A 38176-2023 karta.png", "A 38176-2023")</f>
        <v/>
      </c>
      <c r="V294">
        <f>HYPERLINK("https://klasma.github.io/Logging_2518/klagomål/A 38176-2023 FSC-klagomål.docx", "A 38176-2023")</f>
        <v/>
      </c>
      <c r="W294">
        <f>HYPERLINK("https://klasma.github.io/Logging_2518/klagomålsmail/A 38176-2023 FSC-klagomål mail.docx", "A 38176-2023")</f>
        <v/>
      </c>
      <c r="X294">
        <f>HYPERLINK("https://klasma.github.io/Logging_2518/tillsyn/A 38176-2023 tillsynsbegäran.docx", "A 38176-2023")</f>
        <v/>
      </c>
      <c r="Y294">
        <f>HYPERLINK("https://klasma.github.io/Logging_2518/tillsynsmail/A 38176-2023 tillsynsbegäran mail.docx", "A 38176-2023")</f>
        <v/>
      </c>
    </row>
    <row r="295" ht="15" customHeight="1">
      <c r="A295" t="inlineStr">
        <is>
          <t>A 41654-2023</t>
        </is>
      </c>
      <c r="B295" s="1" t="n">
        <v>45175</v>
      </c>
      <c r="C295" s="1" t="n">
        <v>45356</v>
      </c>
      <c r="D295" t="inlineStr">
        <is>
          <t>NORRBOTTENS LÄN</t>
        </is>
      </c>
      <c r="E295" t="inlineStr">
        <is>
          <t>GÄLLIVARE</t>
        </is>
      </c>
      <c r="F295" t="inlineStr">
        <is>
          <t>SCA</t>
        </is>
      </c>
      <c r="G295" t="n">
        <v>7.3</v>
      </c>
      <c r="H295" t="n">
        <v>0</v>
      </c>
      <c r="I295" t="n">
        <v>1</v>
      </c>
      <c r="J295" t="n">
        <v>2</v>
      </c>
      <c r="K295" t="n">
        <v>0</v>
      </c>
      <c r="L295" t="n">
        <v>0</v>
      </c>
      <c r="M295" t="n">
        <v>0</v>
      </c>
      <c r="N295" t="n">
        <v>0</v>
      </c>
      <c r="O295" t="n">
        <v>2</v>
      </c>
      <c r="P295" t="n">
        <v>0</v>
      </c>
      <c r="Q295" t="n">
        <v>3</v>
      </c>
      <c r="R295" s="2" t="inlineStr">
        <is>
          <t>Blå taggsvamp
Skrovlig taggsvamp
Dropptaggsvamp</t>
        </is>
      </c>
      <c r="S295">
        <f>HYPERLINK("https://klasma.github.io/Logging_2523/artfynd/A 41654-2023 artfynd.xlsx", "A 41654-2023")</f>
        <v/>
      </c>
      <c r="T295">
        <f>HYPERLINK("https://klasma.github.io/Logging_2523/kartor/A 41654-2023 karta.png", "A 41654-2023")</f>
        <v/>
      </c>
      <c r="V295">
        <f>HYPERLINK("https://klasma.github.io/Logging_2523/klagomål/A 41654-2023 FSC-klagomål.docx", "A 41654-2023")</f>
        <v/>
      </c>
      <c r="W295">
        <f>HYPERLINK("https://klasma.github.io/Logging_2523/klagomålsmail/A 41654-2023 FSC-klagomål mail.docx", "A 41654-2023")</f>
        <v/>
      </c>
      <c r="X295">
        <f>HYPERLINK("https://klasma.github.io/Logging_2523/tillsyn/A 41654-2023 tillsynsbegäran.docx", "A 41654-2023")</f>
        <v/>
      </c>
      <c r="Y295">
        <f>HYPERLINK("https://klasma.github.io/Logging_2523/tillsynsmail/A 41654-2023 tillsynsbegäran mail.docx", "A 41654-2023")</f>
        <v/>
      </c>
    </row>
    <row r="296" ht="15" customHeight="1">
      <c r="A296" t="inlineStr">
        <is>
          <t>A 43414-2023</t>
        </is>
      </c>
      <c r="B296" s="1" t="n">
        <v>45183</v>
      </c>
      <c r="C296" s="1" t="n">
        <v>45356</v>
      </c>
      <c r="D296" t="inlineStr">
        <is>
          <t>NORRBOTTENS LÄN</t>
        </is>
      </c>
      <c r="E296" t="inlineStr">
        <is>
          <t>GÄLLIVARE</t>
        </is>
      </c>
      <c r="F296" t="inlineStr">
        <is>
          <t>SCA</t>
        </is>
      </c>
      <c r="G296" t="n">
        <v>18.5</v>
      </c>
      <c r="H296" t="n">
        <v>1</v>
      </c>
      <c r="I296" t="n">
        <v>0</v>
      </c>
      <c r="J296" t="n">
        <v>0</v>
      </c>
      <c r="K296" t="n">
        <v>1</v>
      </c>
      <c r="L296" t="n">
        <v>1</v>
      </c>
      <c r="M296" t="n">
        <v>0</v>
      </c>
      <c r="N296" t="n">
        <v>0</v>
      </c>
      <c r="O296" t="n">
        <v>2</v>
      </c>
      <c r="P296" t="n">
        <v>2</v>
      </c>
      <c r="Q296" t="n">
        <v>3</v>
      </c>
      <c r="R296" s="2" t="inlineStr">
        <is>
          <t>Urskogsticka
Gräddporing
Tjäder</t>
        </is>
      </c>
      <c r="S296">
        <f>HYPERLINK("https://klasma.github.io/Logging_2523/artfynd/A 43414-2023 artfynd.xlsx", "A 43414-2023")</f>
        <v/>
      </c>
      <c r="T296">
        <f>HYPERLINK("https://klasma.github.io/Logging_2523/kartor/A 43414-2023 karta.png", "A 43414-2023")</f>
        <v/>
      </c>
      <c r="V296">
        <f>HYPERLINK("https://klasma.github.io/Logging_2523/klagomål/A 43414-2023 FSC-klagomål.docx", "A 43414-2023")</f>
        <v/>
      </c>
      <c r="W296">
        <f>HYPERLINK("https://klasma.github.io/Logging_2523/klagomålsmail/A 43414-2023 FSC-klagomål mail.docx", "A 43414-2023")</f>
        <v/>
      </c>
      <c r="X296">
        <f>HYPERLINK("https://klasma.github.io/Logging_2523/tillsyn/A 43414-2023 tillsynsbegäran.docx", "A 43414-2023")</f>
        <v/>
      </c>
      <c r="Y296">
        <f>HYPERLINK("https://klasma.github.io/Logging_2523/tillsynsmail/A 43414-2023 tillsynsbegäran mail.docx", "A 43414-2023")</f>
        <v/>
      </c>
      <c r="Z296">
        <f>HYPERLINK("https://klasma.github.io/Logging_2523/fåglar/A 43414-2023 prioriterade fågelarter.docx", "A 43414-2023")</f>
        <v/>
      </c>
    </row>
    <row r="297" ht="15" customHeight="1">
      <c r="A297" t="inlineStr">
        <is>
          <t>A 45031-2023</t>
        </is>
      </c>
      <c r="B297" s="1" t="n">
        <v>45190</v>
      </c>
      <c r="C297" s="1" t="n">
        <v>45356</v>
      </c>
      <c r="D297" t="inlineStr">
        <is>
          <t>NORRBOTTENS LÄN</t>
        </is>
      </c>
      <c r="E297" t="inlineStr">
        <is>
          <t>ARJEPLOG</t>
        </is>
      </c>
      <c r="F297" t="inlineStr">
        <is>
          <t>Övriga statliga verk och myndigheter</t>
        </is>
      </c>
      <c r="G297" t="n">
        <v>10.3</v>
      </c>
      <c r="H297" t="n">
        <v>0</v>
      </c>
      <c r="I297" t="n">
        <v>0</v>
      </c>
      <c r="J297" t="n">
        <v>3</v>
      </c>
      <c r="K297" t="n">
        <v>0</v>
      </c>
      <c r="L297" t="n">
        <v>0</v>
      </c>
      <c r="M297" t="n">
        <v>0</v>
      </c>
      <c r="N297" t="n">
        <v>0</v>
      </c>
      <c r="O297" t="n">
        <v>3</v>
      </c>
      <c r="P297" t="n">
        <v>0</v>
      </c>
      <c r="Q297" t="n">
        <v>3</v>
      </c>
      <c r="R297" s="2" t="inlineStr">
        <is>
          <t>Gammelgransskål
Garnlav
Granticka</t>
        </is>
      </c>
      <c r="S297">
        <f>HYPERLINK("https://klasma.github.io/Logging_2506/artfynd/A 45031-2023 artfynd.xlsx", "A 45031-2023")</f>
        <v/>
      </c>
      <c r="T297">
        <f>HYPERLINK("https://klasma.github.io/Logging_2506/kartor/A 45031-2023 karta.png", "A 45031-2023")</f>
        <v/>
      </c>
      <c r="V297">
        <f>HYPERLINK("https://klasma.github.io/Logging_2506/klagomål/A 45031-2023 FSC-klagomål.docx", "A 45031-2023")</f>
        <v/>
      </c>
      <c r="W297">
        <f>HYPERLINK("https://klasma.github.io/Logging_2506/klagomålsmail/A 45031-2023 FSC-klagomål mail.docx", "A 45031-2023")</f>
        <v/>
      </c>
      <c r="X297">
        <f>HYPERLINK("https://klasma.github.io/Logging_2506/tillsyn/A 45031-2023 tillsynsbegäran.docx", "A 45031-2023")</f>
        <v/>
      </c>
      <c r="Y297">
        <f>HYPERLINK("https://klasma.github.io/Logging_2506/tillsynsmail/A 45031-2023 tillsynsbegäran mail.docx", "A 45031-2023")</f>
        <v/>
      </c>
    </row>
    <row r="298" ht="15" customHeight="1">
      <c r="A298" t="inlineStr">
        <is>
          <t>A 47132-2023</t>
        </is>
      </c>
      <c r="B298" s="1" t="n">
        <v>45201</v>
      </c>
      <c r="C298" s="1" t="n">
        <v>45356</v>
      </c>
      <c r="D298" t="inlineStr">
        <is>
          <t>NORRBOTTENS LÄN</t>
        </is>
      </c>
      <c r="E298" t="inlineStr">
        <is>
          <t>ÄLVSBYN</t>
        </is>
      </c>
      <c r="F298" t="inlineStr">
        <is>
          <t>Sveaskog</t>
        </is>
      </c>
      <c r="G298" t="n">
        <v>4.1</v>
      </c>
      <c r="H298" t="n">
        <v>0</v>
      </c>
      <c r="I298" t="n">
        <v>0</v>
      </c>
      <c r="J298" t="n">
        <v>3</v>
      </c>
      <c r="K298" t="n">
        <v>0</v>
      </c>
      <c r="L298" t="n">
        <v>0</v>
      </c>
      <c r="M298" t="n">
        <v>0</v>
      </c>
      <c r="N298" t="n">
        <v>0</v>
      </c>
      <c r="O298" t="n">
        <v>3</v>
      </c>
      <c r="P298" t="n">
        <v>0</v>
      </c>
      <c r="Q298" t="n">
        <v>3</v>
      </c>
      <c r="R298" s="2" t="inlineStr">
        <is>
          <t>Motaggsvamp
Skrovlig taggsvamp
Tallriska</t>
        </is>
      </c>
      <c r="S298">
        <f>HYPERLINK("https://klasma.github.io/Logging_2560/artfynd/A 47132-2023 artfynd.xlsx", "A 47132-2023")</f>
        <v/>
      </c>
      <c r="T298">
        <f>HYPERLINK("https://klasma.github.io/Logging_2560/kartor/A 47132-2023 karta.png", "A 47132-2023")</f>
        <v/>
      </c>
      <c r="V298">
        <f>HYPERLINK("https://klasma.github.io/Logging_2560/klagomål/A 47132-2023 FSC-klagomål.docx", "A 47132-2023")</f>
        <v/>
      </c>
      <c r="W298">
        <f>HYPERLINK("https://klasma.github.io/Logging_2560/klagomålsmail/A 47132-2023 FSC-klagomål mail.docx", "A 47132-2023")</f>
        <v/>
      </c>
      <c r="X298">
        <f>HYPERLINK("https://klasma.github.io/Logging_2560/tillsyn/A 47132-2023 tillsynsbegäran.docx", "A 47132-2023")</f>
        <v/>
      </c>
      <c r="Y298">
        <f>HYPERLINK("https://klasma.github.io/Logging_2560/tillsynsmail/A 47132-2023 tillsynsbegäran mail.docx", "A 47132-2023")</f>
        <v/>
      </c>
    </row>
    <row r="299" ht="15" customHeight="1">
      <c r="A299" t="inlineStr">
        <is>
          <t>A 50785-2023</t>
        </is>
      </c>
      <c r="B299" s="1" t="n">
        <v>45217</v>
      </c>
      <c r="C299" s="1" t="n">
        <v>45356</v>
      </c>
      <c r="D299" t="inlineStr">
        <is>
          <t>NORRBOTTENS LÄN</t>
        </is>
      </c>
      <c r="E299" t="inlineStr">
        <is>
          <t>JOKKMOKK</t>
        </is>
      </c>
      <c r="F299" t="inlineStr">
        <is>
          <t>Sveaskog</t>
        </is>
      </c>
      <c r="G299" t="n">
        <v>24.9</v>
      </c>
      <c r="H299" t="n">
        <v>1</v>
      </c>
      <c r="I299" t="n">
        <v>0</v>
      </c>
      <c r="J299" t="n">
        <v>3</v>
      </c>
      <c r="K299" t="n">
        <v>0</v>
      </c>
      <c r="L299" t="n">
        <v>0</v>
      </c>
      <c r="M299" t="n">
        <v>0</v>
      </c>
      <c r="N299" t="n">
        <v>0</v>
      </c>
      <c r="O299" t="n">
        <v>3</v>
      </c>
      <c r="P299" t="n">
        <v>0</v>
      </c>
      <c r="Q299" t="n">
        <v>3</v>
      </c>
      <c r="R299" s="2" t="inlineStr">
        <is>
          <t>Gammelgransskål
Kolflarnlav
Tretåig hackspett</t>
        </is>
      </c>
      <c r="S299">
        <f>HYPERLINK("https://klasma.github.io/Logging_2510/artfynd/A 50785-2023 artfynd.xlsx", "A 50785-2023")</f>
        <v/>
      </c>
      <c r="T299">
        <f>HYPERLINK("https://klasma.github.io/Logging_2510/kartor/A 50785-2023 karta.png", "A 50785-2023")</f>
        <v/>
      </c>
      <c r="V299">
        <f>HYPERLINK("https://klasma.github.io/Logging_2510/klagomål/A 50785-2023 FSC-klagomål.docx", "A 50785-2023")</f>
        <v/>
      </c>
      <c r="W299">
        <f>HYPERLINK("https://klasma.github.io/Logging_2510/klagomålsmail/A 50785-2023 FSC-klagomål mail.docx", "A 50785-2023")</f>
        <v/>
      </c>
      <c r="X299">
        <f>HYPERLINK("https://klasma.github.io/Logging_2510/tillsyn/A 50785-2023 tillsynsbegäran.docx", "A 50785-2023")</f>
        <v/>
      </c>
      <c r="Y299">
        <f>HYPERLINK("https://klasma.github.io/Logging_2510/tillsynsmail/A 50785-2023 tillsynsbegäran mail.docx", "A 50785-2023")</f>
        <v/>
      </c>
      <c r="Z299">
        <f>HYPERLINK("https://klasma.github.io/Logging_2510/fåglar/A 50785-2023 prioriterade fågelarter.docx", "A 50785-2023")</f>
        <v/>
      </c>
    </row>
    <row r="300" ht="15" customHeight="1">
      <c r="A300" t="inlineStr">
        <is>
          <t>A 52332-2023</t>
        </is>
      </c>
      <c r="B300" s="1" t="n">
        <v>45217</v>
      </c>
      <c r="C300" s="1" t="n">
        <v>45356</v>
      </c>
      <c r="D300" t="inlineStr">
        <is>
          <t>NORRBOTTENS LÄN</t>
        </is>
      </c>
      <c r="E300" t="inlineStr">
        <is>
          <t>JOKKMOKK</t>
        </is>
      </c>
      <c r="F300" t="inlineStr">
        <is>
          <t>Övriga statliga verk och myndigheter</t>
        </is>
      </c>
      <c r="G300" t="n">
        <v>23.3</v>
      </c>
      <c r="H300" t="n">
        <v>0</v>
      </c>
      <c r="I300" t="n">
        <v>1</v>
      </c>
      <c r="J300" t="n">
        <v>2</v>
      </c>
      <c r="K300" t="n">
        <v>0</v>
      </c>
      <c r="L300" t="n">
        <v>0</v>
      </c>
      <c r="M300" t="n">
        <v>0</v>
      </c>
      <c r="N300" t="n">
        <v>0</v>
      </c>
      <c r="O300" t="n">
        <v>2</v>
      </c>
      <c r="P300" t="n">
        <v>0</v>
      </c>
      <c r="Q300" t="n">
        <v>3</v>
      </c>
      <c r="R300" s="2" t="inlineStr">
        <is>
          <t>Vedflamlav
Vedskivlav
Dropptaggsvamp</t>
        </is>
      </c>
      <c r="S300">
        <f>HYPERLINK("https://klasma.github.io/Logging_2510/artfynd/A 52332-2023 artfynd.xlsx", "A 52332-2023")</f>
        <v/>
      </c>
      <c r="T300">
        <f>HYPERLINK("https://klasma.github.io/Logging_2510/kartor/A 52332-2023 karta.png", "A 52332-2023")</f>
        <v/>
      </c>
      <c r="V300">
        <f>HYPERLINK("https://klasma.github.io/Logging_2510/klagomål/A 52332-2023 FSC-klagomål.docx", "A 52332-2023")</f>
        <v/>
      </c>
      <c r="W300">
        <f>HYPERLINK("https://klasma.github.io/Logging_2510/klagomålsmail/A 52332-2023 FSC-klagomål mail.docx", "A 52332-2023")</f>
        <v/>
      </c>
      <c r="X300">
        <f>HYPERLINK("https://klasma.github.io/Logging_2510/tillsyn/A 52332-2023 tillsynsbegäran.docx", "A 52332-2023")</f>
        <v/>
      </c>
      <c r="Y300">
        <f>HYPERLINK("https://klasma.github.io/Logging_2510/tillsynsmail/A 52332-2023 tillsynsbegäran mail.docx", "A 52332-2023")</f>
        <v/>
      </c>
    </row>
    <row r="301" ht="15" customHeight="1">
      <c r="A301" t="inlineStr">
        <is>
          <t>A 59618-2023</t>
        </is>
      </c>
      <c r="B301" s="1" t="n">
        <v>45254</v>
      </c>
      <c r="C301" s="1" t="n">
        <v>45356</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60379-2023</t>
        </is>
      </c>
      <c r="B302" s="1" t="n">
        <v>45259</v>
      </c>
      <c r="C302" s="1" t="n">
        <v>45356</v>
      </c>
      <c r="D302" t="inlineStr">
        <is>
          <t>NORRBOTTENS LÄN</t>
        </is>
      </c>
      <c r="E302" t="inlineStr">
        <is>
          <t>JOKKMOKK</t>
        </is>
      </c>
      <c r="F302" t="inlineStr">
        <is>
          <t>Sveaskog</t>
        </is>
      </c>
      <c r="G302" t="n">
        <v>22.2</v>
      </c>
      <c r="H302" t="n">
        <v>1</v>
      </c>
      <c r="I302" t="n">
        <v>0</v>
      </c>
      <c r="J302" t="n">
        <v>3</v>
      </c>
      <c r="K302" t="n">
        <v>0</v>
      </c>
      <c r="L302" t="n">
        <v>0</v>
      </c>
      <c r="M302" t="n">
        <v>0</v>
      </c>
      <c r="N302" t="n">
        <v>0</v>
      </c>
      <c r="O302" t="n">
        <v>3</v>
      </c>
      <c r="P302" t="n">
        <v>0</v>
      </c>
      <c r="Q302" t="n">
        <v>3</v>
      </c>
      <c r="R302" s="2" t="inlineStr">
        <is>
          <t>Dvärgbägarlav
Nordtagging
Tretåig hackspett</t>
        </is>
      </c>
      <c r="S302">
        <f>HYPERLINK("https://klasma.github.io/Logging_2510/artfynd/A 60379-2023 artfynd.xlsx", "A 60379-2023")</f>
        <v/>
      </c>
      <c r="T302">
        <f>HYPERLINK("https://klasma.github.io/Logging_2510/kartor/A 60379-2023 karta.png", "A 60379-2023")</f>
        <v/>
      </c>
      <c r="V302">
        <f>HYPERLINK("https://klasma.github.io/Logging_2510/klagomål/A 60379-2023 FSC-klagomål.docx", "A 60379-2023")</f>
        <v/>
      </c>
      <c r="W302">
        <f>HYPERLINK("https://klasma.github.io/Logging_2510/klagomålsmail/A 60379-2023 FSC-klagomål mail.docx", "A 60379-2023")</f>
        <v/>
      </c>
      <c r="X302">
        <f>HYPERLINK("https://klasma.github.io/Logging_2510/tillsyn/A 60379-2023 tillsynsbegäran.docx", "A 60379-2023")</f>
        <v/>
      </c>
      <c r="Y302">
        <f>HYPERLINK("https://klasma.github.io/Logging_2510/tillsynsmail/A 60379-2023 tillsynsbegäran mail.docx", "A 60379-2023")</f>
        <v/>
      </c>
      <c r="Z302">
        <f>HYPERLINK("https://klasma.github.io/Logging_2510/fåglar/A 60379-2023 prioriterade fågelarter.docx", "A 60379-2023")</f>
        <v/>
      </c>
    </row>
    <row r="303" ht="15" customHeight="1">
      <c r="A303" t="inlineStr">
        <is>
          <t>A 65260-2023</t>
        </is>
      </c>
      <c r="B303" s="1" t="n">
        <v>45291</v>
      </c>
      <c r="C303" s="1" t="n">
        <v>45356</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1571-2024</t>
        </is>
      </c>
      <c r="B304" s="1" t="n">
        <v>45306</v>
      </c>
      <c r="C304" s="1" t="n">
        <v>45356</v>
      </c>
      <c r="D304" t="inlineStr">
        <is>
          <t>NORRBOTTENS LÄN</t>
        </is>
      </c>
      <c r="E304" t="inlineStr">
        <is>
          <t>PAJALA</t>
        </is>
      </c>
      <c r="F304" t="inlineStr">
        <is>
          <t>Allmännings- och besparingsskogar</t>
        </is>
      </c>
      <c r="G304" t="n">
        <v>81.3</v>
      </c>
      <c r="H304" t="n">
        <v>2</v>
      </c>
      <c r="I304" t="n">
        <v>0</v>
      </c>
      <c r="J304" t="n">
        <v>2</v>
      </c>
      <c r="K304" t="n">
        <v>0</v>
      </c>
      <c r="L304" t="n">
        <v>0</v>
      </c>
      <c r="M304" t="n">
        <v>0</v>
      </c>
      <c r="N304" t="n">
        <v>0</v>
      </c>
      <c r="O304" t="n">
        <v>2</v>
      </c>
      <c r="P304" t="n">
        <v>0</v>
      </c>
      <c r="Q304" t="n">
        <v>3</v>
      </c>
      <c r="R304" s="2" t="inlineStr">
        <is>
          <t>Garnlav
Spillkråka
Fläcknycklar</t>
        </is>
      </c>
      <c r="S304">
        <f>HYPERLINK("https://klasma.github.io/Logging_2521/artfynd/A 1571-2024 artfynd.xlsx", "A 1571-2024")</f>
        <v/>
      </c>
      <c r="T304">
        <f>HYPERLINK("https://klasma.github.io/Logging_2521/kartor/A 1571-2024 karta.png", "A 1571-2024")</f>
        <v/>
      </c>
      <c r="V304">
        <f>HYPERLINK("https://klasma.github.io/Logging_2521/klagomål/A 1571-2024 FSC-klagomål.docx", "A 1571-2024")</f>
        <v/>
      </c>
      <c r="W304">
        <f>HYPERLINK("https://klasma.github.io/Logging_2521/klagomålsmail/A 1571-2024 FSC-klagomål mail.docx", "A 1571-2024")</f>
        <v/>
      </c>
      <c r="X304">
        <f>HYPERLINK("https://klasma.github.io/Logging_2521/tillsyn/A 1571-2024 tillsynsbegäran.docx", "A 1571-2024")</f>
        <v/>
      </c>
      <c r="Y304">
        <f>HYPERLINK("https://klasma.github.io/Logging_2521/tillsynsmail/A 1571-2024 tillsynsbegäran mail.docx", "A 1571-2024")</f>
        <v/>
      </c>
      <c r="Z304">
        <f>HYPERLINK("https://klasma.github.io/Logging_2521/fåglar/A 1571-2024 prioriterade fågelarter.docx", "A 1571-2024")</f>
        <v/>
      </c>
    </row>
    <row r="305" ht="15" customHeight="1">
      <c r="A305" t="inlineStr">
        <is>
          <t>A 35512-2018</t>
        </is>
      </c>
      <c r="B305" s="1" t="n">
        <v>43325</v>
      </c>
      <c r="C305" s="1" t="n">
        <v>45356</v>
      </c>
      <c r="D305" t="inlineStr">
        <is>
          <t>NORRBOTTENS LÄN</t>
        </is>
      </c>
      <c r="E305" t="inlineStr">
        <is>
          <t>ARJEPLOG</t>
        </is>
      </c>
      <c r="G305" t="n">
        <v>19.8</v>
      </c>
      <c r="H305" t="n">
        <v>2</v>
      </c>
      <c r="I305" t="n">
        <v>0</v>
      </c>
      <c r="J305" t="n">
        <v>2</v>
      </c>
      <c r="K305" t="n">
        <v>0</v>
      </c>
      <c r="L305" t="n">
        <v>0</v>
      </c>
      <c r="M305" t="n">
        <v>0</v>
      </c>
      <c r="N305" t="n">
        <v>0</v>
      </c>
      <c r="O305" t="n">
        <v>2</v>
      </c>
      <c r="P305" t="n">
        <v>0</v>
      </c>
      <c r="Q305" t="n">
        <v>2</v>
      </c>
      <c r="R305" s="2" t="inlineStr">
        <is>
          <t>Lappmes
Talltita</t>
        </is>
      </c>
      <c r="S305">
        <f>HYPERLINK("https://klasma.github.io/Logging_2506/artfynd/A 35512-2018 artfynd.xlsx", "A 35512-2018")</f>
        <v/>
      </c>
      <c r="T305">
        <f>HYPERLINK("https://klasma.github.io/Logging_2506/kartor/A 35512-2018 karta.png", "A 35512-2018")</f>
        <v/>
      </c>
      <c r="V305">
        <f>HYPERLINK("https://klasma.github.io/Logging_2506/klagomål/A 35512-2018 FSC-klagomål.docx", "A 35512-2018")</f>
        <v/>
      </c>
      <c r="W305">
        <f>HYPERLINK("https://klasma.github.io/Logging_2506/klagomålsmail/A 35512-2018 FSC-klagomål mail.docx", "A 35512-2018")</f>
        <v/>
      </c>
      <c r="X305">
        <f>HYPERLINK("https://klasma.github.io/Logging_2506/tillsyn/A 35512-2018 tillsynsbegäran.docx", "A 35512-2018")</f>
        <v/>
      </c>
      <c r="Y305">
        <f>HYPERLINK("https://klasma.github.io/Logging_2506/tillsynsmail/A 35512-2018 tillsynsbegäran mail.docx", "A 35512-2018")</f>
        <v/>
      </c>
      <c r="Z305">
        <f>HYPERLINK("https://klasma.github.io/Logging_2506/fåglar/A 35512-2018 prioriterade fågelarter.docx", "A 35512-2018")</f>
        <v/>
      </c>
    </row>
    <row r="306" ht="15" customHeight="1">
      <c r="A306" t="inlineStr">
        <is>
          <t>A 50085-2018</t>
        </is>
      </c>
      <c r="B306" s="1" t="n">
        <v>43378</v>
      </c>
      <c r="C306" s="1" t="n">
        <v>45356</v>
      </c>
      <c r="D306" t="inlineStr">
        <is>
          <t>NORRBOTTENS LÄN</t>
        </is>
      </c>
      <c r="E306" t="inlineStr">
        <is>
          <t>GÄLLIVARE</t>
        </is>
      </c>
      <c r="F306" t="inlineStr">
        <is>
          <t>Sveaskog</t>
        </is>
      </c>
      <c r="G306" t="n">
        <v>15.7</v>
      </c>
      <c r="H306" t="n">
        <v>1</v>
      </c>
      <c r="I306" t="n">
        <v>0</v>
      </c>
      <c r="J306" t="n">
        <v>2</v>
      </c>
      <c r="K306" t="n">
        <v>0</v>
      </c>
      <c r="L306" t="n">
        <v>0</v>
      </c>
      <c r="M306" t="n">
        <v>0</v>
      </c>
      <c r="N306" t="n">
        <v>0</v>
      </c>
      <c r="O306" t="n">
        <v>2</v>
      </c>
      <c r="P306" t="n">
        <v>0</v>
      </c>
      <c r="Q306" t="n">
        <v>2</v>
      </c>
      <c r="R306" s="2" t="inlineStr">
        <is>
          <t>Reliktbock
Tretåig hackspett</t>
        </is>
      </c>
      <c r="S306">
        <f>HYPERLINK("https://klasma.github.io/Logging_2523/artfynd/A 50085-2018 artfynd.xlsx", "A 50085-2018")</f>
        <v/>
      </c>
      <c r="T306">
        <f>HYPERLINK("https://klasma.github.io/Logging_2523/kartor/A 50085-2018 karta.png", "A 50085-2018")</f>
        <v/>
      </c>
      <c r="V306">
        <f>HYPERLINK("https://klasma.github.io/Logging_2523/klagomål/A 50085-2018 FSC-klagomål.docx", "A 50085-2018")</f>
        <v/>
      </c>
      <c r="W306">
        <f>HYPERLINK("https://klasma.github.io/Logging_2523/klagomålsmail/A 50085-2018 FSC-klagomål mail.docx", "A 50085-2018")</f>
        <v/>
      </c>
      <c r="X306">
        <f>HYPERLINK("https://klasma.github.io/Logging_2523/tillsyn/A 50085-2018 tillsynsbegäran.docx", "A 50085-2018")</f>
        <v/>
      </c>
      <c r="Y306">
        <f>HYPERLINK("https://klasma.github.io/Logging_2523/tillsynsmail/A 50085-2018 tillsynsbegäran mail.docx", "A 50085-2018")</f>
        <v/>
      </c>
      <c r="Z306">
        <f>HYPERLINK("https://klasma.github.io/Logging_2523/fåglar/A 50085-2018 prioriterade fågelarter.docx", "A 50085-2018")</f>
        <v/>
      </c>
    </row>
    <row r="307" ht="15" customHeight="1">
      <c r="A307" t="inlineStr">
        <is>
          <t>A 55256-2018</t>
        </is>
      </c>
      <c r="B307" s="1" t="n">
        <v>43397</v>
      </c>
      <c r="C307" s="1" t="n">
        <v>45356</v>
      </c>
      <c r="D307" t="inlineStr">
        <is>
          <t>NORRBOTTENS LÄN</t>
        </is>
      </c>
      <c r="E307" t="inlineStr">
        <is>
          <t>PAJALA</t>
        </is>
      </c>
      <c r="G307" t="n">
        <v>8.699999999999999</v>
      </c>
      <c r="H307" t="n">
        <v>2</v>
      </c>
      <c r="I307" t="n">
        <v>0</v>
      </c>
      <c r="J307" t="n">
        <v>0</v>
      </c>
      <c r="K307" t="n">
        <v>0</v>
      </c>
      <c r="L307" t="n">
        <v>0</v>
      </c>
      <c r="M307" t="n">
        <v>0</v>
      </c>
      <c r="N307" t="n">
        <v>0</v>
      </c>
      <c r="O307" t="n">
        <v>0</v>
      </c>
      <c r="P307" t="n">
        <v>0</v>
      </c>
      <c r="Q307" t="n">
        <v>2</v>
      </c>
      <c r="R307" s="2" t="inlineStr">
        <is>
          <t>Brudsporre
Mattlummer</t>
        </is>
      </c>
      <c r="S307">
        <f>HYPERLINK("https://klasma.github.io/Logging_2521/artfynd/A 55256-2018 artfynd.xlsx", "A 55256-2018")</f>
        <v/>
      </c>
      <c r="T307">
        <f>HYPERLINK("https://klasma.github.io/Logging_2521/kartor/A 55256-2018 karta.png", "A 55256-2018")</f>
        <v/>
      </c>
      <c r="V307">
        <f>HYPERLINK("https://klasma.github.io/Logging_2521/klagomål/A 55256-2018 FSC-klagomål.docx", "A 55256-2018")</f>
        <v/>
      </c>
      <c r="W307">
        <f>HYPERLINK("https://klasma.github.io/Logging_2521/klagomålsmail/A 55256-2018 FSC-klagomål mail.docx", "A 55256-2018")</f>
        <v/>
      </c>
      <c r="X307">
        <f>HYPERLINK("https://klasma.github.io/Logging_2521/tillsyn/A 55256-2018 tillsynsbegäran.docx", "A 55256-2018")</f>
        <v/>
      </c>
      <c r="Y307">
        <f>HYPERLINK("https://klasma.github.io/Logging_2521/tillsynsmail/A 55256-2018 tillsynsbegäran mail.docx", "A 55256-2018")</f>
        <v/>
      </c>
    </row>
    <row r="308" ht="15" customHeight="1">
      <c r="A308" t="inlineStr">
        <is>
          <t>A 58216-2018</t>
        </is>
      </c>
      <c r="B308" s="1" t="n">
        <v>43408</v>
      </c>
      <c r="C308" s="1" t="n">
        <v>45356</v>
      </c>
      <c r="D308" t="inlineStr">
        <is>
          <t>NORRBOTTENS LÄN</t>
        </is>
      </c>
      <c r="E308" t="inlineStr">
        <is>
          <t>KIRUNA</t>
        </is>
      </c>
      <c r="G308" t="n">
        <v>11</v>
      </c>
      <c r="H308" t="n">
        <v>1</v>
      </c>
      <c r="I308" t="n">
        <v>0</v>
      </c>
      <c r="J308" t="n">
        <v>2</v>
      </c>
      <c r="K308" t="n">
        <v>0</v>
      </c>
      <c r="L308" t="n">
        <v>0</v>
      </c>
      <c r="M308" t="n">
        <v>0</v>
      </c>
      <c r="N308" t="n">
        <v>0</v>
      </c>
      <c r="O308" t="n">
        <v>2</v>
      </c>
      <c r="P308" t="n">
        <v>0</v>
      </c>
      <c r="Q308" t="n">
        <v>2</v>
      </c>
      <c r="R308" s="2" t="inlineStr">
        <is>
          <t>Harticka
Tretåig hackspett</t>
        </is>
      </c>
      <c r="S308">
        <f>HYPERLINK("https://klasma.github.io/Logging_2584/artfynd/A 58216-2018 artfynd.xlsx", "A 58216-2018")</f>
        <v/>
      </c>
      <c r="T308">
        <f>HYPERLINK("https://klasma.github.io/Logging_2584/kartor/A 58216-2018 karta.png", "A 58216-2018")</f>
        <v/>
      </c>
      <c r="V308">
        <f>HYPERLINK("https://klasma.github.io/Logging_2584/klagomål/A 58216-2018 FSC-klagomål.docx", "A 58216-2018")</f>
        <v/>
      </c>
      <c r="W308">
        <f>HYPERLINK("https://klasma.github.io/Logging_2584/klagomålsmail/A 58216-2018 FSC-klagomål mail.docx", "A 58216-2018")</f>
        <v/>
      </c>
      <c r="X308">
        <f>HYPERLINK("https://klasma.github.io/Logging_2584/tillsyn/A 58216-2018 tillsynsbegäran.docx", "A 58216-2018")</f>
        <v/>
      </c>
      <c r="Y308">
        <f>HYPERLINK("https://klasma.github.io/Logging_2584/tillsynsmail/A 58216-2018 tillsynsbegäran mail.docx", "A 58216-2018")</f>
        <v/>
      </c>
      <c r="Z308">
        <f>HYPERLINK("https://klasma.github.io/Logging_2584/fåglar/A 58216-2018 prioriterade fågelarter.docx", "A 58216-2018")</f>
        <v/>
      </c>
    </row>
    <row r="309" ht="15" customHeight="1">
      <c r="A309" t="inlineStr">
        <is>
          <t>A 65870-2018</t>
        </is>
      </c>
      <c r="B309" s="1" t="n">
        <v>43434</v>
      </c>
      <c r="C309" s="1" t="n">
        <v>45356</v>
      </c>
      <c r="D309" t="inlineStr">
        <is>
          <t>NORRBOTTENS LÄN</t>
        </is>
      </c>
      <c r="E309" t="inlineStr">
        <is>
          <t>GÄLLIVARE</t>
        </is>
      </c>
      <c r="F309" t="inlineStr">
        <is>
          <t>Sveaskog</t>
        </is>
      </c>
      <c r="G309" t="n">
        <v>4.8</v>
      </c>
      <c r="H309" t="n">
        <v>1</v>
      </c>
      <c r="I309" t="n">
        <v>0</v>
      </c>
      <c r="J309" t="n">
        <v>2</v>
      </c>
      <c r="K309" t="n">
        <v>0</v>
      </c>
      <c r="L309" t="n">
        <v>0</v>
      </c>
      <c r="M309" t="n">
        <v>0</v>
      </c>
      <c r="N309" t="n">
        <v>0</v>
      </c>
      <c r="O309" t="n">
        <v>2</v>
      </c>
      <c r="P309" t="n">
        <v>0</v>
      </c>
      <c r="Q309" t="n">
        <v>2</v>
      </c>
      <c r="R309" s="2" t="inlineStr">
        <is>
          <t>Garnlav
Lappmes</t>
        </is>
      </c>
      <c r="S309">
        <f>HYPERLINK("https://klasma.github.io/Logging_2523/artfynd/A 65870-2018 artfynd.xlsx", "A 65870-2018")</f>
        <v/>
      </c>
      <c r="T309">
        <f>HYPERLINK("https://klasma.github.io/Logging_2523/kartor/A 65870-2018 karta.png", "A 65870-2018")</f>
        <v/>
      </c>
      <c r="V309">
        <f>HYPERLINK("https://klasma.github.io/Logging_2523/klagomål/A 65870-2018 FSC-klagomål.docx", "A 65870-2018")</f>
        <v/>
      </c>
      <c r="W309">
        <f>HYPERLINK("https://klasma.github.io/Logging_2523/klagomålsmail/A 65870-2018 FSC-klagomål mail.docx", "A 65870-2018")</f>
        <v/>
      </c>
      <c r="X309">
        <f>HYPERLINK("https://klasma.github.io/Logging_2523/tillsyn/A 65870-2018 tillsynsbegäran.docx", "A 65870-2018")</f>
        <v/>
      </c>
      <c r="Y309">
        <f>HYPERLINK("https://klasma.github.io/Logging_2523/tillsynsmail/A 65870-2018 tillsynsbegäran mail.docx", "A 65870-2018")</f>
        <v/>
      </c>
      <c r="Z309">
        <f>HYPERLINK("https://klasma.github.io/Logging_2523/fåglar/A 65870-2018 prioriterade fågelarter.docx", "A 65870-2018")</f>
        <v/>
      </c>
    </row>
    <row r="310" ht="15" customHeight="1">
      <c r="A310" t="inlineStr">
        <is>
          <t>A 5271-2019</t>
        </is>
      </c>
      <c r="B310" s="1" t="n">
        <v>43488</v>
      </c>
      <c r="C310" s="1" t="n">
        <v>45356</v>
      </c>
      <c r="D310" t="inlineStr">
        <is>
          <t>NORRBOTTENS LÄN</t>
        </is>
      </c>
      <c r="E310" t="inlineStr">
        <is>
          <t>LULEÅ</t>
        </is>
      </c>
      <c r="G310" t="n">
        <v>7.5</v>
      </c>
      <c r="H310" t="n">
        <v>1</v>
      </c>
      <c r="I310" t="n">
        <v>0</v>
      </c>
      <c r="J310" t="n">
        <v>1</v>
      </c>
      <c r="K310" t="n">
        <v>0</v>
      </c>
      <c r="L310" t="n">
        <v>0</v>
      </c>
      <c r="M310" t="n">
        <v>0</v>
      </c>
      <c r="N310" t="n">
        <v>0</v>
      </c>
      <c r="O310" t="n">
        <v>1</v>
      </c>
      <c r="P310" t="n">
        <v>0</v>
      </c>
      <c r="Q310" t="n">
        <v>2</v>
      </c>
      <c r="R310" s="2" t="inlineStr">
        <is>
          <t>Lunglav
Nattviol</t>
        </is>
      </c>
      <c r="S310">
        <f>HYPERLINK("https://klasma.github.io/Logging_2580/artfynd/A 5271-2019 artfynd.xlsx", "A 5271-2019")</f>
        <v/>
      </c>
      <c r="T310">
        <f>HYPERLINK("https://klasma.github.io/Logging_2580/kartor/A 5271-2019 karta.png", "A 5271-2019")</f>
        <v/>
      </c>
      <c r="V310">
        <f>HYPERLINK("https://klasma.github.io/Logging_2580/klagomål/A 5271-2019 FSC-klagomål.docx", "A 5271-2019")</f>
        <v/>
      </c>
      <c r="W310">
        <f>HYPERLINK("https://klasma.github.io/Logging_2580/klagomålsmail/A 5271-2019 FSC-klagomål mail.docx", "A 5271-2019")</f>
        <v/>
      </c>
      <c r="X310">
        <f>HYPERLINK("https://klasma.github.io/Logging_2580/tillsyn/A 5271-2019 tillsynsbegäran.docx", "A 5271-2019")</f>
        <v/>
      </c>
      <c r="Y310">
        <f>HYPERLINK("https://klasma.github.io/Logging_2580/tillsynsmail/A 5271-2019 tillsynsbegäran mail.docx", "A 5271-2019")</f>
        <v/>
      </c>
    </row>
    <row r="311" ht="15" customHeight="1">
      <c r="A311" t="inlineStr">
        <is>
          <t>A 9977-2019</t>
        </is>
      </c>
      <c r="B311" s="1" t="n">
        <v>43509</v>
      </c>
      <c r="C311" s="1" t="n">
        <v>45356</v>
      </c>
      <c r="D311" t="inlineStr">
        <is>
          <t>NORRBOTTENS LÄN</t>
        </is>
      </c>
      <c r="E311" t="inlineStr">
        <is>
          <t>JOKKMOKK</t>
        </is>
      </c>
      <c r="G311" t="n">
        <v>5.1</v>
      </c>
      <c r="H311" t="n">
        <v>0</v>
      </c>
      <c r="I311" t="n">
        <v>0</v>
      </c>
      <c r="J311" t="n">
        <v>1</v>
      </c>
      <c r="K311" t="n">
        <v>1</v>
      </c>
      <c r="L311" t="n">
        <v>0</v>
      </c>
      <c r="M311" t="n">
        <v>0</v>
      </c>
      <c r="N311" t="n">
        <v>0</v>
      </c>
      <c r="O311" t="n">
        <v>2</v>
      </c>
      <c r="P311" t="n">
        <v>1</v>
      </c>
      <c r="Q311" t="n">
        <v>2</v>
      </c>
      <c r="R311" s="2" t="inlineStr">
        <is>
          <t>Fläckporing
Dvärgbägarlav</t>
        </is>
      </c>
      <c r="S311">
        <f>HYPERLINK("https://klasma.github.io/Logging_2510/artfynd/A 9977-2019 artfynd.xlsx", "A 9977-2019")</f>
        <v/>
      </c>
      <c r="T311">
        <f>HYPERLINK("https://klasma.github.io/Logging_2510/kartor/A 9977-2019 karta.png", "A 9977-2019")</f>
        <v/>
      </c>
      <c r="V311">
        <f>HYPERLINK("https://klasma.github.io/Logging_2510/klagomål/A 9977-2019 FSC-klagomål.docx", "A 9977-2019")</f>
        <v/>
      </c>
      <c r="W311">
        <f>HYPERLINK("https://klasma.github.io/Logging_2510/klagomålsmail/A 9977-2019 FSC-klagomål mail.docx", "A 9977-2019")</f>
        <v/>
      </c>
      <c r="X311">
        <f>HYPERLINK("https://klasma.github.io/Logging_2510/tillsyn/A 9977-2019 tillsynsbegäran.docx", "A 9977-2019")</f>
        <v/>
      </c>
      <c r="Y311">
        <f>HYPERLINK("https://klasma.github.io/Logging_2510/tillsynsmail/A 9977-2019 tillsynsbegäran mail.docx", "A 9977-2019")</f>
        <v/>
      </c>
    </row>
    <row r="312" ht="15" customHeight="1">
      <c r="A312" t="inlineStr">
        <is>
          <t>A 11148-2019</t>
        </is>
      </c>
      <c r="B312" s="1" t="n">
        <v>43516</v>
      </c>
      <c r="C312" s="1" t="n">
        <v>45356</v>
      </c>
      <c r="D312" t="inlineStr">
        <is>
          <t>NORRBOTTENS LÄN</t>
        </is>
      </c>
      <c r="E312" t="inlineStr">
        <is>
          <t>JOKKMOKK</t>
        </is>
      </c>
      <c r="G312" t="n">
        <v>12.8</v>
      </c>
      <c r="H312" t="n">
        <v>1</v>
      </c>
      <c r="I312" t="n">
        <v>0</v>
      </c>
      <c r="J312" t="n">
        <v>2</v>
      </c>
      <c r="K312" t="n">
        <v>0</v>
      </c>
      <c r="L312" t="n">
        <v>0</v>
      </c>
      <c r="M312" t="n">
        <v>0</v>
      </c>
      <c r="N312" t="n">
        <v>0</v>
      </c>
      <c r="O312" t="n">
        <v>2</v>
      </c>
      <c r="P312" t="n">
        <v>0</v>
      </c>
      <c r="Q312" t="n">
        <v>2</v>
      </c>
      <c r="R312" s="2" t="inlineStr">
        <is>
          <t>Knottrig blåslav
Lappmes</t>
        </is>
      </c>
      <c r="S312">
        <f>HYPERLINK("https://klasma.github.io/Logging_2510/artfynd/A 11148-2019 artfynd.xlsx", "A 11148-2019")</f>
        <v/>
      </c>
      <c r="T312">
        <f>HYPERLINK("https://klasma.github.io/Logging_2510/kartor/A 11148-2019 karta.png", "A 11148-2019")</f>
        <v/>
      </c>
      <c r="V312">
        <f>HYPERLINK("https://klasma.github.io/Logging_2510/klagomål/A 11148-2019 FSC-klagomål.docx", "A 11148-2019")</f>
        <v/>
      </c>
      <c r="W312">
        <f>HYPERLINK("https://klasma.github.io/Logging_2510/klagomålsmail/A 11148-2019 FSC-klagomål mail.docx", "A 11148-2019")</f>
        <v/>
      </c>
      <c r="X312">
        <f>HYPERLINK("https://klasma.github.io/Logging_2510/tillsyn/A 11148-2019 tillsynsbegäran.docx", "A 11148-2019")</f>
        <v/>
      </c>
      <c r="Y312">
        <f>HYPERLINK("https://klasma.github.io/Logging_2510/tillsynsmail/A 11148-2019 tillsynsbegäran mail.docx", "A 11148-2019")</f>
        <v/>
      </c>
      <c r="Z312">
        <f>HYPERLINK("https://klasma.github.io/Logging_2510/fåglar/A 11148-2019 prioriterade fågelarter.docx", "A 11148-2019")</f>
        <v/>
      </c>
    </row>
    <row r="313" ht="15" customHeight="1">
      <c r="A313" t="inlineStr">
        <is>
          <t>A 15021-2019</t>
        </is>
      </c>
      <c r="B313" s="1" t="n">
        <v>43538</v>
      </c>
      <c r="C313" s="1" t="n">
        <v>45356</v>
      </c>
      <c r="D313" t="inlineStr">
        <is>
          <t>NORRBOTTENS LÄN</t>
        </is>
      </c>
      <c r="E313" t="inlineStr">
        <is>
          <t>LULEÅ</t>
        </is>
      </c>
      <c r="G313" t="n">
        <v>28.9</v>
      </c>
      <c r="H313" t="n">
        <v>1</v>
      </c>
      <c r="I313" t="n">
        <v>0</v>
      </c>
      <c r="J313" t="n">
        <v>2</v>
      </c>
      <c r="K313" t="n">
        <v>0</v>
      </c>
      <c r="L313" t="n">
        <v>0</v>
      </c>
      <c r="M313" t="n">
        <v>0</v>
      </c>
      <c r="N313" t="n">
        <v>0</v>
      </c>
      <c r="O313" t="n">
        <v>2</v>
      </c>
      <c r="P313" t="n">
        <v>0</v>
      </c>
      <c r="Q313" t="n">
        <v>2</v>
      </c>
      <c r="R313" s="2" t="inlineStr">
        <is>
          <t>Granticka
Spillkråka</t>
        </is>
      </c>
      <c r="S313">
        <f>HYPERLINK("https://klasma.github.io/Logging_2580/artfynd/A 15021-2019 artfynd.xlsx", "A 15021-2019")</f>
        <v/>
      </c>
      <c r="T313">
        <f>HYPERLINK("https://klasma.github.io/Logging_2580/kartor/A 15021-2019 karta.png", "A 15021-2019")</f>
        <v/>
      </c>
      <c r="V313">
        <f>HYPERLINK("https://klasma.github.io/Logging_2580/klagomål/A 15021-2019 FSC-klagomål.docx", "A 15021-2019")</f>
        <v/>
      </c>
      <c r="W313">
        <f>HYPERLINK("https://klasma.github.io/Logging_2580/klagomålsmail/A 15021-2019 FSC-klagomål mail.docx", "A 15021-2019")</f>
        <v/>
      </c>
      <c r="X313">
        <f>HYPERLINK("https://klasma.github.io/Logging_2580/tillsyn/A 15021-2019 tillsynsbegäran.docx", "A 15021-2019")</f>
        <v/>
      </c>
      <c r="Y313">
        <f>HYPERLINK("https://klasma.github.io/Logging_2580/tillsynsmail/A 15021-2019 tillsynsbegäran mail.docx", "A 15021-2019")</f>
        <v/>
      </c>
      <c r="Z313">
        <f>HYPERLINK("https://klasma.github.io/Logging_2580/fåglar/A 15021-2019 prioriterade fågelarter.docx", "A 15021-2019")</f>
        <v/>
      </c>
    </row>
    <row r="314" ht="15" customHeight="1">
      <c r="A314" t="inlineStr">
        <is>
          <t>A 21127-2019</t>
        </is>
      </c>
      <c r="B314" s="1" t="n">
        <v>43579</v>
      </c>
      <c r="C314" s="1" t="n">
        <v>45356</v>
      </c>
      <c r="D314" t="inlineStr">
        <is>
          <t>NORRBOTTENS LÄN</t>
        </is>
      </c>
      <c r="E314" t="inlineStr">
        <is>
          <t>BODEN</t>
        </is>
      </c>
      <c r="F314" t="inlineStr">
        <is>
          <t>Sveaskog</t>
        </is>
      </c>
      <c r="G314" t="n">
        <v>32</v>
      </c>
      <c r="H314" t="n">
        <v>0</v>
      </c>
      <c r="I314" t="n">
        <v>0</v>
      </c>
      <c r="J314" t="n">
        <v>2</v>
      </c>
      <c r="K314" t="n">
        <v>0</v>
      </c>
      <c r="L314" t="n">
        <v>0</v>
      </c>
      <c r="M314" t="n">
        <v>0</v>
      </c>
      <c r="N314" t="n">
        <v>0</v>
      </c>
      <c r="O314" t="n">
        <v>2</v>
      </c>
      <c r="P314" t="n">
        <v>0</v>
      </c>
      <c r="Q314" t="n">
        <v>2</v>
      </c>
      <c r="R314" s="2" t="inlineStr">
        <is>
          <t>Lunglav
Nordtagging</t>
        </is>
      </c>
      <c r="S314">
        <f>HYPERLINK("https://klasma.github.io/Logging_2582/artfynd/A 21127-2019 artfynd.xlsx", "A 21127-2019")</f>
        <v/>
      </c>
      <c r="T314">
        <f>HYPERLINK("https://klasma.github.io/Logging_2582/kartor/A 21127-2019 karta.png", "A 21127-2019")</f>
        <v/>
      </c>
      <c r="V314">
        <f>HYPERLINK("https://klasma.github.io/Logging_2582/klagomål/A 21127-2019 FSC-klagomål.docx", "A 21127-2019")</f>
        <v/>
      </c>
      <c r="W314">
        <f>HYPERLINK("https://klasma.github.io/Logging_2582/klagomålsmail/A 21127-2019 FSC-klagomål mail.docx", "A 21127-2019")</f>
        <v/>
      </c>
      <c r="X314">
        <f>HYPERLINK("https://klasma.github.io/Logging_2582/tillsyn/A 21127-2019 tillsynsbegäran.docx", "A 21127-2019")</f>
        <v/>
      </c>
      <c r="Y314">
        <f>HYPERLINK("https://klasma.github.io/Logging_2582/tillsynsmail/A 21127-2019 tillsynsbegäran mail.docx", "A 21127-2019")</f>
        <v/>
      </c>
    </row>
    <row r="315" ht="15" customHeight="1">
      <c r="A315" t="inlineStr">
        <is>
          <t>A 23307-2019</t>
        </is>
      </c>
      <c r="B315" s="1" t="n">
        <v>43593</v>
      </c>
      <c r="C315" s="1" t="n">
        <v>45356</v>
      </c>
      <c r="D315" t="inlineStr">
        <is>
          <t>NORRBOTTENS LÄN</t>
        </is>
      </c>
      <c r="E315" t="inlineStr">
        <is>
          <t>ÖVERTORNEÅ</t>
        </is>
      </c>
      <c r="F315" t="inlineStr">
        <is>
          <t>Sveaskog</t>
        </is>
      </c>
      <c r="G315" t="n">
        <v>34.4</v>
      </c>
      <c r="H315" t="n">
        <v>0</v>
      </c>
      <c r="I315" t="n">
        <v>0</v>
      </c>
      <c r="J315" t="n">
        <v>2</v>
      </c>
      <c r="K315" t="n">
        <v>0</v>
      </c>
      <c r="L315" t="n">
        <v>0</v>
      </c>
      <c r="M315" t="n">
        <v>0</v>
      </c>
      <c r="N315" t="n">
        <v>0</v>
      </c>
      <c r="O315" t="n">
        <v>2</v>
      </c>
      <c r="P315" t="n">
        <v>0</v>
      </c>
      <c r="Q315" t="n">
        <v>2</v>
      </c>
      <c r="R315" s="2" t="inlineStr">
        <is>
          <t>Garnlav
Stjärntagging</t>
        </is>
      </c>
      <c r="S315">
        <f>HYPERLINK("https://klasma.github.io/Logging_2518/artfynd/A 23307-2019 artfynd.xlsx", "A 23307-2019")</f>
        <v/>
      </c>
      <c r="T315">
        <f>HYPERLINK("https://klasma.github.io/Logging_2518/kartor/A 23307-2019 karta.png", "A 23307-2019")</f>
        <v/>
      </c>
      <c r="V315">
        <f>HYPERLINK("https://klasma.github.io/Logging_2518/klagomål/A 23307-2019 FSC-klagomål.docx", "A 23307-2019")</f>
        <v/>
      </c>
      <c r="W315">
        <f>HYPERLINK("https://klasma.github.io/Logging_2518/klagomålsmail/A 23307-2019 FSC-klagomål mail.docx", "A 23307-2019")</f>
        <v/>
      </c>
      <c r="X315">
        <f>HYPERLINK("https://klasma.github.io/Logging_2518/tillsyn/A 23307-2019 tillsynsbegäran.docx", "A 23307-2019")</f>
        <v/>
      </c>
      <c r="Y315">
        <f>HYPERLINK("https://klasma.github.io/Logging_2518/tillsynsmail/A 23307-2019 tillsynsbegäran mail.docx", "A 23307-2019")</f>
        <v/>
      </c>
    </row>
    <row r="316" ht="15" customHeight="1">
      <c r="A316" t="inlineStr">
        <is>
          <t>A 24672-2019</t>
        </is>
      </c>
      <c r="B316" s="1" t="n">
        <v>43601</v>
      </c>
      <c r="C316" s="1" t="n">
        <v>45356</v>
      </c>
      <c r="D316" t="inlineStr">
        <is>
          <t>NORRBOTTENS LÄN</t>
        </is>
      </c>
      <c r="E316" t="inlineStr">
        <is>
          <t>BODEN</t>
        </is>
      </c>
      <c r="F316" t="inlineStr">
        <is>
          <t>Sveaskog</t>
        </is>
      </c>
      <c r="G316" t="n">
        <v>12.8</v>
      </c>
      <c r="H316" t="n">
        <v>0</v>
      </c>
      <c r="I316" t="n">
        <v>0</v>
      </c>
      <c r="J316" t="n">
        <v>1</v>
      </c>
      <c r="K316" t="n">
        <v>1</v>
      </c>
      <c r="L316" t="n">
        <v>0</v>
      </c>
      <c r="M316" t="n">
        <v>0</v>
      </c>
      <c r="N316" t="n">
        <v>0</v>
      </c>
      <c r="O316" t="n">
        <v>2</v>
      </c>
      <c r="P316" t="n">
        <v>1</v>
      </c>
      <c r="Q316" t="n">
        <v>2</v>
      </c>
      <c r="R316" s="2" t="inlineStr">
        <is>
          <t>Gräddporing
Vaddporing</t>
        </is>
      </c>
      <c r="S316">
        <f>HYPERLINK("https://klasma.github.io/Logging_2582/artfynd/A 24672-2019 artfynd.xlsx", "A 24672-2019")</f>
        <v/>
      </c>
      <c r="T316">
        <f>HYPERLINK("https://klasma.github.io/Logging_2582/kartor/A 24672-2019 karta.png", "A 24672-2019")</f>
        <v/>
      </c>
      <c r="V316">
        <f>HYPERLINK("https://klasma.github.io/Logging_2582/klagomål/A 24672-2019 FSC-klagomål.docx", "A 24672-2019")</f>
        <v/>
      </c>
      <c r="W316">
        <f>HYPERLINK("https://klasma.github.io/Logging_2582/klagomålsmail/A 24672-2019 FSC-klagomål mail.docx", "A 24672-2019")</f>
        <v/>
      </c>
      <c r="X316">
        <f>HYPERLINK("https://klasma.github.io/Logging_2582/tillsyn/A 24672-2019 tillsynsbegäran.docx", "A 24672-2019")</f>
        <v/>
      </c>
      <c r="Y316">
        <f>HYPERLINK("https://klasma.github.io/Logging_2582/tillsynsmail/A 24672-2019 tillsynsbegäran mail.docx", "A 24672-2019")</f>
        <v/>
      </c>
    </row>
    <row r="317" ht="15" customHeight="1">
      <c r="A317" t="inlineStr">
        <is>
          <t>A 24913-2019</t>
        </is>
      </c>
      <c r="B317" s="1" t="n">
        <v>43602</v>
      </c>
      <c r="C317" s="1" t="n">
        <v>45356</v>
      </c>
      <c r="D317" t="inlineStr">
        <is>
          <t>NORRBOTTENS LÄN</t>
        </is>
      </c>
      <c r="E317" t="inlineStr">
        <is>
          <t>PAJALA</t>
        </is>
      </c>
      <c r="F317" t="inlineStr">
        <is>
          <t>Sveaskog</t>
        </is>
      </c>
      <c r="G317" t="n">
        <v>1.1</v>
      </c>
      <c r="H317" t="n">
        <v>0</v>
      </c>
      <c r="I317" t="n">
        <v>1</v>
      </c>
      <c r="J317" t="n">
        <v>1</v>
      </c>
      <c r="K317" t="n">
        <v>0</v>
      </c>
      <c r="L317" t="n">
        <v>0</v>
      </c>
      <c r="M317" t="n">
        <v>0</v>
      </c>
      <c r="N317" t="n">
        <v>0</v>
      </c>
      <c r="O317" t="n">
        <v>1</v>
      </c>
      <c r="P317" t="n">
        <v>0</v>
      </c>
      <c r="Q317" t="n">
        <v>2</v>
      </c>
      <c r="R317" s="2" t="inlineStr">
        <is>
          <t>Garnlav
Stuplav</t>
        </is>
      </c>
      <c r="S317">
        <f>HYPERLINK("https://klasma.github.io/Logging_2521/artfynd/A 24913-2019 artfynd.xlsx", "A 24913-2019")</f>
        <v/>
      </c>
      <c r="T317">
        <f>HYPERLINK("https://klasma.github.io/Logging_2521/kartor/A 24913-2019 karta.png", "A 24913-2019")</f>
        <v/>
      </c>
      <c r="V317">
        <f>HYPERLINK("https://klasma.github.io/Logging_2521/klagomål/A 24913-2019 FSC-klagomål.docx", "A 24913-2019")</f>
        <v/>
      </c>
      <c r="W317">
        <f>HYPERLINK("https://klasma.github.io/Logging_2521/klagomålsmail/A 24913-2019 FSC-klagomål mail.docx", "A 24913-2019")</f>
        <v/>
      </c>
      <c r="X317">
        <f>HYPERLINK("https://klasma.github.io/Logging_2521/tillsyn/A 24913-2019 tillsynsbegäran.docx", "A 24913-2019")</f>
        <v/>
      </c>
      <c r="Y317">
        <f>HYPERLINK("https://klasma.github.io/Logging_2521/tillsynsmail/A 24913-2019 tillsynsbegäran mail.docx", "A 24913-2019")</f>
        <v/>
      </c>
    </row>
    <row r="318" ht="15" customHeight="1">
      <c r="A318" t="inlineStr">
        <is>
          <t>A 32337-2019</t>
        </is>
      </c>
      <c r="B318" s="1" t="n">
        <v>43644</v>
      </c>
      <c r="C318" s="1" t="n">
        <v>45356</v>
      </c>
      <c r="D318" t="inlineStr">
        <is>
          <t>NORRBOTTENS LÄN</t>
        </is>
      </c>
      <c r="E318" t="inlineStr">
        <is>
          <t>PAJALA</t>
        </is>
      </c>
      <c r="F318" t="inlineStr">
        <is>
          <t>Sveaskog</t>
        </is>
      </c>
      <c r="G318" t="n">
        <v>5.1</v>
      </c>
      <c r="H318" t="n">
        <v>0</v>
      </c>
      <c r="I318" t="n">
        <v>1</v>
      </c>
      <c r="J318" t="n">
        <v>1</v>
      </c>
      <c r="K318" t="n">
        <v>0</v>
      </c>
      <c r="L318" t="n">
        <v>0</v>
      </c>
      <c r="M318" t="n">
        <v>0</v>
      </c>
      <c r="N318" t="n">
        <v>0</v>
      </c>
      <c r="O318" t="n">
        <v>1</v>
      </c>
      <c r="P318" t="n">
        <v>0</v>
      </c>
      <c r="Q318" t="n">
        <v>2</v>
      </c>
      <c r="R318" s="2" t="inlineStr">
        <is>
          <t>Garnlav
Trådticka</t>
        </is>
      </c>
      <c r="S318">
        <f>HYPERLINK("https://klasma.github.io/Logging_2521/artfynd/A 32337-2019 artfynd.xlsx", "A 32337-2019")</f>
        <v/>
      </c>
      <c r="T318">
        <f>HYPERLINK("https://klasma.github.io/Logging_2521/kartor/A 32337-2019 karta.png", "A 32337-2019")</f>
        <v/>
      </c>
      <c r="V318">
        <f>HYPERLINK("https://klasma.github.io/Logging_2521/klagomål/A 32337-2019 FSC-klagomål.docx", "A 32337-2019")</f>
        <v/>
      </c>
      <c r="W318">
        <f>HYPERLINK("https://klasma.github.io/Logging_2521/klagomålsmail/A 32337-2019 FSC-klagomål mail.docx", "A 32337-2019")</f>
        <v/>
      </c>
      <c r="X318">
        <f>HYPERLINK("https://klasma.github.io/Logging_2521/tillsyn/A 32337-2019 tillsynsbegäran.docx", "A 32337-2019")</f>
        <v/>
      </c>
      <c r="Y318">
        <f>HYPERLINK("https://klasma.github.io/Logging_2521/tillsynsmail/A 32337-2019 tillsynsbegäran mail.docx", "A 32337-2019")</f>
        <v/>
      </c>
    </row>
    <row r="319" ht="15" customHeight="1">
      <c r="A319" t="inlineStr">
        <is>
          <t>A 36554-2019</t>
        </is>
      </c>
      <c r="B319" s="1" t="n">
        <v>43671</v>
      </c>
      <c r="C319" s="1" t="n">
        <v>45356</v>
      </c>
      <c r="D319" t="inlineStr">
        <is>
          <t>NORRBOTTENS LÄN</t>
        </is>
      </c>
      <c r="E319" t="inlineStr">
        <is>
          <t>GÄLLIVARE</t>
        </is>
      </c>
      <c r="F319" t="inlineStr">
        <is>
          <t>Sveaskog</t>
        </is>
      </c>
      <c r="G319" t="n">
        <v>28.2</v>
      </c>
      <c r="H319" t="n">
        <v>0</v>
      </c>
      <c r="I319" t="n">
        <v>0</v>
      </c>
      <c r="J319" t="n">
        <v>1</v>
      </c>
      <c r="K319" t="n">
        <v>1</v>
      </c>
      <c r="L319" t="n">
        <v>0</v>
      </c>
      <c r="M319" t="n">
        <v>0</v>
      </c>
      <c r="N319" t="n">
        <v>0</v>
      </c>
      <c r="O319" t="n">
        <v>2</v>
      </c>
      <c r="P319" t="n">
        <v>1</v>
      </c>
      <c r="Q319" t="n">
        <v>2</v>
      </c>
      <c r="R319" s="2" t="inlineStr">
        <is>
          <t>Spadskinn
Tallticka</t>
        </is>
      </c>
      <c r="S319">
        <f>HYPERLINK("https://klasma.github.io/Logging_2523/artfynd/A 36554-2019 artfynd.xlsx", "A 36554-2019")</f>
        <v/>
      </c>
      <c r="T319">
        <f>HYPERLINK("https://klasma.github.io/Logging_2523/kartor/A 36554-2019 karta.png", "A 36554-2019")</f>
        <v/>
      </c>
      <c r="V319">
        <f>HYPERLINK("https://klasma.github.io/Logging_2523/klagomål/A 36554-2019 FSC-klagomål.docx", "A 36554-2019")</f>
        <v/>
      </c>
      <c r="W319">
        <f>HYPERLINK("https://klasma.github.io/Logging_2523/klagomålsmail/A 36554-2019 FSC-klagomål mail.docx", "A 36554-2019")</f>
        <v/>
      </c>
      <c r="X319">
        <f>HYPERLINK("https://klasma.github.io/Logging_2523/tillsyn/A 36554-2019 tillsynsbegäran.docx", "A 36554-2019")</f>
        <v/>
      </c>
      <c r="Y319">
        <f>HYPERLINK("https://klasma.github.io/Logging_2523/tillsynsmail/A 36554-2019 tillsynsbegäran mail.docx", "A 36554-2019")</f>
        <v/>
      </c>
    </row>
    <row r="320" ht="15" customHeight="1">
      <c r="A320" t="inlineStr">
        <is>
          <t>A 38649-2019</t>
        </is>
      </c>
      <c r="B320" s="1" t="n">
        <v>43686</v>
      </c>
      <c r="C320" s="1" t="n">
        <v>45356</v>
      </c>
      <c r="D320" t="inlineStr">
        <is>
          <t>NORRBOTTENS LÄN</t>
        </is>
      </c>
      <c r="E320" t="inlineStr">
        <is>
          <t>GÄLLIVARE</t>
        </is>
      </c>
      <c r="F320" t="inlineStr">
        <is>
          <t>Sveaskog</t>
        </is>
      </c>
      <c r="G320" t="n">
        <v>4.3</v>
      </c>
      <c r="H320" t="n">
        <v>1</v>
      </c>
      <c r="I320" t="n">
        <v>0</v>
      </c>
      <c r="J320" t="n">
        <v>1</v>
      </c>
      <c r="K320" t="n">
        <v>1</v>
      </c>
      <c r="L320" t="n">
        <v>0</v>
      </c>
      <c r="M320" t="n">
        <v>0</v>
      </c>
      <c r="N320" t="n">
        <v>0</v>
      </c>
      <c r="O320" t="n">
        <v>2</v>
      </c>
      <c r="P320" t="n">
        <v>1</v>
      </c>
      <c r="Q320" t="n">
        <v>2</v>
      </c>
      <c r="R320" s="2" t="inlineStr">
        <is>
          <t>Norna
Äggvaxskivling</t>
        </is>
      </c>
      <c r="S320">
        <f>HYPERLINK("https://klasma.github.io/Logging_2523/artfynd/A 38649-2019 artfynd.xlsx", "A 38649-2019")</f>
        <v/>
      </c>
      <c r="T320">
        <f>HYPERLINK("https://klasma.github.io/Logging_2523/kartor/A 38649-2019 karta.png", "A 38649-2019")</f>
        <v/>
      </c>
      <c r="V320">
        <f>HYPERLINK("https://klasma.github.io/Logging_2523/klagomål/A 38649-2019 FSC-klagomål.docx", "A 38649-2019")</f>
        <v/>
      </c>
      <c r="W320">
        <f>HYPERLINK("https://klasma.github.io/Logging_2523/klagomålsmail/A 38649-2019 FSC-klagomål mail.docx", "A 38649-2019")</f>
        <v/>
      </c>
      <c r="X320">
        <f>HYPERLINK("https://klasma.github.io/Logging_2523/tillsyn/A 38649-2019 tillsynsbegäran.docx", "A 38649-2019")</f>
        <v/>
      </c>
      <c r="Y320">
        <f>HYPERLINK("https://klasma.github.io/Logging_2523/tillsynsmail/A 38649-2019 tillsynsbegäran mail.docx", "A 38649-2019")</f>
        <v/>
      </c>
    </row>
    <row r="321" ht="15" customHeight="1">
      <c r="A321" t="inlineStr">
        <is>
          <t>A 43753-2019</t>
        </is>
      </c>
      <c r="B321" s="1" t="n">
        <v>43707</v>
      </c>
      <c r="C321" s="1" t="n">
        <v>45356</v>
      </c>
      <c r="D321" t="inlineStr">
        <is>
          <t>NORRBOTTENS LÄN</t>
        </is>
      </c>
      <c r="E321" t="inlineStr">
        <is>
          <t>ARVIDSJAUR</t>
        </is>
      </c>
      <c r="F321" t="inlineStr">
        <is>
          <t>Sveaskog</t>
        </is>
      </c>
      <c r="G321" t="n">
        <v>4.8</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HYPERLINK("https://klasma.github.io/Logging_2505/artfynd/A 43753-2019 artfynd.xlsx", "A 43753-2019")</f>
        <v/>
      </c>
      <c r="T321">
        <f>HYPERLINK("https://klasma.github.io/Logging_2505/kartor/A 43753-2019 karta.png", "A 43753-2019")</f>
        <v/>
      </c>
      <c r="V321">
        <f>HYPERLINK("https://klasma.github.io/Logging_2505/klagomål/A 43753-2019 FSC-klagomål.docx", "A 43753-2019")</f>
        <v/>
      </c>
      <c r="W321">
        <f>HYPERLINK("https://klasma.github.io/Logging_2505/klagomålsmail/A 43753-2019 FSC-klagomål mail.docx", "A 43753-2019")</f>
        <v/>
      </c>
      <c r="X321">
        <f>HYPERLINK("https://klasma.github.io/Logging_2505/tillsyn/A 43753-2019 tillsynsbegäran.docx", "A 43753-2019")</f>
        <v/>
      </c>
      <c r="Y321">
        <f>HYPERLINK("https://klasma.github.io/Logging_2505/tillsynsmail/A 43753-2019 tillsynsbegäran mail.docx", "A 43753-2019")</f>
        <v/>
      </c>
    </row>
    <row r="322" ht="15" customHeight="1">
      <c r="A322" t="inlineStr">
        <is>
          <t>A 45095-2019</t>
        </is>
      </c>
      <c r="B322" s="1" t="n">
        <v>43707</v>
      </c>
      <c r="C322" s="1" t="n">
        <v>45356</v>
      </c>
      <c r="D322" t="inlineStr">
        <is>
          <t>NORRBOTTENS LÄN</t>
        </is>
      </c>
      <c r="E322" t="inlineStr">
        <is>
          <t>ARJEPLOG</t>
        </is>
      </c>
      <c r="G322" t="n">
        <v>9.9</v>
      </c>
      <c r="H322" t="n">
        <v>2</v>
      </c>
      <c r="I322" t="n">
        <v>1</v>
      </c>
      <c r="J322" t="n">
        <v>0</v>
      </c>
      <c r="K322" t="n">
        <v>0</v>
      </c>
      <c r="L322" t="n">
        <v>0</v>
      </c>
      <c r="M322" t="n">
        <v>0</v>
      </c>
      <c r="N322" t="n">
        <v>0</v>
      </c>
      <c r="O322" t="n">
        <v>0</v>
      </c>
      <c r="P322" t="n">
        <v>0</v>
      </c>
      <c r="Q322" t="n">
        <v>2</v>
      </c>
      <c r="R322" s="2" t="inlineStr">
        <is>
          <t>Plattlummer
Revlummer</t>
        </is>
      </c>
      <c r="S322">
        <f>HYPERLINK("https://klasma.github.io/Logging_2506/artfynd/A 45095-2019 artfynd.xlsx", "A 45095-2019")</f>
        <v/>
      </c>
      <c r="T322">
        <f>HYPERLINK("https://klasma.github.io/Logging_2506/kartor/A 45095-2019 karta.png", "A 45095-2019")</f>
        <v/>
      </c>
      <c r="V322">
        <f>HYPERLINK("https://klasma.github.io/Logging_2506/klagomål/A 45095-2019 FSC-klagomål.docx", "A 45095-2019")</f>
        <v/>
      </c>
      <c r="W322">
        <f>HYPERLINK("https://klasma.github.io/Logging_2506/klagomålsmail/A 45095-2019 FSC-klagomål mail.docx", "A 45095-2019")</f>
        <v/>
      </c>
      <c r="X322">
        <f>HYPERLINK("https://klasma.github.io/Logging_2506/tillsyn/A 45095-2019 tillsynsbegäran.docx", "A 45095-2019")</f>
        <v/>
      </c>
      <c r="Y322">
        <f>HYPERLINK("https://klasma.github.io/Logging_2506/tillsynsmail/A 45095-2019 tillsynsbegäran mail.docx", "A 45095-2019")</f>
        <v/>
      </c>
    </row>
    <row r="323" ht="15" customHeight="1">
      <c r="A323" t="inlineStr">
        <is>
          <t>A 47756-2019</t>
        </is>
      </c>
      <c r="B323" s="1" t="n">
        <v>43724</v>
      </c>
      <c r="C323" s="1" t="n">
        <v>45356</v>
      </c>
      <c r="D323" t="inlineStr">
        <is>
          <t>NORRBOTTENS LÄN</t>
        </is>
      </c>
      <c r="E323" t="inlineStr">
        <is>
          <t>LULEÅ</t>
        </is>
      </c>
      <c r="G323" t="n">
        <v>4.8</v>
      </c>
      <c r="H323" t="n">
        <v>2</v>
      </c>
      <c r="I323" t="n">
        <v>0</v>
      </c>
      <c r="J323" t="n">
        <v>2</v>
      </c>
      <c r="K323" t="n">
        <v>0</v>
      </c>
      <c r="L323" t="n">
        <v>0</v>
      </c>
      <c r="M323" t="n">
        <v>0</v>
      </c>
      <c r="N323" t="n">
        <v>0</v>
      </c>
      <c r="O323" t="n">
        <v>2</v>
      </c>
      <c r="P323" t="n">
        <v>0</v>
      </c>
      <c r="Q323" t="n">
        <v>2</v>
      </c>
      <c r="R323" s="2" t="inlineStr">
        <is>
          <t>Rödvingetrast
Svartvit flugsnappare</t>
        </is>
      </c>
      <c r="S323">
        <f>HYPERLINK("https://klasma.github.io/Logging_2580/artfynd/A 47756-2019 artfynd.xlsx", "A 47756-2019")</f>
        <v/>
      </c>
      <c r="T323">
        <f>HYPERLINK("https://klasma.github.io/Logging_2580/kartor/A 47756-2019 karta.png", "A 47756-2019")</f>
        <v/>
      </c>
      <c r="V323">
        <f>HYPERLINK("https://klasma.github.io/Logging_2580/klagomål/A 47756-2019 FSC-klagomål.docx", "A 47756-2019")</f>
        <v/>
      </c>
      <c r="W323">
        <f>HYPERLINK("https://klasma.github.io/Logging_2580/klagomålsmail/A 47756-2019 FSC-klagomål mail.docx", "A 47756-2019")</f>
        <v/>
      </c>
      <c r="X323">
        <f>HYPERLINK("https://klasma.github.io/Logging_2580/tillsyn/A 47756-2019 tillsynsbegäran.docx", "A 47756-2019")</f>
        <v/>
      </c>
      <c r="Y323">
        <f>HYPERLINK("https://klasma.github.io/Logging_2580/tillsynsmail/A 47756-2019 tillsynsbegäran mail.docx", "A 47756-2019")</f>
        <v/>
      </c>
    </row>
    <row r="324" ht="15" customHeight="1">
      <c r="A324" t="inlineStr">
        <is>
          <t>A 50195-2019</t>
        </is>
      </c>
      <c r="B324" s="1" t="n">
        <v>43734</v>
      </c>
      <c r="C324" s="1" t="n">
        <v>45356</v>
      </c>
      <c r="D324" t="inlineStr">
        <is>
          <t>NORRBOTTENS LÄN</t>
        </is>
      </c>
      <c r="E324" t="inlineStr">
        <is>
          <t>PAJALA</t>
        </is>
      </c>
      <c r="F324" t="inlineStr">
        <is>
          <t>Sveaskog</t>
        </is>
      </c>
      <c r="G324" t="n">
        <v>12</v>
      </c>
      <c r="H324" t="n">
        <v>0</v>
      </c>
      <c r="I324" t="n">
        <v>0</v>
      </c>
      <c r="J324" t="n">
        <v>1</v>
      </c>
      <c r="K324" t="n">
        <v>1</v>
      </c>
      <c r="L324" t="n">
        <v>0</v>
      </c>
      <c r="M324" t="n">
        <v>0</v>
      </c>
      <c r="N324" t="n">
        <v>0</v>
      </c>
      <c r="O324" t="n">
        <v>2</v>
      </c>
      <c r="P324" t="n">
        <v>1</v>
      </c>
      <c r="Q324" t="n">
        <v>2</v>
      </c>
      <c r="R324" s="2" t="inlineStr">
        <is>
          <t>Gräddporing
Garnlav</t>
        </is>
      </c>
      <c r="S324">
        <f>HYPERLINK("https://klasma.github.io/Logging_2521/artfynd/A 50195-2019 artfynd.xlsx", "A 50195-2019")</f>
        <v/>
      </c>
      <c r="T324">
        <f>HYPERLINK("https://klasma.github.io/Logging_2521/kartor/A 50195-2019 karta.png", "A 50195-2019")</f>
        <v/>
      </c>
      <c r="V324">
        <f>HYPERLINK("https://klasma.github.io/Logging_2521/klagomål/A 50195-2019 FSC-klagomål.docx", "A 50195-2019")</f>
        <v/>
      </c>
      <c r="W324">
        <f>HYPERLINK("https://klasma.github.io/Logging_2521/klagomålsmail/A 50195-2019 FSC-klagomål mail.docx", "A 50195-2019")</f>
        <v/>
      </c>
      <c r="X324">
        <f>HYPERLINK("https://klasma.github.io/Logging_2521/tillsyn/A 50195-2019 tillsynsbegäran.docx", "A 50195-2019")</f>
        <v/>
      </c>
      <c r="Y324">
        <f>HYPERLINK("https://klasma.github.io/Logging_2521/tillsynsmail/A 50195-2019 tillsynsbegäran mail.docx", "A 50195-2019")</f>
        <v/>
      </c>
    </row>
    <row r="325" ht="15" customHeight="1">
      <c r="A325" t="inlineStr">
        <is>
          <t>A 52586-2019</t>
        </is>
      </c>
      <c r="B325" s="1" t="n">
        <v>43745</v>
      </c>
      <c r="C325" s="1" t="n">
        <v>45356</v>
      </c>
      <c r="D325" t="inlineStr">
        <is>
          <t>NORRBOTTENS LÄN</t>
        </is>
      </c>
      <c r="E325" t="inlineStr">
        <is>
          <t>BODEN</t>
        </is>
      </c>
      <c r="F325" t="inlineStr">
        <is>
          <t>SCA</t>
        </is>
      </c>
      <c r="G325" t="n">
        <v>3.5</v>
      </c>
      <c r="H325" t="n">
        <v>0</v>
      </c>
      <c r="I325" t="n">
        <v>1</v>
      </c>
      <c r="J325" t="n">
        <v>1</v>
      </c>
      <c r="K325" t="n">
        <v>0</v>
      </c>
      <c r="L325" t="n">
        <v>0</v>
      </c>
      <c r="M325" t="n">
        <v>0</v>
      </c>
      <c r="N325" t="n">
        <v>0</v>
      </c>
      <c r="O325" t="n">
        <v>1</v>
      </c>
      <c r="P325" t="n">
        <v>0</v>
      </c>
      <c r="Q325" t="n">
        <v>2</v>
      </c>
      <c r="R325" s="2" t="inlineStr">
        <is>
          <t>Äggvaxskivling
Grönpyrola</t>
        </is>
      </c>
      <c r="S325">
        <f>HYPERLINK("https://klasma.github.io/Logging_2582/artfynd/A 52586-2019 artfynd.xlsx", "A 52586-2019")</f>
        <v/>
      </c>
      <c r="T325">
        <f>HYPERLINK("https://klasma.github.io/Logging_2582/kartor/A 52586-2019 karta.png", "A 52586-2019")</f>
        <v/>
      </c>
      <c r="V325">
        <f>HYPERLINK("https://klasma.github.io/Logging_2582/klagomål/A 52586-2019 FSC-klagomål.docx", "A 52586-2019")</f>
        <v/>
      </c>
      <c r="W325">
        <f>HYPERLINK("https://klasma.github.io/Logging_2582/klagomålsmail/A 52586-2019 FSC-klagomål mail.docx", "A 52586-2019")</f>
        <v/>
      </c>
      <c r="X325">
        <f>HYPERLINK("https://klasma.github.io/Logging_2582/tillsyn/A 52586-2019 tillsynsbegäran.docx", "A 52586-2019")</f>
        <v/>
      </c>
      <c r="Y325">
        <f>HYPERLINK("https://klasma.github.io/Logging_2582/tillsynsmail/A 52586-2019 tillsynsbegäran mail.docx", "A 52586-2019")</f>
        <v/>
      </c>
    </row>
    <row r="326" ht="15" customHeight="1">
      <c r="A326" t="inlineStr">
        <is>
          <t>A 55138-2019</t>
        </is>
      </c>
      <c r="B326" s="1" t="n">
        <v>43756</v>
      </c>
      <c r="C326" s="1" t="n">
        <v>45356</v>
      </c>
      <c r="D326" t="inlineStr">
        <is>
          <t>NORRBOTTENS LÄN</t>
        </is>
      </c>
      <c r="E326" t="inlineStr">
        <is>
          <t>GÄLLIVARE</t>
        </is>
      </c>
      <c r="F326" t="inlineStr">
        <is>
          <t>Sveaskog</t>
        </is>
      </c>
      <c r="G326" t="n">
        <v>14</v>
      </c>
      <c r="H326" t="n">
        <v>0</v>
      </c>
      <c r="I326" t="n">
        <v>0</v>
      </c>
      <c r="J326" t="n">
        <v>1</v>
      </c>
      <c r="K326" t="n">
        <v>1</v>
      </c>
      <c r="L326" t="n">
        <v>0</v>
      </c>
      <c r="M326" t="n">
        <v>0</v>
      </c>
      <c r="N326" t="n">
        <v>0</v>
      </c>
      <c r="O326" t="n">
        <v>2</v>
      </c>
      <c r="P326" t="n">
        <v>1</v>
      </c>
      <c r="Q326" t="n">
        <v>2</v>
      </c>
      <c r="R326" s="2" t="inlineStr">
        <is>
          <t>Fläckporing
Talltaggsvamp</t>
        </is>
      </c>
      <c r="S326">
        <f>HYPERLINK("https://klasma.github.io/Logging_2523/artfynd/A 55138-2019 artfynd.xlsx", "A 55138-2019")</f>
        <v/>
      </c>
      <c r="T326">
        <f>HYPERLINK("https://klasma.github.io/Logging_2523/kartor/A 55138-2019 karta.png", "A 55138-2019")</f>
        <v/>
      </c>
      <c r="V326">
        <f>HYPERLINK("https://klasma.github.io/Logging_2523/klagomål/A 55138-2019 FSC-klagomål.docx", "A 55138-2019")</f>
        <v/>
      </c>
      <c r="W326">
        <f>HYPERLINK("https://klasma.github.io/Logging_2523/klagomålsmail/A 55138-2019 FSC-klagomål mail.docx", "A 55138-2019")</f>
        <v/>
      </c>
      <c r="X326">
        <f>HYPERLINK("https://klasma.github.io/Logging_2523/tillsyn/A 55138-2019 tillsynsbegäran.docx", "A 55138-2019")</f>
        <v/>
      </c>
      <c r="Y326">
        <f>HYPERLINK("https://klasma.github.io/Logging_2523/tillsynsmail/A 55138-2019 tillsynsbegäran mail.docx", "A 55138-2019")</f>
        <v/>
      </c>
    </row>
    <row r="327" ht="15" customHeight="1">
      <c r="A327" t="inlineStr">
        <is>
          <t>A 56355-2019</t>
        </is>
      </c>
      <c r="B327" s="1" t="n">
        <v>43762</v>
      </c>
      <c r="C327" s="1" t="n">
        <v>45356</v>
      </c>
      <c r="D327" t="inlineStr">
        <is>
          <t>NORRBOTTENS LÄN</t>
        </is>
      </c>
      <c r="E327" t="inlineStr">
        <is>
          <t>BODEN</t>
        </is>
      </c>
      <c r="F327" t="inlineStr">
        <is>
          <t>Sveaskog</t>
        </is>
      </c>
      <c r="G327" t="n">
        <v>34.5</v>
      </c>
      <c r="H327" t="n">
        <v>2</v>
      </c>
      <c r="I327" t="n">
        <v>0</v>
      </c>
      <c r="J327" t="n">
        <v>2</v>
      </c>
      <c r="K327" t="n">
        <v>0</v>
      </c>
      <c r="L327" t="n">
        <v>0</v>
      </c>
      <c r="M327" t="n">
        <v>0</v>
      </c>
      <c r="N327" t="n">
        <v>0</v>
      </c>
      <c r="O327" t="n">
        <v>2</v>
      </c>
      <c r="P327" t="n">
        <v>0</v>
      </c>
      <c r="Q327" t="n">
        <v>2</v>
      </c>
      <c r="R327" s="2" t="inlineStr">
        <is>
          <t>Spillkråka
Talltita</t>
        </is>
      </c>
      <c r="S327">
        <f>HYPERLINK("https://klasma.github.io/Logging_2582/artfynd/A 56355-2019 artfynd.xlsx", "A 56355-2019")</f>
        <v/>
      </c>
      <c r="T327">
        <f>HYPERLINK("https://klasma.github.io/Logging_2582/kartor/A 56355-2019 karta.png", "A 56355-2019")</f>
        <v/>
      </c>
      <c r="V327">
        <f>HYPERLINK("https://klasma.github.io/Logging_2582/klagomål/A 56355-2019 FSC-klagomål.docx", "A 56355-2019")</f>
        <v/>
      </c>
      <c r="W327">
        <f>HYPERLINK("https://klasma.github.io/Logging_2582/klagomålsmail/A 56355-2019 FSC-klagomål mail.docx", "A 56355-2019")</f>
        <v/>
      </c>
      <c r="X327">
        <f>HYPERLINK("https://klasma.github.io/Logging_2582/tillsyn/A 56355-2019 tillsynsbegäran.docx", "A 56355-2019")</f>
        <v/>
      </c>
      <c r="Y327">
        <f>HYPERLINK("https://klasma.github.io/Logging_2582/tillsynsmail/A 56355-2019 tillsynsbegäran mail.docx", "A 56355-2019")</f>
        <v/>
      </c>
      <c r="Z327">
        <f>HYPERLINK("https://klasma.github.io/Logging_2582/fåglar/A 56355-2019 prioriterade fågelarter.docx", "A 56355-2019")</f>
        <v/>
      </c>
    </row>
    <row r="328" ht="15" customHeight="1">
      <c r="A328" t="inlineStr">
        <is>
          <t>A 57990-2019</t>
        </is>
      </c>
      <c r="B328" s="1" t="n">
        <v>43769</v>
      </c>
      <c r="C328" s="1" t="n">
        <v>45356</v>
      </c>
      <c r="D328" t="inlineStr">
        <is>
          <t>NORRBOTTENS LÄN</t>
        </is>
      </c>
      <c r="E328" t="inlineStr">
        <is>
          <t>PAJALA</t>
        </is>
      </c>
      <c r="F328" t="inlineStr">
        <is>
          <t>Sveaskog</t>
        </is>
      </c>
      <c r="G328" t="n">
        <v>30.9</v>
      </c>
      <c r="H328" t="n">
        <v>1</v>
      </c>
      <c r="I328" t="n">
        <v>0</v>
      </c>
      <c r="J328" t="n">
        <v>1</v>
      </c>
      <c r="K328" t="n">
        <v>0</v>
      </c>
      <c r="L328" t="n">
        <v>0</v>
      </c>
      <c r="M328" t="n">
        <v>0</v>
      </c>
      <c r="N328" t="n">
        <v>0</v>
      </c>
      <c r="O328" t="n">
        <v>1</v>
      </c>
      <c r="P328" t="n">
        <v>0</v>
      </c>
      <c r="Q328" t="n">
        <v>2</v>
      </c>
      <c r="R328" s="2" t="inlineStr">
        <is>
          <t>Gammelgransskål
Fläcknycklar</t>
        </is>
      </c>
      <c r="S328">
        <f>HYPERLINK("https://klasma.github.io/Logging_2521/artfynd/A 57990-2019 artfynd.xlsx", "A 57990-2019")</f>
        <v/>
      </c>
      <c r="T328">
        <f>HYPERLINK("https://klasma.github.io/Logging_2521/kartor/A 57990-2019 karta.png", "A 57990-2019")</f>
        <v/>
      </c>
      <c r="V328">
        <f>HYPERLINK("https://klasma.github.io/Logging_2521/klagomål/A 57990-2019 FSC-klagomål.docx", "A 57990-2019")</f>
        <v/>
      </c>
      <c r="W328">
        <f>HYPERLINK("https://klasma.github.io/Logging_2521/klagomålsmail/A 57990-2019 FSC-klagomål mail.docx", "A 57990-2019")</f>
        <v/>
      </c>
      <c r="X328">
        <f>HYPERLINK("https://klasma.github.io/Logging_2521/tillsyn/A 57990-2019 tillsynsbegäran.docx", "A 57990-2019")</f>
        <v/>
      </c>
      <c r="Y328">
        <f>HYPERLINK("https://klasma.github.io/Logging_2521/tillsynsmail/A 57990-2019 tillsynsbegäran mail.docx", "A 57990-2019")</f>
        <v/>
      </c>
    </row>
    <row r="329" ht="15" customHeight="1">
      <c r="A329" t="inlineStr">
        <is>
          <t>A 59350-2019</t>
        </is>
      </c>
      <c r="B329" s="1" t="n">
        <v>43773</v>
      </c>
      <c r="C329" s="1" t="n">
        <v>45356</v>
      </c>
      <c r="D329" t="inlineStr">
        <is>
          <t>NORRBOTTENS LÄN</t>
        </is>
      </c>
      <c r="E329" t="inlineStr">
        <is>
          <t>GÄLLIVARE</t>
        </is>
      </c>
      <c r="G329" t="n">
        <v>7.7</v>
      </c>
      <c r="H329" t="n">
        <v>0</v>
      </c>
      <c r="I329" t="n">
        <v>1</v>
      </c>
      <c r="J329" t="n">
        <v>1</v>
      </c>
      <c r="K329" t="n">
        <v>0</v>
      </c>
      <c r="L329" t="n">
        <v>0</v>
      </c>
      <c r="M329" t="n">
        <v>0</v>
      </c>
      <c r="N329" t="n">
        <v>0</v>
      </c>
      <c r="O329" t="n">
        <v>1</v>
      </c>
      <c r="P329" t="n">
        <v>0</v>
      </c>
      <c r="Q329" t="n">
        <v>2</v>
      </c>
      <c r="R329" s="2" t="inlineStr">
        <is>
          <t>Garnlav
Bårdlav</t>
        </is>
      </c>
      <c r="S329">
        <f>HYPERLINK("https://klasma.github.io/Logging_2523/artfynd/A 59350-2019 artfynd.xlsx", "A 59350-2019")</f>
        <v/>
      </c>
      <c r="T329">
        <f>HYPERLINK("https://klasma.github.io/Logging_2523/kartor/A 59350-2019 karta.png", "A 59350-2019")</f>
        <v/>
      </c>
      <c r="V329">
        <f>HYPERLINK("https://klasma.github.io/Logging_2523/klagomål/A 59350-2019 FSC-klagomål.docx", "A 59350-2019")</f>
        <v/>
      </c>
      <c r="W329">
        <f>HYPERLINK("https://klasma.github.io/Logging_2523/klagomålsmail/A 59350-2019 FSC-klagomål mail.docx", "A 59350-2019")</f>
        <v/>
      </c>
      <c r="X329">
        <f>HYPERLINK("https://klasma.github.io/Logging_2523/tillsyn/A 59350-2019 tillsynsbegäran.docx", "A 59350-2019")</f>
        <v/>
      </c>
      <c r="Y329">
        <f>HYPERLINK("https://klasma.github.io/Logging_2523/tillsynsmail/A 59350-2019 tillsynsbegäran mail.docx", "A 59350-2019")</f>
        <v/>
      </c>
    </row>
    <row r="330" ht="15" customHeight="1">
      <c r="A330" t="inlineStr">
        <is>
          <t>A 60777-2019</t>
        </is>
      </c>
      <c r="B330" s="1" t="n">
        <v>43777</v>
      </c>
      <c r="C330" s="1" t="n">
        <v>45356</v>
      </c>
      <c r="D330" t="inlineStr">
        <is>
          <t>NORRBOTTENS LÄN</t>
        </is>
      </c>
      <c r="E330" t="inlineStr">
        <is>
          <t>KIRUNA</t>
        </is>
      </c>
      <c r="G330" t="n">
        <v>4.9</v>
      </c>
      <c r="H330" t="n">
        <v>0</v>
      </c>
      <c r="I330" t="n">
        <v>0</v>
      </c>
      <c r="J330" t="n">
        <v>2</v>
      </c>
      <c r="K330" t="n">
        <v>0</v>
      </c>
      <c r="L330" t="n">
        <v>0</v>
      </c>
      <c r="M330" t="n">
        <v>0</v>
      </c>
      <c r="N330" t="n">
        <v>0</v>
      </c>
      <c r="O330" t="n">
        <v>2</v>
      </c>
      <c r="P330" t="n">
        <v>0</v>
      </c>
      <c r="Q330" t="n">
        <v>2</v>
      </c>
      <c r="R330" s="2" t="inlineStr">
        <is>
          <t>Granticka
Ullticka</t>
        </is>
      </c>
      <c r="S330">
        <f>HYPERLINK("https://klasma.github.io/Logging_2584/artfynd/A 60777-2019 artfynd.xlsx", "A 60777-2019")</f>
        <v/>
      </c>
      <c r="T330">
        <f>HYPERLINK("https://klasma.github.io/Logging_2584/kartor/A 60777-2019 karta.png", "A 60777-2019")</f>
        <v/>
      </c>
      <c r="V330">
        <f>HYPERLINK("https://klasma.github.io/Logging_2584/klagomål/A 60777-2019 FSC-klagomål.docx", "A 60777-2019")</f>
        <v/>
      </c>
      <c r="W330">
        <f>HYPERLINK("https://klasma.github.io/Logging_2584/klagomålsmail/A 60777-2019 FSC-klagomål mail.docx", "A 60777-2019")</f>
        <v/>
      </c>
      <c r="X330">
        <f>HYPERLINK("https://klasma.github.io/Logging_2584/tillsyn/A 60777-2019 tillsynsbegäran.docx", "A 60777-2019")</f>
        <v/>
      </c>
      <c r="Y330">
        <f>HYPERLINK("https://klasma.github.io/Logging_2584/tillsynsmail/A 60777-2019 tillsynsbegäran mail.docx", "A 60777-2019")</f>
        <v/>
      </c>
    </row>
    <row r="331" ht="15" customHeight="1">
      <c r="A331" t="inlineStr">
        <is>
          <t>A 63693-2019</t>
        </is>
      </c>
      <c r="B331" s="1" t="n">
        <v>43789</v>
      </c>
      <c r="C331" s="1" t="n">
        <v>45356</v>
      </c>
      <c r="D331" t="inlineStr">
        <is>
          <t>NORRBOTTENS LÄN</t>
        </is>
      </c>
      <c r="E331" t="inlineStr">
        <is>
          <t>ÖVERKALIX</t>
        </is>
      </c>
      <c r="F331" t="inlineStr">
        <is>
          <t>SCA</t>
        </is>
      </c>
      <c r="G331" t="n">
        <v>10</v>
      </c>
      <c r="H331" t="n">
        <v>2</v>
      </c>
      <c r="I331" t="n">
        <v>0</v>
      </c>
      <c r="J331" t="n">
        <v>0</v>
      </c>
      <c r="K331" t="n">
        <v>2</v>
      </c>
      <c r="L331" t="n">
        <v>0</v>
      </c>
      <c r="M331" t="n">
        <v>0</v>
      </c>
      <c r="N331" t="n">
        <v>0</v>
      </c>
      <c r="O331" t="n">
        <v>2</v>
      </c>
      <c r="P331" t="n">
        <v>2</v>
      </c>
      <c r="Q331" t="n">
        <v>2</v>
      </c>
      <c r="R331" s="2" t="inlineStr">
        <is>
          <t>Doftticka
Knärot</t>
        </is>
      </c>
      <c r="S331">
        <f>HYPERLINK("https://klasma.github.io/Logging_2513/artfynd/A 63693-2019 artfynd.xlsx", "A 63693-2019")</f>
        <v/>
      </c>
      <c r="T331">
        <f>HYPERLINK("https://klasma.github.io/Logging_2513/kartor/A 63693-2019 karta.png", "A 63693-2019")</f>
        <v/>
      </c>
      <c r="U331">
        <f>HYPERLINK("https://klasma.github.io/Logging_2513/knärot/A 63693-2019 karta knärot.png", "A 63693-2019")</f>
        <v/>
      </c>
      <c r="V331">
        <f>HYPERLINK("https://klasma.github.io/Logging_2513/klagomål/A 63693-2019 FSC-klagomål.docx", "A 63693-2019")</f>
        <v/>
      </c>
      <c r="W331">
        <f>HYPERLINK("https://klasma.github.io/Logging_2513/klagomålsmail/A 63693-2019 FSC-klagomål mail.docx", "A 63693-2019")</f>
        <v/>
      </c>
      <c r="X331">
        <f>HYPERLINK("https://klasma.github.io/Logging_2513/tillsyn/A 63693-2019 tillsynsbegäran.docx", "A 63693-2019")</f>
        <v/>
      </c>
      <c r="Y331">
        <f>HYPERLINK("https://klasma.github.io/Logging_2513/tillsynsmail/A 63693-2019 tillsynsbegäran mail.docx", "A 63693-2019")</f>
        <v/>
      </c>
    </row>
    <row r="332" ht="15" customHeight="1">
      <c r="A332" t="inlineStr">
        <is>
          <t>A 66423-2019</t>
        </is>
      </c>
      <c r="B332" s="1" t="n">
        <v>43802</v>
      </c>
      <c r="C332" s="1" t="n">
        <v>45356</v>
      </c>
      <c r="D332" t="inlineStr">
        <is>
          <t>NORRBOTTENS LÄN</t>
        </is>
      </c>
      <c r="E332" t="inlineStr">
        <is>
          <t>PITEÅ</t>
        </is>
      </c>
      <c r="G332" t="n">
        <v>4.8</v>
      </c>
      <c r="H332" t="n">
        <v>1</v>
      </c>
      <c r="I332" t="n">
        <v>0</v>
      </c>
      <c r="J332" t="n">
        <v>2</v>
      </c>
      <c r="K332" t="n">
        <v>0</v>
      </c>
      <c r="L332" t="n">
        <v>0</v>
      </c>
      <c r="M332" t="n">
        <v>0</v>
      </c>
      <c r="N332" t="n">
        <v>0</v>
      </c>
      <c r="O332" t="n">
        <v>2</v>
      </c>
      <c r="P332" t="n">
        <v>0</v>
      </c>
      <c r="Q332" t="n">
        <v>2</v>
      </c>
      <c r="R332" s="2" t="inlineStr">
        <is>
          <t>Spillkråka
Tallticka</t>
        </is>
      </c>
      <c r="S332">
        <f>HYPERLINK("https://klasma.github.io/Logging_2581/artfynd/A 66423-2019 artfynd.xlsx", "A 66423-2019")</f>
        <v/>
      </c>
      <c r="T332">
        <f>HYPERLINK("https://klasma.github.io/Logging_2581/kartor/A 66423-2019 karta.png", "A 66423-2019")</f>
        <v/>
      </c>
      <c r="V332">
        <f>HYPERLINK("https://klasma.github.io/Logging_2581/klagomål/A 66423-2019 FSC-klagomål.docx", "A 66423-2019")</f>
        <v/>
      </c>
      <c r="W332">
        <f>HYPERLINK("https://klasma.github.io/Logging_2581/klagomålsmail/A 66423-2019 FSC-klagomål mail.docx", "A 66423-2019")</f>
        <v/>
      </c>
      <c r="X332">
        <f>HYPERLINK("https://klasma.github.io/Logging_2581/tillsyn/A 66423-2019 tillsynsbegäran.docx", "A 66423-2019")</f>
        <v/>
      </c>
      <c r="Y332">
        <f>HYPERLINK("https://klasma.github.io/Logging_2581/tillsynsmail/A 66423-2019 tillsynsbegäran mail.docx", "A 66423-2019")</f>
        <v/>
      </c>
      <c r="Z332">
        <f>HYPERLINK("https://klasma.github.io/Logging_2581/fåglar/A 66423-2019 prioriterade fågelarter.docx", "A 66423-2019")</f>
        <v/>
      </c>
    </row>
    <row r="333" ht="15" customHeight="1">
      <c r="A333" t="inlineStr">
        <is>
          <t>A 8612-2020</t>
        </is>
      </c>
      <c r="B333" s="1" t="n">
        <v>43875</v>
      </c>
      <c r="C333" s="1" t="n">
        <v>45356</v>
      </c>
      <c r="D333" t="inlineStr">
        <is>
          <t>NORRBOTTENS LÄN</t>
        </is>
      </c>
      <c r="E333" t="inlineStr">
        <is>
          <t>ÄLVSBYN</t>
        </is>
      </c>
      <c r="G333" t="n">
        <v>1</v>
      </c>
      <c r="H333" t="n">
        <v>0</v>
      </c>
      <c r="I333" t="n">
        <v>0</v>
      </c>
      <c r="J333" t="n">
        <v>0</v>
      </c>
      <c r="K333" t="n">
        <v>2</v>
      </c>
      <c r="L333" t="n">
        <v>0</v>
      </c>
      <c r="M333" t="n">
        <v>0</v>
      </c>
      <c r="N333" t="n">
        <v>0</v>
      </c>
      <c r="O333" t="n">
        <v>2</v>
      </c>
      <c r="P333" t="n">
        <v>2</v>
      </c>
      <c r="Q333" t="n">
        <v>2</v>
      </c>
      <c r="R333" s="2" t="inlineStr">
        <is>
          <t>Rotfingersvamp
Smalfotad taggsvamp</t>
        </is>
      </c>
      <c r="S333">
        <f>HYPERLINK("https://klasma.github.io/Logging_2560/artfynd/A 8612-2020 artfynd.xlsx", "A 8612-2020")</f>
        <v/>
      </c>
      <c r="T333">
        <f>HYPERLINK("https://klasma.github.io/Logging_2560/kartor/A 8612-2020 karta.png", "A 8612-2020")</f>
        <v/>
      </c>
      <c r="V333">
        <f>HYPERLINK("https://klasma.github.io/Logging_2560/klagomål/A 8612-2020 FSC-klagomål.docx", "A 8612-2020")</f>
        <v/>
      </c>
      <c r="W333">
        <f>HYPERLINK("https://klasma.github.io/Logging_2560/klagomålsmail/A 8612-2020 FSC-klagomål mail.docx", "A 8612-2020")</f>
        <v/>
      </c>
      <c r="X333">
        <f>HYPERLINK("https://klasma.github.io/Logging_2560/tillsyn/A 8612-2020 tillsynsbegäran.docx", "A 8612-2020")</f>
        <v/>
      </c>
      <c r="Y333">
        <f>HYPERLINK("https://klasma.github.io/Logging_2560/tillsynsmail/A 8612-2020 tillsynsbegäran mail.docx", "A 8612-2020")</f>
        <v/>
      </c>
    </row>
    <row r="334" ht="15" customHeight="1">
      <c r="A334" t="inlineStr">
        <is>
          <t>A 13143-2020</t>
        </is>
      </c>
      <c r="B334" s="1" t="n">
        <v>43901</v>
      </c>
      <c r="C334" s="1" t="n">
        <v>45356</v>
      </c>
      <c r="D334" t="inlineStr">
        <is>
          <t>NORRBOTTENS LÄN</t>
        </is>
      </c>
      <c r="E334" t="inlineStr">
        <is>
          <t>ÖVERKALIX</t>
        </is>
      </c>
      <c r="F334" t="inlineStr">
        <is>
          <t>Sveaskog</t>
        </is>
      </c>
      <c r="G334" t="n">
        <v>40.5</v>
      </c>
      <c r="H334" t="n">
        <v>0</v>
      </c>
      <c r="I334" t="n">
        <v>0</v>
      </c>
      <c r="J334" t="n">
        <v>2</v>
      </c>
      <c r="K334" t="n">
        <v>0</v>
      </c>
      <c r="L334" t="n">
        <v>0</v>
      </c>
      <c r="M334" t="n">
        <v>0</v>
      </c>
      <c r="N334" t="n">
        <v>0</v>
      </c>
      <c r="O334" t="n">
        <v>2</v>
      </c>
      <c r="P334" t="n">
        <v>0</v>
      </c>
      <c r="Q334" t="n">
        <v>2</v>
      </c>
      <c r="R334" s="2" t="inlineStr">
        <is>
          <t>Gammelgransskål
Tallticka</t>
        </is>
      </c>
      <c r="S334">
        <f>HYPERLINK("https://klasma.github.io/Logging_2513/artfynd/A 13143-2020 artfynd.xlsx", "A 13143-2020")</f>
        <v/>
      </c>
      <c r="T334">
        <f>HYPERLINK("https://klasma.github.io/Logging_2513/kartor/A 13143-2020 karta.png", "A 13143-2020")</f>
        <v/>
      </c>
      <c r="V334">
        <f>HYPERLINK("https://klasma.github.io/Logging_2513/klagomål/A 13143-2020 FSC-klagomål.docx", "A 13143-2020")</f>
        <v/>
      </c>
      <c r="W334">
        <f>HYPERLINK("https://klasma.github.io/Logging_2513/klagomålsmail/A 13143-2020 FSC-klagomål mail.docx", "A 13143-2020")</f>
        <v/>
      </c>
      <c r="X334">
        <f>HYPERLINK("https://klasma.github.io/Logging_2513/tillsyn/A 13143-2020 tillsynsbegäran.docx", "A 13143-2020")</f>
        <v/>
      </c>
      <c r="Y334">
        <f>HYPERLINK("https://klasma.github.io/Logging_2513/tillsynsmail/A 13143-2020 tillsynsbegäran mail.docx", "A 13143-2020")</f>
        <v/>
      </c>
    </row>
    <row r="335" ht="15" customHeight="1">
      <c r="A335" t="inlineStr">
        <is>
          <t>A 14504-2020</t>
        </is>
      </c>
      <c r="B335" s="1" t="n">
        <v>43902</v>
      </c>
      <c r="C335" s="1" t="n">
        <v>45356</v>
      </c>
      <c r="D335" t="inlineStr">
        <is>
          <t>NORRBOTTENS LÄN</t>
        </is>
      </c>
      <c r="E335" t="inlineStr">
        <is>
          <t>PITEÅ</t>
        </is>
      </c>
      <c r="G335" t="n">
        <v>11.9</v>
      </c>
      <c r="H335" t="n">
        <v>2</v>
      </c>
      <c r="I335" t="n">
        <v>0</v>
      </c>
      <c r="J335" t="n">
        <v>1</v>
      </c>
      <c r="K335" t="n">
        <v>1</v>
      </c>
      <c r="L335" t="n">
        <v>0</v>
      </c>
      <c r="M335" t="n">
        <v>0</v>
      </c>
      <c r="N335" t="n">
        <v>0</v>
      </c>
      <c r="O335" t="n">
        <v>2</v>
      </c>
      <c r="P335" t="n">
        <v>1</v>
      </c>
      <c r="Q335" t="n">
        <v>2</v>
      </c>
      <c r="R335" s="2" t="inlineStr">
        <is>
          <t>Knärot
Tretåig hackspett</t>
        </is>
      </c>
      <c r="S335">
        <f>HYPERLINK("https://klasma.github.io/Logging_2581/artfynd/A 14504-2020 artfynd.xlsx", "A 14504-2020")</f>
        <v/>
      </c>
      <c r="T335">
        <f>HYPERLINK("https://klasma.github.io/Logging_2581/kartor/A 14504-2020 karta.png", "A 14504-2020")</f>
        <v/>
      </c>
      <c r="U335">
        <f>HYPERLINK("https://klasma.github.io/Logging_2581/knärot/A 14504-2020 karta knärot.png", "A 14504-2020")</f>
        <v/>
      </c>
      <c r="V335">
        <f>HYPERLINK("https://klasma.github.io/Logging_2581/klagomål/A 14504-2020 FSC-klagomål.docx", "A 14504-2020")</f>
        <v/>
      </c>
      <c r="W335">
        <f>HYPERLINK("https://klasma.github.io/Logging_2581/klagomålsmail/A 14504-2020 FSC-klagomål mail.docx", "A 14504-2020")</f>
        <v/>
      </c>
      <c r="X335">
        <f>HYPERLINK("https://klasma.github.io/Logging_2581/tillsyn/A 14504-2020 tillsynsbegäran.docx", "A 14504-2020")</f>
        <v/>
      </c>
      <c r="Y335">
        <f>HYPERLINK("https://klasma.github.io/Logging_2581/tillsynsmail/A 14504-2020 tillsynsbegäran mail.docx", "A 14504-2020")</f>
        <v/>
      </c>
      <c r="Z335">
        <f>HYPERLINK("https://klasma.github.io/Logging_2581/fåglar/A 14504-2020 prioriterade fågelarter.docx", "A 14504-2020")</f>
        <v/>
      </c>
    </row>
    <row r="336" ht="15" customHeight="1">
      <c r="A336" t="inlineStr">
        <is>
          <t>A 16356-2020</t>
        </is>
      </c>
      <c r="B336" s="1" t="n">
        <v>43908</v>
      </c>
      <c r="C336" s="1" t="n">
        <v>45356</v>
      </c>
      <c r="D336" t="inlineStr">
        <is>
          <t>NORRBOTTENS LÄN</t>
        </is>
      </c>
      <c r="E336" t="inlineStr">
        <is>
          <t>PITEÅ</t>
        </is>
      </c>
      <c r="G336" t="n">
        <v>8.699999999999999</v>
      </c>
      <c r="H336" t="n">
        <v>0</v>
      </c>
      <c r="I336" t="n">
        <v>0</v>
      </c>
      <c r="J336" t="n">
        <v>2</v>
      </c>
      <c r="K336" t="n">
        <v>0</v>
      </c>
      <c r="L336" t="n">
        <v>0</v>
      </c>
      <c r="M336" t="n">
        <v>0</v>
      </c>
      <c r="N336" t="n">
        <v>0</v>
      </c>
      <c r="O336" t="n">
        <v>2</v>
      </c>
      <c r="P336" t="n">
        <v>0</v>
      </c>
      <c r="Q336" t="n">
        <v>2</v>
      </c>
      <c r="R336" s="2" t="inlineStr">
        <is>
          <t>Garnlav
Skrovlig taggsvamp</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21544-2020</t>
        </is>
      </c>
      <c r="B337" s="1" t="n">
        <v>43945</v>
      </c>
      <c r="C337" s="1" t="n">
        <v>45356</v>
      </c>
      <c r="D337" t="inlineStr">
        <is>
          <t>NORRBOTTENS LÄN</t>
        </is>
      </c>
      <c r="E337" t="inlineStr">
        <is>
          <t>ÖVERKALIX</t>
        </is>
      </c>
      <c r="G337" t="n">
        <v>23.7</v>
      </c>
      <c r="H337" t="n">
        <v>0</v>
      </c>
      <c r="I337" t="n">
        <v>1</v>
      </c>
      <c r="J337" t="n">
        <v>1</v>
      </c>
      <c r="K337" t="n">
        <v>0</v>
      </c>
      <c r="L337" t="n">
        <v>0</v>
      </c>
      <c r="M337" t="n">
        <v>0</v>
      </c>
      <c r="N337" t="n">
        <v>0</v>
      </c>
      <c r="O337" t="n">
        <v>1</v>
      </c>
      <c r="P337" t="n">
        <v>0</v>
      </c>
      <c r="Q337" t="n">
        <v>2</v>
      </c>
      <c r="R337" s="2" t="inlineStr">
        <is>
          <t>Granticka
Stuplav</t>
        </is>
      </c>
      <c r="S337">
        <f>HYPERLINK("https://klasma.github.io/Logging_2513/artfynd/A 21544-2020 artfynd.xlsx", "A 21544-2020")</f>
        <v/>
      </c>
      <c r="T337">
        <f>HYPERLINK("https://klasma.github.io/Logging_2513/kartor/A 21544-2020 karta.png", "A 21544-2020")</f>
        <v/>
      </c>
      <c r="V337">
        <f>HYPERLINK("https://klasma.github.io/Logging_2513/klagomål/A 21544-2020 FSC-klagomål.docx", "A 21544-2020")</f>
        <v/>
      </c>
      <c r="W337">
        <f>HYPERLINK("https://klasma.github.io/Logging_2513/klagomålsmail/A 21544-2020 FSC-klagomål mail.docx", "A 21544-2020")</f>
        <v/>
      </c>
      <c r="X337">
        <f>HYPERLINK("https://klasma.github.io/Logging_2513/tillsyn/A 21544-2020 tillsynsbegäran.docx", "A 21544-2020")</f>
        <v/>
      </c>
      <c r="Y337">
        <f>HYPERLINK("https://klasma.github.io/Logging_2513/tillsynsmail/A 21544-2020 tillsynsbegäran mail.docx", "A 21544-2020")</f>
        <v/>
      </c>
    </row>
    <row r="338" ht="15" customHeight="1">
      <c r="A338" t="inlineStr">
        <is>
          <t>A 33033-2020</t>
        </is>
      </c>
      <c r="B338" s="1" t="n">
        <v>44021</v>
      </c>
      <c r="C338" s="1" t="n">
        <v>45356</v>
      </c>
      <c r="D338" t="inlineStr">
        <is>
          <t>NORRBOTTENS LÄN</t>
        </is>
      </c>
      <c r="E338" t="inlineStr">
        <is>
          <t>PAJALA</t>
        </is>
      </c>
      <c r="F338" t="inlineStr">
        <is>
          <t>Sveaskog</t>
        </is>
      </c>
      <c r="G338" t="n">
        <v>18</v>
      </c>
      <c r="H338" t="n">
        <v>0</v>
      </c>
      <c r="I338" t="n">
        <v>1</v>
      </c>
      <c r="J338" t="n">
        <v>1</v>
      </c>
      <c r="K338" t="n">
        <v>0</v>
      </c>
      <c r="L338" t="n">
        <v>0</v>
      </c>
      <c r="M338" t="n">
        <v>0</v>
      </c>
      <c r="N338" t="n">
        <v>0</v>
      </c>
      <c r="O338" t="n">
        <v>1</v>
      </c>
      <c r="P338" t="n">
        <v>0</v>
      </c>
      <c r="Q338" t="n">
        <v>2</v>
      </c>
      <c r="R338" s="2" t="inlineStr">
        <is>
          <t>Vitplätt
Vedticka</t>
        </is>
      </c>
      <c r="S338">
        <f>HYPERLINK("https://klasma.github.io/Logging_2521/artfynd/A 33033-2020 artfynd.xlsx", "A 33033-2020")</f>
        <v/>
      </c>
      <c r="T338">
        <f>HYPERLINK("https://klasma.github.io/Logging_2521/kartor/A 33033-2020 karta.png", "A 33033-2020")</f>
        <v/>
      </c>
      <c r="V338">
        <f>HYPERLINK("https://klasma.github.io/Logging_2521/klagomål/A 33033-2020 FSC-klagomål.docx", "A 33033-2020")</f>
        <v/>
      </c>
      <c r="W338">
        <f>HYPERLINK("https://klasma.github.io/Logging_2521/klagomålsmail/A 33033-2020 FSC-klagomål mail.docx", "A 33033-2020")</f>
        <v/>
      </c>
      <c r="X338">
        <f>HYPERLINK("https://klasma.github.io/Logging_2521/tillsyn/A 33033-2020 tillsynsbegäran.docx", "A 33033-2020")</f>
        <v/>
      </c>
      <c r="Y338">
        <f>HYPERLINK("https://klasma.github.io/Logging_2521/tillsynsmail/A 33033-2020 tillsynsbegäran mail.docx", "A 33033-2020")</f>
        <v/>
      </c>
    </row>
    <row r="339" ht="15" customHeight="1">
      <c r="A339" t="inlineStr">
        <is>
          <t>A 36956-2020</t>
        </is>
      </c>
      <c r="B339" s="1" t="n">
        <v>44053</v>
      </c>
      <c r="C339" s="1" t="n">
        <v>45356</v>
      </c>
      <c r="D339" t="inlineStr">
        <is>
          <t>NORRBOTTENS LÄN</t>
        </is>
      </c>
      <c r="E339" t="inlineStr">
        <is>
          <t>PITEÅ</t>
        </is>
      </c>
      <c r="F339" t="inlineStr">
        <is>
          <t>SCA</t>
        </is>
      </c>
      <c r="G339" t="n">
        <v>3.1</v>
      </c>
      <c r="H339" t="n">
        <v>2</v>
      </c>
      <c r="I339" t="n">
        <v>0</v>
      </c>
      <c r="J339" t="n">
        <v>1</v>
      </c>
      <c r="K339" t="n">
        <v>0</v>
      </c>
      <c r="L339" t="n">
        <v>0</v>
      </c>
      <c r="M339" t="n">
        <v>0</v>
      </c>
      <c r="N339" t="n">
        <v>0</v>
      </c>
      <c r="O339" t="n">
        <v>1</v>
      </c>
      <c r="P339" t="n">
        <v>0</v>
      </c>
      <c r="Q339" t="n">
        <v>2</v>
      </c>
      <c r="R339" s="2" t="inlineStr">
        <is>
          <t>Spillkråka
Revlummer</t>
        </is>
      </c>
      <c r="S339">
        <f>HYPERLINK("https://klasma.github.io/Logging_2581/artfynd/A 36956-2020 artfynd.xlsx", "A 36956-2020")</f>
        <v/>
      </c>
      <c r="T339">
        <f>HYPERLINK("https://klasma.github.io/Logging_2581/kartor/A 36956-2020 karta.png", "A 36956-2020")</f>
        <v/>
      </c>
      <c r="V339">
        <f>HYPERLINK("https://klasma.github.io/Logging_2581/klagomål/A 36956-2020 FSC-klagomål.docx", "A 36956-2020")</f>
        <v/>
      </c>
      <c r="W339">
        <f>HYPERLINK("https://klasma.github.io/Logging_2581/klagomålsmail/A 36956-2020 FSC-klagomål mail.docx", "A 36956-2020")</f>
        <v/>
      </c>
      <c r="X339">
        <f>HYPERLINK("https://klasma.github.io/Logging_2581/tillsyn/A 36956-2020 tillsynsbegäran.docx", "A 36956-2020")</f>
        <v/>
      </c>
      <c r="Y339">
        <f>HYPERLINK("https://klasma.github.io/Logging_2581/tillsynsmail/A 36956-2020 tillsynsbegäran mail.docx", "A 36956-2020")</f>
        <v/>
      </c>
      <c r="Z339">
        <f>HYPERLINK("https://klasma.github.io/Logging_2581/fåglar/A 36956-2020 prioriterade fågelarter.docx", "A 36956-2020")</f>
        <v/>
      </c>
    </row>
    <row r="340" ht="15" customHeight="1">
      <c r="A340" t="inlineStr">
        <is>
          <t>A 39595-2020</t>
        </is>
      </c>
      <c r="B340" s="1" t="n">
        <v>44064</v>
      </c>
      <c r="C340" s="1" t="n">
        <v>45356</v>
      </c>
      <c r="D340" t="inlineStr">
        <is>
          <t>NORRBOTTENS LÄN</t>
        </is>
      </c>
      <c r="E340" t="inlineStr">
        <is>
          <t>BODEN</t>
        </is>
      </c>
      <c r="F340" t="inlineStr">
        <is>
          <t>Sveaskog</t>
        </is>
      </c>
      <c r="G340" t="n">
        <v>7</v>
      </c>
      <c r="H340" t="n">
        <v>1</v>
      </c>
      <c r="I340" t="n">
        <v>0</v>
      </c>
      <c r="J340" t="n">
        <v>1</v>
      </c>
      <c r="K340" t="n">
        <v>1</v>
      </c>
      <c r="L340" t="n">
        <v>0</v>
      </c>
      <c r="M340" t="n">
        <v>0</v>
      </c>
      <c r="N340" t="n">
        <v>0</v>
      </c>
      <c r="O340" t="n">
        <v>2</v>
      </c>
      <c r="P340" t="n">
        <v>1</v>
      </c>
      <c r="Q340" t="n">
        <v>2</v>
      </c>
      <c r="R340" s="2" t="inlineStr">
        <is>
          <t>Knärot
Vedskivlav</t>
        </is>
      </c>
      <c r="S340">
        <f>HYPERLINK("https://klasma.github.io/Logging_2582/artfynd/A 39595-2020 artfynd.xlsx", "A 39595-2020")</f>
        <v/>
      </c>
      <c r="T340">
        <f>HYPERLINK("https://klasma.github.io/Logging_2582/kartor/A 39595-2020 karta.png", "A 39595-2020")</f>
        <v/>
      </c>
      <c r="U340">
        <f>HYPERLINK("https://klasma.github.io/Logging_2582/knärot/A 39595-2020 karta knärot.png", "A 39595-2020")</f>
        <v/>
      </c>
      <c r="V340">
        <f>HYPERLINK("https://klasma.github.io/Logging_2582/klagomål/A 39595-2020 FSC-klagomål.docx", "A 39595-2020")</f>
        <v/>
      </c>
      <c r="W340">
        <f>HYPERLINK("https://klasma.github.io/Logging_2582/klagomålsmail/A 39595-2020 FSC-klagomål mail.docx", "A 39595-2020")</f>
        <v/>
      </c>
      <c r="X340">
        <f>HYPERLINK("https://klasma.github.io/Logging_2582/tillsyn/A 39595-2020 tillsynsbegäran.docx", "A 39595-2020")</f>
        <v/>
      </c>
      <c r="Y340">
        <f>HYPERLINK("https://klasma.github.io/Logging_2582/tillsynsmail/A 39595-2020 tillsynsbegäran mail.docx", "A 39595-2020")</f>
        <v/>
      </c>
    </row>
    <row r="341" ht="15" customHeight="1">
      <c r="A341" t="inlineStr">
        <is>
          <t>A 42855-2020</t>
        </is>
      </c>
      <c r="B341" s="1" t="n">
        <v>44078</v>
      </c>
      <c r="C341" s="1" t="n">
        <v>45356</v>
      </c>
      <c r="D341" t="inlineStr">
        <is>
          <t>NORRBOTTENS LÄN</t>
        </is>
      </c>
      <c r="E341" t="inlineStr">
        <is>
          <t>PAJALA</t>
        </is>
      </c>
      <c r="F341" t="inlineStr">
        <is>
          <t>Sveaskog</t>
        </is>
      </c>
      <c r="G341" t="n">
        <v>2.9</v>
      </c>
      <c r="H341" t="n">
        <v>0</v>
      </c>
      <c r="I341" t="n">
        <v>2</v>
      </c>
      <c r="J341" t="n">
        <v>0</v>
      </c>
      <c r="K341" t="n">
        <v>0</v>
      </c>
      <c r="L341" t="n">
        <v>0</v>
      </c>
      <c r="M341" t="n">
        <v>0</v>
      </c>
      <c r="N341" t="n">
        <v>0</v>
      </c>
      <c r="O341" t="n">
        <v>0</v>
      </c>
      <c r="P341" t="n">
        <v>0</v>
      </c>
      <c r="Q341" t="n">
        <v>2</v>
      </c>
      <c r="R341" s="2" t="inlineStr">
        <is>
          <t>Bårdlav
Stuplav</t>
        </is>
      </c>
      <c r="S341">
        <f>HYPERLINK("https://klasma.github.io/Logging_2521/artfynd/A 42855-2020 artfynd.xlsx", "A 42855-2020")</f>
        <v/>
      </c>
      <c r="T341">
        <f>HYPERLINK("https://klasma.github.io/Logging_2521/kartor/A 42855-2020 karta.png", "A 42855-2020")</f>
        <v/>
      </c>
      <c r="V341">
        <f>HYPERLINK("https://klasma.github.io/Logging_2521/klagomål/A 42855-2020 FSC-klagomål.docx", "A 42855-2020")</f>
        <v/>
      </c>
      <c r="W341">
        <f>HYPERLINK("https://klasma.github.io/Logging_2521/klagomålsmail/A 42855-2020 FSC-klagomål mail.docx", "A 42855-2020")</f>
        <v/>
      </c>
      <c r="X341">
        <f>HYPERLINK("https://klasma.github.io/Logging_2521/tillsyn/A 42855-2020 tillsynsbegäran.docx", "A 42855-2020")</f>
        <v/>
      </c>
      <c r="Y341">
        <f>HYPERLINK("https://klasma.github.io/Logging_2521/tillsynsmail/A 42855-2020 tillsynsbegäran mail.docx", "A 42855-2020")</f>
        <v/>
      </c>
    </row>
    <row r="342" ht="15" customHeight="1">
      <c r="A342" t="inlineStr">
        <is>
          <t>A 43635-2020</t>
        </is>
      </c>
      <c r="B342" s="1" t="n">
        <v>44082</v>
      </c>
      <c r="C342" s="1" t="n">
        <v>45356</v>
      </c>
      <c r="D342" t="inlineStr">
        <is>
          <t>NORRBOTTENS LÄN</t>
        </is>
      </c>
      <c r="E342" t="inlineStr">
        <is>
          <t>BODEN</t>
        </is>
      </c>
      <c r="F342" t="inlineStr">
        <is>
          <t>Sveaskog</t>
        </is>
      </c>
      <c r="G342" t="n">
        <v>1.7</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HYPERLINK("https://klasma.github.io/Logging_2582/artfynd/A 43635-2020 artfynd.xlsx", "A 43635-2020")</f>
        <v/>
      </c>
      <c r="T342">
        <f>HYPERLINK("https://klasma.github.io/Logging_2582/kartor/A 43635-2020 karta.png", "A 43635-2020")</f>
        <v/>
      </c>
      <c r="V342">
        <f>HYPERLINK("https://klasma.github.io/Logging_2582/klagomål/A 43635-2020 FSC-klagomål.docx", "A 43635-2020")</f>
        <v/>
      </c>
      <c r="W342">
        <f>HYPERLINK("https://klasma.github.io/Logging_2582/klagomålsmail/A 43635-2020 FSC-klagomål mail.docx", "A 43635-2020")</f>
        <v/>
      </c>
      <c r="X342">
        <f>HYPERLINK("https://klasma.github.io/Logging_2582/tillsyn/A 43635-2020 tillsynsbegäran.docx", "A 43635-2020")</f>
        <v/>
      </c>
      <c r="Y342">
        <f>HYPERLINK("https://klasma.github.io/Logging_2582/tillsynsmail/A 43635-2020 tillsynsbegäran mail.docx", "A 43635-2020")</f>
        <v/>
      </c>
    </row>
    <row r="343" ht="15" customHeight="1">
      <c r="A343" t="inlineStr">
        <is>
          <t>A 48274-2020</t>
        </is>
      </c>
      <c r="B343" s="1" t="n">
        <v>44102</v>
      </c>
      <c r="C343" s="1" t="n">
        <v>45356</v>
      </c>
      <c r="D343" t="inlineStr">
        <is>
          <t>NORRBOTTENS LÄN</t>
        </is>
      </c>
      <c r="E343" t="inlineStr">
        <is>
          <t>GÄLLIVARE</t>
        </is>
      </c>
      <c r="F343" t="inlineStr">
        <is>
          <t>Sveaskog</t>
        </is>
      </c>
      <c r="G343" t="n">
        <v>14.2</v>
      </c>
      <c r="H343" t="n">
        <v>2</v>
      </c>
      <c r="I343" t="n">
        <v>0</v>
      </c>
      <c r="J343" t="n">
        <v>1</v>
      </c>
      <c r="K343" t="n">
        <v>1</v>
      </c>
      <c r="L343" t="n">
        <v>0</v>
      </c>
      <c r="M343" t="n">
        <v>0</v>
      </c>
      <c r="N343" t="n">
        <v>0</v>
      </c>
      <c r="O343" t="n">
        <v>2</v>
      </c>
      <c r="P343" t="n">
        <v>1</v>
      </c>
      <c r="Q343" t="n">
        <v>2</v>
      </c>
      <c r="R343" s="2" t="inlineStr">
        <is>
          <t>Kricka
Svartvit flugsnappare</t>
        </is>
      </c>
      <c r="S343">
        <f>HYPERLINK("https://klasma.github.io/Logging_2523/artfynd/A 48274-2020 artfynd.xlsx", "A 48274-2020")</f>
        <v/>
      </c>
      <c r="T343">
        <f>HYPERLINK("https://klasma.github.io/Logging_2523/kartor/A 48274-2020 karta.png", "A 48274-2020")</f>
        <v/>
      </c>
      <c r="V343">
        <f>HYPERLINK("https://klasma.github.io/Logging_2523/klagomål/A 48274-2020 FSC-klagomål.docx", "A 48274-2020")</f>
        <v/>
      </c>
      <c r="W343">
        <f>HYPERLINK("https://klasma.github.io/Logging_2523/klagomålsmail/A 48274-2020 FSC-klagomål mail.docx", "A 48274-2020")</f>
        <v/>
      </c>
      <c r="X343">
        <f>HYPERLINK("https://klasma.github.io/Logging_2523/tillsyn/A 48274-2020 tillsynsbegäran.docx", "A 48274-2020")</f>
        <v/>
      </c>
      <c r="Y343">
        <f>HYPERLINK("https://klasma.github.io/Logging_2523/tillsynsmail/A 48274-2020 tillsynsbegäran mail.docx", "A 48274-2020")</f>
        <v/>
      </c>
    </row>
    <row r="344" ht="15" customHeight="1">
      <c r="A344" t="inlineStr">
        <is>
          <t>A 51552-2020</t>
        </is>
      </c>
      <c r="B344" s="1" t="n">
        <v>44113</v>
      </c>
      <c r="C344" s="1" t="n">
        <v>45356</v>
      </c>
      <c r="D344" t="inlineStr">
        <is>
          <t>NORRBOTTENS LÄN</t>
        </is>
      </c>
      <c r="E344" t="inlineStr">
        <is>
          <t>ÖVERKALIX</t>
        </is>
      </c>
      <c r="F344" t="inlineStr">
        <is>
          <t>Sveaskog</t>
        </is>
      </c>
      <c r="G344" t="n">
        <v>11.3</v>
      </c>
      <c r="H344" t="n">
        <v>0</v>
      </c>
      <c r="I344" t="n">
        <v>0</v>
      </c>
      <c r="J344" t="n">
        <v>2</v>
      </c>
      <c r="K344" t="n">
        <v>0</v>
      </c>
      <c r="L344" t="n">
        <v>0</v>
      </c>
      <c r="M344" t="n">
        <v>0</v>
      </c>
      <c r="N344" t="n">
        <v>0</v>
      </c>
      <c r="O344" t="n">
        <v>2</v>
      </c>
      <c r="P344" t="n">
        <v>0</v>
      </c>
      <c r="Q344" t="n">
        <v>2</v>
      </c>
      <c r="R344" s="2" t="inlineStr">
        <is>
          <t>Dvärgbägarlav
Tallticka</t>
        </is>
      </c>
      <c r="S344">
        <f>HYPERLINK("https://klasma.github.io/Logging_2513/artfynd/A 51552-2020 artfynd.xlsx", "A 51552-2020")</f>
        <v/>
      </c>
      <c r="T344">
        <f>HYPERLINK("https://klasma.github.io/Logging_2513/kartor/A 51552-2020 karta.png", "A 51552-2020")</f>
        <v/>
      </c>
      <c r="V344">
        <f>HYPERLINK("https://klasma.github.io/Logging_2513/klagomål/A 51552-2020 FSC-klagomål.docx", "A 51552-2020")</f>
        <v/>
      </c>
      <c r="W344">
        <f>HYPERLINK("https://klasma.github.io/Logging_2513/klagomålsmail/A 51552-2020 FSC-klagomål mail.docx", "A 51552-2020")</f>
        <v/>
      </c>
      <c r="X344">
        <f>HYPERLINK("https://klasma.github.io/Logging_2513/tillsyn/A 51552-2020 tillsynsbegäran.docx", "A 51552-2020")</f>
        <v/>
      </c>
      <c r="Y344">
        <f>HYPERLINK("https://klasma.github.io/Logging_2513/tillsynsmail/A 51552-2020 tillsynsbegäran mail.docx", "A 51552-2020")</f>
        <v/>
      </c>
    </row>
    <row r="345" ht="15" customHeight="1">
      <c r="A345" t="inlineStr">
        <is>
          <t>A 53419-2020</t>
        </is>
      </c>
      <c r="B345" s="1" t="n">
        <v>44123</v>
      </c>
      <c r="C345" s="1" t="n">
        <v>45356</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63621-2020</t>
        </is>
      </c>
      <c r="B346" s="1" t="n">
        <v>44165</v>
      </c>
      <c r="C346" s="1" t="n">
        <v>45356</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64565-2020</t>
        </is>
      </c>
      <c r="B347" s="1" t="n">
        <v>44166</v>
      </c>
      <c r="C347" s="1" t="n">
        <v>45356</v>
      </c>
      <c r="D347" t="inlineStr">
        <is>
          <t>NORRBOTTENS LÄN</t>
        </is>
      </c>
      <c r="E347" t="inlineStr">
        <is>
          <t>BODEN</t>
        </is>
      </c>
      <c r="G347" t="n">
        <v>1.3</v>
      </c>
      <c r="H347" t="n">
        <v>1</v>
      </c>
      <c r="I347" t="n">
        <v>1</v>
      </c>
      <c r="J347" t="n">
        <v>0</v>
      </c>
      <c r="K347" t="n">
        <v>0</v>
      </c>
      <c r="L347" t="n">
        <v>0</v>
      </c>
      <c r="M347" t="n">
        <v>0</v>
      </c>
      <c r="N347" t="n">
        <v>0</v>
      </c>
      <c r="O347" t="n">
        <v>0</v>
      </c>
      <c r="P347" t="n">
        <v>0</v>
      </c>
      <c r="Q347" t="n">
        <v>2</v>
      </c>
      <c r="R347" s="2" t="inlineStr">
        <is>
          <t>Bårdlav
Revlummer</t>
        </is>
      </c>
      <c r="S347">
        <f>HYPERLINK("https://klasma.github.io/Logging_2582/artfynd/A 64565-2020 artfynd.xlsx", "A 64565-2020")</f>
        <v/>
      </c>
      <c r="T347">
        <f>HYPERLINK("https://klasma.github.io/Logging_2582/kartor/A 64565-2020 karta.png", "A 64565-2020")</f>
        <v/>
      </c>
      <c r="V347">
        <f>HYPERLINK("https://klasma.github.io/Logging_2582/klagomål/A 64565-2020 FSC-klagomål.docx", "A 64565-2020")</f>
        <v/>
      </c>
      <c r="W347">
        <f>HYPERLINK("https://klasma.github.io/Logging_2582/klagomålsmail/A 64565-2020 FSC-klagomål mail.docx", "A 64565-2020")</f>
        <v/>
      </c>
      <c r="X347">
        <f>HYPERLINK("https://klasma.github.io/Logging_2582/tillsyn/A 64565-2020 tillsynsbegäran.docx", "A 64565-2020")</f>
        <v/>
      </c>
      <c r="Y347">
        <f>HYPERLINK("https://klasma.github.io/Logging_2582/tillsynsmail/A 64565-2020 tillsynsbegäran mail.docx", "A 64565-2020")</f>
        <v/>
      </c>
    </row>
    <row r="348" ht="15" customHeight="1">
      <c r="A348" t="inlineStr">
        <is>
          <t>A 69475-2020</t>
        </is>
      </c>
      <c r="B348" s="1" t="n">
        <v>44193</v>
      </c>
      <c r="C348" s="1" t="n">
        <v>45356</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8351-2021</t>
        </is>
      </c>
      <c r="B349" s="1" t="n">
        <v>44244</v>
      </c>
      <c r="C349" s="1" t="n">
        <v>45356</v>
      </c>
      <c r="D349" t="inlineStr">
        <is>
          <t>NORRBOTTENS LÄN</t>
        </is>
      </c>
      <c r="E349" t="inlineStr">
        <is>
          <t>GÄLLIVARE</t>
        </is>
      </c>
      <c r="F349" t="inlineStr">
        <is>
          <t>SCA</t>
        </is>
      </c>
      <c r="G349" t="n">
        <v>57.3</v>
      </c>
      <c r="H349" t="n">
        <v>0</v>
      </c>
      <c r="I349" t="n">
        <v>0</v>
      </c>
      <c r="J349" t="n">
        <v>0</v>
      </c>
      <c r="K349" t="n">
        <v>2</v>
      </c>
      <c r="L349" t="n">
        <v>0</v>
      </c>
      <c r="M349" t="n">
        <v>0</v>
      </c>
      <c r="N349" t="n">
        <v>0</v>
      </c>
      <c r="O349" t="n">
        <v>2</v>
      </c>
      <c r="P349" t="n">
        <v>2</v>
      </c>
      <c r="Q349" t="n">
        <v>2</v>
      </c>
      <c r="R349" s="2" t="inlineStr">
        <is>
          <t>Fläckporing
Tallstocksticka</t>
        </is>
      </c>
      <c r="S349">
        <f>HYPERLINK("https://klasma.github.io/Logging_2523/artfynd/A 8351-2021 artfynd.xlsx", "A 8351-2021")</f>
        <v/>
      </c>
      <c r="T349">
        <f>HYPERLINK("https://klasma.github.io/Logging_2523/kartor/A 8351-2021 karta.png", "A 8351-2021")</f>
        <v/>
      </c>
      <c r="V349">
        <f>HYPERLINK("https://klasma.github.io/Logging_2523/klagomål/A 8351-2021 FSC-klagomål.docx", "A 8351-2021")</f>
        <v/>
      </c>
      <c r="W349">
        <f>HYPERLINK("https://klasma.github.io/Logging_2523/klagomålsmail/A 8351-2021 FSC-klagomål mail.docx", "A 8351-2021")</f>
        <v/>
      </c>
      <c r="X349">
        <f>HYPERLINK("https://klasma.github.io/Logging_2523/tillsyn/A 8351-2021 tillsynsbegäran.docx", "A 8351-2021")</f>
        <v/>
      </c>
      <c r="Y349">
        <f>HYPERLINK("https://klasma.github.io/Logging_2523/tillsynsmail/A 8351-2021 tillsynsbegäran mail.docx", "A 8351-2021")</f>
        <v/>
      </c>
    </row>
    <row r="350" ht="15" customHeight="1">
      <c r="A350" t="inlineStr">
        <is>
          <t>A 14684-2021</t>
        </is>
      </c>
      <c r="B350" s="1" t="n">
        <v>44280</v>
      </c>
      <c r="C350" s="1" t="n">
        <v>45356</v>
      </c>
      <c r="D350" t="inlineStr">
        <is>
          <t>NORRBOTTENS LÄN</t>
        </is>
      </c>
      <c r="E350" t="inlineStr">
        <is>
          <t>ARJEPLOG</t>
        </is>
      </c>
      <c r="G350" t="n">
        <v>26.6</v>
      </c>
      <c r="H350" t="n">
        <v>1</v>
      </c>
      <c r="I350" t="n">
        <v>0</v>
      </c>
      <c r="J350" t="n">
        <v>2</v>
      </c>
      <c r="K350" t="n">
        <v>0</v>
      </c>
      <c r="L350" t="n">
        <v>0</v>
      </c>
      <c r="M350" t="n">
        <v>0</v>
      </c>
      <c r="N350" t="n">
        <v>0</v>
      </c>
      <c r="O350" t="n">
        <v>2</v>
      </c>
      <c r="P350" t="n">
        <v>0</v>
      </c>
      <c r="Q350" t="n">
        <v>2</v>
      </c>
      <c r="R350" s="2" t="inlineStr">
        <is>
          <t>Tretåig hackspett
Ullticka</t>
        </is>
      </c>
      <c r="S350">
        <f>HYPERLINK("https://klasma.github.io/Logging_2506/artfynd/A 14684-2021 artfynd.xlsx", "A 14684-2021")</f>
        <v/>
      </c>
      <c r="T350">
        <f>HYPERLINK("https://klasma.github.io/Logging_2506/kartor/A 14684-2021 karta.png", "A 14684-2021")</f>
        <v/>
      </c>
      <c r="V350">
        <f>HYPERLINK("https://klasma.github.io/Logging_2506/klagomål/A 14684-2021 FSC-klagomål.docx", "A 14684-2021")</f>
        <v/>
      </c>
      <c r="W350">
        <f>HYPERLINK("https://klasma.github.io/Logging_2506/klagomålsmail/A 14684-2021 FSC-klagomål mail.docx", "A 14684-2021")</f>
        <v/>
      </c>
      <c r="X350">
        <f>HYPERLINK("https://klasma.github.io/Logging_2506/tillsyn/A 14684-2021 tillsynsbegäran.docx", "A 14684-2021")</f>
        <v/>
      </c>
      <c r="Y350">
        <f>HYPERLINK("https://klasma.github.io/Logging_2506/tillsynsmail/A 14684-2021 tillsynsbegäran mail.docx", "A 14684-2021")</f>
        <v/>
      </c>
      <c r="Z350">
        <f>HYPERLINK("https://klasma.github.io/Logging_2506/fåglar/A 14684-2021 prioriterade fågelarter.docx", "A 14684-2021")</f>
        <v/>
      </c>
    </row>
    <row r="351" ht="15" customHeight="1">
      <c r="A351" t="inlineStr">
        <is>
          <t>A 17190-2021</t>
        </is>
      </c>
      <c r="B351" s="1" t="n">
        <v>44298</v>
      </c>
      <c r="C351" s="1" t="n">
        <v>45356</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29494-2021</t>
        </is>
      </c>
      <c r="B352" s="1" t="n">
        <v>44361</v>
      </c>
      <c r="C352" s="1" t="n">
        <v>45356</v>
      </c>
      <c r="D352" t="inlineStr">
        <is>
          <t>NORRBOTTENS LÄN</t>
        </is>
      </c>
      <c r="E352" t="inlineStr">
        <is>
          <t>ARVIDSJAUR</t>
        </is>
      </c>
      <c r="F352" t="inlineStr">
        <is>
          <t>Sveaskog</t>
        </is>
      </c>
      <c r="G352" t="n">
        <v>22.1</v>
      </c>
      <c r="H352" t="n">
        <v>0</v>
      </c>
      <c r="I352" t="n">
        <v>1</v>
      </c>
      <c r="J352" t="n">
        <v>1</v>
      </c>
      <c r="K352" t="n">
        <v>0</v>
      </c>
      <c r="L352" t="n">
        <v>0</v>
      </c>
      <c r="M352" t="n">
        <v>0</v>
      </c>
      <c r="N352" t="n">
        <v>0</v>
      </c>
      <c r="O352" t="n">
        <v>1</v>
      </c>
      <c r="P352" t="n">
        <v>0</v>
      </c>
      <c r="Q352" t="n">
        <v>2</v>
      </c>
      <c r="R352" s="2" t="inlineStr">
        <is>
          <t>Violmussling
Stuplav</t>
        </is>
      </c>
      <c r="S352">
        <f>HYPERLINK("https://klasma.github.io/Logging_2505/artfynd/A 29494-2021 artfynd.xlsx", "A 29494-2021")</f>
        <v/>
      </c>
      <c r="T352">
        <f>HYPERLINK("https://klasma.github.io/Logging_2505/kartor/A 29494-2021 karta.png", "A 29494-2021")</f>
        <v/>
      </c>
      <c r="V352">
        <f>HYPERLINK("https://klasma.github.io/Logging_2505/klagomål/A 29494-2021 FSC-klagomål.docx", "A 29494-2021")</f>
        <v/>
      </c>
      <c r="W352">
        <f>HYPERLINK("https://klasma.github.io/Logging_2505/klagomålsmail/A 29494-2021 FSC-klagomål mail.docx", "A 29494-2021")</f>
        <v/>
      </c>
      <c r="X352">
        <f>HYPERLINK("https://klasma.github.io/Logging_2505/tillsyn/A 29494-2021 tillsynsbegäran.docx", "A 29494-2021")</f>
        <v/>
      </c>
      <c r="Y352">
        <f>HYPERLINK("https://klasma.github.io/Logging_2505/tillsynsmail/A 29494-2021 tillsynsbegäran mail.docx", "A 29494-2021")</f>
        <v/>
      </c>
    </row>
    <row r="353" ht="15" customHeight="1">
      <c r="A353" t="inlineStr">
        <is>
          <t>A 33819-2021</t>
        </is>
      </c>
      <c r="B353" s="1" t="n">
        <v>44378</v>
      </c>
      <c r="C353" s="1" t="n">
        <v>45356</v>
      </c>
      <c r="D353" t="inlineStr">
        <is>
          <t>NORRBOTTENS LÄN</t>
        </is>
      </c>
      <c r="E353" t="inlineStr">
        <is>
          <t>PAJALA</t>
        </is>
      </c>
      <c r="F353" t="inlineStr">
        <is>
          <t>Sveaskog</t>
        </is>
      </c>
      <c r="G353" t="n">
        <v>15.1</v>
      </c>
      <c r="H353" t="n">
        <v>2</v>
      </c>
      <c r="I353" t="n">
        <v>1</v>
      </c>
      <c r="J353" t="n">
        <v>0</v>
      </c>
      <c r="K353" t="n">
        <v>0</v>
      </c>
      <c r="L353" t="n">
        <v>0</v>
      </c>
      <c r="M353" t="n">
        <v>0</v>
      </c>
      <c r="N353" t="n">
        <v>0</v>
      </c>
      <c r="O353" t="n">
        <v>0</v>
      </c>
      <c r="P353" t="n">
        <v>0</v>
      </c>
      <c r="Q353" t="n">
        <v>2</v>
      </c>
      <c r="R353" s="2" t="inlineStr">
        <is>
          <t>Spindelblomster
Fläcknycklar</t>
        </is>
      </c>
      <c r="S353">
        <f>HYPERLINK("https://klasma.github.io/Logging_2521/artfynd/A 33819-2021 artfynd.xlsx", "A 33819-2021")</f>
        <v/>
      </c>
      <c r="T353">
        <f>HYPERLINK("https://klasma.github.io/Logging_2521/kartor/A 33819-2021 karta.png", "A 33819-2021")</f>
        <v/>
      </c>
      <c r="V353">
        <f>HYPERLINK("https://klasma.github.io/Logging_2521/klagomål/A 33819-2021 FSC-klagomål.docx", "A 33819-2021")</f>
        <v/>
      </c>
      <c r="W353">
        <f>HYPERLINK("https://klasma.github.io/Logging_2521/klagomålsmail/A 33819-2021 FSC-klagomål mail.docx", "A 33819-2021")</f>
        <v/>
      </c>
      <c r="X353">
        <f>HYPERLINK("https://klasma.github.io/Logging_2521/tillsyn/A 33819-2021 tillsynsbegäran.docx", "A 33819-2021")</f>
        <v/>
      </c>
      <c r="Y353">
        <f>HYPERLINK("https://klasma.github.io/Logging_2521/tillsynsmail/A 33819-2021 tillsynsbegäran mail.docx", "A 33819-2021")</f>
        <v/>
      </c>
    </row>
    <row r="354" ht="15" customHeight="1">
      <c r="A354" t="inlineStr">
        <is>
          <t>A 42548-2021</t>
        </is>
      </c>
      <c r="B354" s="1" t="n">
        <v>44427</v>
      </c>
      <c r="C354" s="1" t="n">
        <v>45356</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46152-2021</t>
        </is>
      </c>
      <c r="B355" s="1" t="n">
        <v>44442</v>
      </c>
      <c r="C355" s="1" t="n">
        <v>45356</v>
      </c>
      <c r="D355" t="inlineStr">
        <is>
          <t>NORRBOTTENS LÄN</t>
        </is>
      </c>
      <c r="E355" t="inlineStr">
        <is>
          <t>KALIX</t>
        </is>
      </c>
      <c r="F355" t="inlineStr">
        <is>
          <t>Sveaskog</t>
        </is>
      </c>
      <c r="G355" t="n">
        <v>1.8</v>
      </c>
      <c r="H355" t="n">
        <v>1</v>
      </c>
      <c r="I355" t="n">
        <v>0</v>
      </c>
      <c r="J355" t="n">
        <v>2</v>
      </c>
      <c r="K355" t="n">
        <v>0</v>
      </c>
      <c r="L355" t="n">
        <v>0</v>
      </c>
      <c r="M355" t="n">
        <v>0</v>
      </c>
      <c r="N355" t="n">
        <v>0</v>
      </c>
      <c r="O355" t="n">
        <v>2</v>
      </c>
      <c r="P355" t="n">
        <v>0</v>
      </c>
      <c r="Q355" t="n">
        <v>2</v>
      </c>
      <c r="R355" s="2" t="inlineStr">
        <is>
          <t>Garnlav
Tretåig hackspett</t>
        </is>
      </c>
      <c r="S355">
        <f>HYPERLINK("https://klasma.github.io/Logging_2514/artfynd/A 46152-2021 artfynd.xlsx", "A 46152-2021")</f>
        <v/>
      </c>
      <c r="T355">
        <f>HYPERLINK("https://klasma.github.io/Logging_2514/kartor/A 46152-2021 karta.png", "A 46152-2021")</f>
        <v/>
      </c>
      <c r="V355">
        <f>HYPERLINK("https://klasma.github.io/Logging_2514/klagomål/A 46152-2021 FSC-klagomål.docx", "A 46152-2021")</f>
        <v/>
      </c>
      <c r="W355">
        <f>HYPERLINK("https://klasma.github.io/Logging_2514/klagomålsmail/A 46152-2021 FSC-klagomål mail.docx", "A 46152-2021")</f>
        <v/>
      </c>
      <c r="X355">
        <f>HYPERLINK("https://klasma.github.io/Logging_2514/tillsyn/A 46152-2021 tillsynsbegäran.docx", "A 46152-2021")</f>
        <v/>
      </c>
      <c r="Y355">
        <f>HYPERLINK("https://klasma.github.io/Logging_2514/tillsynsmail/A 46152-2021 tillsynsbegäran mail.docx", "A 46152-2021")</f>
        <v/>
      </c>
      <c r="Z355">
        <f>HYPERLINK("https://klasma.github.io/Logging_2514/fåglar/A 46152-2021 prioriterade fågelarter.docx", "A 46152-2021")</f>
        <v/>
      </c>
    </row>
    <row r="356" ht="15" customHeight="1">
      <c r="A356" t="inlineStr">
        <is>
          <t>A 48789-2021</t>
        </is>
      </c>
      <c r="B356" s="1" t="n">
        <v>44452</v>
      </c>
      <c r="C356" s="1" t="n">
        <v>45356</v>
      </c>
      <c r="D356" t="inlineStr">
        <is>
          <t>NORRBOTTENS LÄN</t>
        </is>
      </c>
      <c r="E356" t="inlineStr">
        <is>
          <t>ÖVERTORNEÅ</t>
        </is>
      </c>
      <c r="G356" t="n">
        <v>0.7</v>
      </c>
      <c r="H356" t="n">
        <v>1</v>
      </c>
      <c r="I356" t="n">
        <v>0</v>
      </c>
      <c r="J356" t="n">
        <v>1</v>
      </c>
      <c r="K356" t="n">
        <v>0</v>
      </c>
      <c r="L356" t="n">
        <v>0</v>
      </c>
      <c r="M356" t="n">
        <v>0</v>
      </c>
      <c r="N356" t="n">
        <v>0</v>
      </c>
      <c r="O356" t="n">
        <v>1</v>
      </c>
      <c r="P356" t="n">
        <v>0</v>
      </c>
      <c r="Q356" t="n">
        <v>2</v>
      </c>
      <c r="R356" s="2" t="inlineStr">
        <is>
          <t>Garnlav
Revlummer</t>
        </is>
      </c>
      <c r="S356">
        <f>HYPERLINK("https://klasma.github.io/Logging_2518/artfynd/A 48789-2021 artfynd.xlsx", "A 48789-2021")</f>
        <v/>
      </c>
      <c r="T356">
        <f>HYPERLINK("https://klasma.github.io/Logging_2518/kartor/A 48789-2021 karta.png", "A 48789-2021")</f>
        <v/>
      </c>
      <c r="V356">
        <f>HYPERLINK("https://klasma.github.io/Logging_2518/klagomål/A 48789-2021 FSC-klagomål.docx", "A 48789-2021")</f>
        <v/>
      </c>
      <c r="W356">
        <f>HYPERLINK("https://klasma.github.io/Logging_2518/klagomålsmail/A 48789-2021 FSC-klagomål mail.docx", "A 48789-2021")</f>
        <v/>
      </c>
      <c r="X356">
        <f>HYPERLINK("https://klasma.github.io/Logging_2518/tillsyn/A 48789-2021 tillsynsbegäran.docx", "A 48789-2021")</f>
        <v/>
      </c>
      <c r="Y356">
        <f>HYPERLINK("https://klasma.github.io/Logging_2518/tillsynsmail/A 48789-2021 tillsynsbegäran mail.docx", "A 48789-2021")</f>
        <v/>
      </c>
    </row>
    <row r="357" ht="15" customHeight="1">
      <c r="A357" t="inlineStr">
        <is>
          <t>A 52326-2021</t>
        </is>
      </c>
      <c r="B357" s="1" t="n">
        <v>44463</v>
      </c>
      <c r="C357" s="1" t="n">
        <v>45356</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58196-2021</t>
        </is>
      </c>
      <c r="B358" s="1" t="n">
        <v>44487</v>
      </c>
      <c r="C358" s="1" t="n">
        <v>45356</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58902-2021</t>
        </is>
      </c>
      <c r="B359" s="1" t="n">
        <v>44489</v>
      </c>
      <c r="C359" s="1" t="n">
        <v>45356</v>
      </c>
      <c r="D359" t="inlineStr">
        <is>
          <t>NORRBOTTENS LÄN</t>
        </is>
      </c>
      <c r="E359" t="inlineStr">
        <is>
          <t>BODEN</t>
        </is>
      </c>
      <c r="G359" t="n">
        <v>4.5</v>
      </c>
      <c r="H359" t="n">
        <v>0</v>
      </c>
      <c r="I359" t="n">
        <v>0</v>
      </c>
      <c r="J359" t="n">
        <v>2</v>
      </c>
      <c r="K359" t="n">
        <v>0</v>
      </c>
      <c r="L359" t="n">
        <v>0</v>
      </c>
      <c r="M359" t="n">
        <v>0</v>
      </c>
      <c r="N359" t="n">
        <v>0</v>
      </c>
      <c r="O359" t="n">
        <v>2</v>
      </c>
      <c r="P359" t="n">
        <v>0</v>
      </c>
      <c r="Q359" t="n">
        <v>2</v>
      </c>
      <c r="R359" s="2" t="inlineStr">
        <is>
          <t>Brunpudrad nållav
Gammelgransskål</t>
        </is>
      </c>
      <c r="S359">
        <f>HYPERLINK("https://klasma.github.io/Logging_2582/artfynd/A 58902-2021 artfynd.xlsx", "A 58902-2021")</f>
        <v/>
      </c>
      <c r="T359">
        <f>HYPERLINK("https://klasma.github.io/Logging_2582/kartor/A 58902-2021 karta.png", "A 58902-2021")</f>
        <v/>
      </c>
      <c r="V359">
        <f>HYPERLINK("https://klasma.github.io/Logging_2582/klagomål/A 58902-2021 FSC-klagomål.docx", "A 58902-2021")</f>
        <v/>
      </c>
      <c r="W359">
        <f>HYPERLINK("https://klasma.github.io/Logging_2582/klagomålsmail/A 58902-2021 FSC-klagomål mail.docx", "A 58902-2021")</f>
        <v/>
      </c>
      <c r="X359">
        <f>HYPERLINK("https://klasma.github.io/Logging_2582/tillsyn/A 58902-2021 tillsynsbegäran.docx", "A 58902-2021")</f>
        <v/>
      </c>
      <c r="Y359">
        <f>HYPERLINK("https://klasma.github.io/Logging_2582/tillsynsmail/A 58902-2021 tillsynsbegäran mail.docx", "A 58902-2021")</f>
        <v/>
      </c>
    </row>
    <row r="360" ht="15" customHeight="1">
      <c r="A360" t="inlineStr">
        <is>
          <t>A 70382-2021</t>
        </is>
      </c>
      <c r="B360" s="1" t="n">
        <v>44536</v>
      </c>
      <c r="C360" s="1" t="n">
        <v>45356</v>
      </c>
      <c r="D360" t="inlineStr">
        <is>
          <t>NORRBOTTENS LÄN</t>
        </is>
      </c>
      <c r="E360" t="inlineStr">
        <is>
          <t>BODEN</t>
        </is>
      </c>
      <c r="F360" t="inlineStr">
        <is>
          <t>Sveaskog</t>
        </is>
      </c>
      <c r="G360" t="n">
        <v>37.8</v>
      </c>
      <c r="H360" t="n">
        <v>0</v>
      </c>
      <c r="I360" t="n">
        <v>0</v>
      </c>
      <c r="J360" t="n">
        <v>2</v>
      </c>
      <c r="K360" t="n">
        <v>0</v>
      </c>
      <c r="L360" t="n">
        <v>0</v>
      </c>
      <c r="M360" t="n">
        <v>0</v>
      </c>
      <c r="N360" t="n">
        <v>0</v>
      </c>
      <c r="O360" t="n">
        <v>2</v>
      </c>
      <c r="P360" t="n">
        <v>0</v>
      </c>
      <c r="Q360" t="n">
        <v>2</v>
      </c>
      <c r="R360" s="2" t="inlineStr">
        <is>
          <t>Lunglav
Nordtagging</t>
        </is>
      </c>
      <c r="S360">
        <f>HYPERLINK("https://klasma.github.io/Logging_2582/artfynd/A 70382-2021 artfynd.xlsx", "A 70382-2021")</f>
        <v/>
      </c>
      <c r="T360">
        <f>HYPERLINK("https://klasma.github.io/Logging_2582/kartor/A 70382-2021 karta.png", "A 70382-2021")</f>
        <v/>
      </c>
      <c r="V360">
        <f>HYPERLINK("https://klasma.github.io/Logging_2582/klagomål/A 70382-2021 FSC-klagomål.docx", "A 70382-2021")</f>
        <v/>
      </c>
      <c r="W360">
        <f>HYPERLINK("https://klasma.github.io/Logging_2582/klagomålsmail/A 70382-2021 FSC-klagomål mail.docx", "A 70382-2021")</f>
        <v/>
      </c>
      <c r="X360">
        <f>HYPERLINK("https://klasma.github.io/Logging_2582/tillsyn/A 70382-2021 tillsynsbegäran.docx", "A 70382-2021")</f>
        <v/>
      </c>
      <c r="Y360">
        <f>HYPERLINK("https://klasma.github.io/Logging_2582/tillsynsmail/A 70382-2021 tillsynsbegäran mail.docx", "A 70382-2021")</f>
        <v/>
      </c>
    </row>
    <row r="361" ht="15" customHeight="1">
      <c r="A361" t="inlineStr">
        <is>
          <t>A 3832-2022</t>
        </is>
      </c>
      <c r="B361" s="1" t="n">
        <v>44586</v>
      </c>
      <c r="C361" s="1" t="n">
        <v>45356</v>
      </c>
      <c r="D361" t="inlineStr">
        <is>
          <t>NORRBOTTENS LÄN</t>
        </is>
      </c>
      <c r="E361" t="inlineStr">
        <is>
          <t>HAPARANDA</t>
        </is>
      </c>
      <c r="G361" t="n">
        <v>2.7</v>
      </c>
      <c r="H361" t="n">
        <v>2</v>
      </c>
      <c r="I361" t="n">
        <v>0</v>
      </c>
      <c r="J361" t="n">
        <v>0</v>
      </c>
      <c r="K361" t="n">
        <v>1</v>
      </c>
      <c r="L361" t="n">
        <v>1</v>
      </c>
      <c r="M361" t="n">
        <v>0</v>
      </c>
      <c r="N361" t="n">
        <v>0</v>
      </c>
      <c r="O361" t="n">
        <v>2</v>
      </c>
      <c r="P361" t="n">
        <v>2</v>
      </c>
      <c r="Q361" t="n">
        <v>2</v>
      </c>
      <c r="R361" s="2" t="inlineStr">
        <is>
          <t>Praktnejlika
Ryssnarv</t>
        </is>
      </c>
      <c r="S361">
        <f>HYPERLINK("https://klasma.github.io/Logging_2583/artfynd/A 3832-2022 artfynd.xlsx", "A 3832-2022")</f>
        <v/>
      </c>
      <c r="T361">
        <f>HYPERLINK("https://klasma.github.io/Logging_2583/kartor/A 3832-2022 karta.png", "A 3832-2022")</f>
        <v/>
      </c>
      <c r="V361">
        <f>HYPERLINK("https://klasma.github.io/Logging_2583/klagomål/A 3832-2022 FSC-klagomål.docx", "A 3832-2022")</f>
        <v/>
      </c>
      <c r="W361">
        <f>HYPERLINK("https://klasma.github.io/Logging_2583/klagomålsmail/A 3832-2022 FSC-klagomål mail.docx", "A 3832-2022")</f>
        <v/>
      </c>
      <c r="X361">
        <f>HYPERLINK("https://klasma.github.io/Logging_2583/tillsyn/A 3832-2022 tillsynsbegäran.docx", "A 3832-2022")</f>
        <v/>
      </c>
      <c r="Y361">
        <f>HYPERLINK("https://klasma.github.io/Logging_2583/tillsynsmail/A 3832-2022 tillsynsbegäran mail.docx", "A 3832-2022")</f>
        <v/>
      </c>
    </row>
    <row r="362" ht="15" customHeight="1">
      <c r="A362" t="inlineStr">
        <is>
          <t>A 5797-2022</t>
        </is>
      </c>
      <c r="B362" s="1" t="n">
        <v>44596</v>
      </c>
      <c r="C362" s="1" t="n">
        <v>45356</v>
      </c>
      <c r="D362" t="inlineStr">
        <is>
          <t>NORRBOTTENS LÄN</t>
        </is>
      </c>
      <c r="E362" t="inlineStr">
        <is>
          <t>ÖVERKALIX</t>
        </is>
      </c>
      <c r="F362" t="inlineStr">
        <is>
          <t>Sveaskog</t>
        </is>
      </c>
      <c r="G362" t="n">
        <v>2.4</v>
      </c>
      <c r="H362" t="n">
        <v>0</v>
      </c>
      <c r="I362" t="n">
        <v>1</v>
      </c>
      <c r="J362" t="n">
        <v>1</v>
      </c>
      <c r="K362" t="n">
        <v>0</v>
      </c>
      <c r="L362" t="n">
        <v>0</v>
      </c>
      <c r="M362" t="n">
        <v>0</v>
      </c>
      <c r="N362" t="n">
        <v>0</v>
      </c>
      <c r="O362" t="n">
        <v>1</v>
      </c>
      <c r="P362" t="n">
        <v>0</v>
      </c>
      <c r="Q362" t="n">
        <v>2</v>
      </c>
      <c r="R362" s="2" t="inlineStr">
        <is>
          <t>Granticka
Skarp dropptaggsvamp</t>
        </is>
      </c>
      <c r="S362">
        <f>HYPERLINK("https://klasma.github.io/Logging_2513/artfynd/A 5797-2022 artfynd.xlsx", "A 5797-2022")</f>
        <v/>
      </c>
      <c r="T362">
        <f>HYPERLINK("https://klasma.github.io/Logging_2513/kartor/A 5797-2022 karta.png", "A 5797-2022")</f>
        <v/>
      </c>
      <c r="V362">
        <f>HYPERLINK("https://klasma.github.io/Logging_2513/klagomål/A 5797-2022 FSC-klagomål.docx", "A 5797-2022")</f>
        <v/>
      </c>
      <c r="W362">
        <f>HYPERLINK("https://klasma.github.io/Logging_2513/klagomålsmail/A 5797-2022 FSC-klagomål mail.docx", "A 5797-2022")</f>
        <v/>
      </c>
      <c r="X362">
        <f>HYPERLINK("https://klasma.github.io/Logging_2513/tillsyn/A 5797-2022 tillsynsbegäran.docx", "A 5797-2022")</f>
        <v/>
      </c>
      <c r="Y362">
        <f>HYPERLINK("https://klasma.github.io/Logging_2513/tillsynsmail/A 5797-2022 tillsynsbegäran mail.docx", "A 5797-2022")</f>
        <v/>
      </c>
    </row>
    <row r="363" ht="15" customHeight="1">
      <c r="A363" t="inlineStr">
        <is>
          <t>A 7956-2022</t>
        </is>
      </c>
      <c r="B363" s="1" t="n">
        <v>44608</v>
      </c>
      <c r="C363" s="1" t="n">
        <v>45356</v>
      </c>
      <c r="D363" t="inlineStr">
        <is>
          <t>NORRBOTTENS LÄN</t>
        </is>
      </c>
      <c r="E363" t="inlineStr">
        <is>
          <t>PAJALA</t>
        </is>
      </c>
      <c r="F363" t="inlineStr">
        <is>
          <t>SCA</t>
        </is>
      </c>
      <c r="G363" t="n">
        <v>14.9</v>
      </c>
      <c r="H363" t="n">
        <v>0</v>
      </c>
      <c r="I363" t="n">
        <v>0</v>
      </c>
      <c r="J363" t="n">
        <v>2</v>
      </c>
      <c r="K363" t="n">
        <v>0</v>
      </c>
      <c r="L363" t="n">
        <v>0</v>
      </c>
      <c r="M363" t="n">
        <v>0</v>
      </c>
      <c r="N363" t="n">
        <v>0</v>
      </c>
      <c r="O363" t="n">
        <v>2</v>
      </c>
      <c r="P363" t="n">
        <v>0</v>
      </c>
      <c r="Q363" t="n">
        <v>2</v>
      </c>
      <c r="R363" s="2" t="inlineStr">
        <is>
          <t>Granticka
Orange taggsvamp</t>
        </is>
      </c>
      <c r="S363">
        <f>HYPERLINK("https://klasma.github.io/Logging_2521/artfynd/A 7956-2022 artfynd.xlsx", "A 7956-2022")</f>
        <v/>
      </c>
      <c r="T363">
        <f>HYPERLINK("https://klasma.github.io/Logging_2521/kartor/A 7956-2022 karta.png", "A 7956-2022")</f>
        <v/>
      </c>
      <c r="V363">
        <f>HYPERLINK("https://klasma.github.io/Logging_2521/klagomål/A 7956-2022 FSC-klagomål.docx", "A 7956-2022")</f>
        <v/>
      </c>
      <c r="W363">
        <f>HYPERLINK("https://klasma.github.io/Logging_2521/klagomålsmail/A 7956-2022 FSC-klagomål mail.docx", "A 7956-2022")</f>
        <v/>
      </c>
      <c r="X363">
        <f>HYPERLINK("https://klasma.github.io/Logging_2521/tillsyn/A 7956-2022 tillsynsbegäran.docx", "A 7956-2022")</f>
        <v/>
      </c>
      <c r="Y363">
        <f>HYPERLINK("https://klasma.github.io/Logging_2521/tillsynsmail/A 7956-2022 tillsynsbegäran mail.docx", "A 7956-2022")</f>
        <v/>
      </c>
    </row>
    <row r="364" ht="15" customHeight="1">
      <c r="A364" t="inlineStr">
        <is>
          <t>A 8137-2022</t>
        </is>
      </c>
      <c r="B364" s="1" t="n">
        <v>44609</v>
      </c>
      <c r="C364" s="1" t="n">
        <v>45356</v>
      </c>
      <c r="D364" t="inlineStr">
        <is>
          <t>NORRBOTTENS LÄN</t>
        </is>
      </c>
      <c r="E364" t="inlineStr">
        <is>
          <t>BODEN</t>
        </is>
      </c>
      <c r="G364" t="n">
        <v>8.300000000000001</v>
      </c>
      <c r="H364" t="n">
        <v>0</v>
      </c>
      <c r="I364" t="n">
        <v>0</v>
      </c>
      <c r="J364" t="n">
        <v>1</v>
      </c>
      <c r="K364" t="n">
        <v>1</v>
      </c>
      <c r="L364" t="n">
        <v>0</v>
      </c>
      <c r="M364" t="n">
        <v>0</v>
      </c>
      <c r="N364" t="n">
        <v>0</v>
      </c>
      <c r="O364" t="n">
        <v>2</v>
      </c>
      <c r="P364" t="n">
        <v>1</v>
      </c>
      <c r="Q364" t="n">
        <v>2</v>
      </c>
      <c r="R364" s="2" t="inlineStr">
        <is>
          <t>Lappticka
Rosenticka</t>
        </is>
      </c>
      <c r="S364">
        <f>HYPERLINK("https://klasma.github.io/Logging_2582/artfynd/A 8137-2022 artfynd.xlsx", "A 8137-2022")</f>
        <v/>
      </c>
      <c r="T364">
        <f>HYPERLINK("https://klasma.github.io/Logging_2582/kartor/A 8137-2022 karta.png", "A 8137-2022")</f>
        <v/>
      </c>
      <c r="V364">
        <f>HYPERLINK("https://klasma.github.io/Logging_2582/klagomål/A 8137-2022 FSC-klagomål.docx", "A 8137-2022")</f>
        <v/>
      </c>
      <c r="W364">
        <f>HYPERLINK("https://klasma.github.io/Logging_2582/klagomålsmail/A 8137-2022 FSC-klagomål mail.docx", "A 8137-2022")</f>
        <v/>
      </c>
      <c r="X364">
        <f>HYPERLINK("https://klasma.github.io/Logging_2582/tillsyn/A 8137-2022 tillsynsbegäran.docx", "A 8137-2022")</f>
        <v/>
      </c>
      <c r="Y364">
        <f>HYPERLINK("https://klasma.github.io/Logging_2582/tillsynsmail/A 8137-2022 tillsynsbegäran mail.docx", "A 8137-2022")</f>
        <v/>
      </c>
    </row>
    <row r="365" ht="15" customHeight="1">
      <c r="A365" t="inlineStr">
        <is>
          <t>A 15139-2022</t>
        </is>
      </c>
      <c r="B365" s="1" t="n">
        <v>44658</v>
      </c>
      <c r="C365" s="1" t="n">
        <v>45356</v>
      </c>
      <c r="D365" t="inlineStr">
        <is>
          <t>NORRBOTTENS LÄN</t>
        </is>
      </c>
      <c r="E365" t="inlineStr">
        <is>
          <t>ÖVERKALIX</t>
        </is>
      </c>
      <c r="G365" t="n">
        <v>8.5</v>
      </c>
      <c r="H365" t="n">
        <v>0</v>
      </c>
      <c r="I365" t="n">
        <v>0</v>
      </c>
      <c r="J365" t="n">
        <v>2</v>
      </c>
      <c r="K365" t="n">
        <v>0</v>
      </c>
      <c r="L365" t="n">
        <v>0</v>
      </c>
      <c r="M365" t="n">
        <v>0</v>
      </c>
      <c r="N365" t="n">
        <v>0</v>
      </c>
      <c r="O365" t="n">
        <v>2</v>
      </c>
      <c r="P365" t="n">
        <v>0</v>
      </c>
      <c r="Q365" t="n">
        <v>2</v>
      </c>
      <c r="R365" s="2" t="inlineStr">
        <is>
          <t>Blågrå svartspik
Vedflamlav</t>
        </is>
      </c>
      <c r="S365">
        <f>HYPERLINK("https://klasma.github.io/Logging_2513/artfynd/A 15139-2022 artfynd.xlsx", "A 15139-2022")</f>
        <v/>
      </c>
      <c r="T365">
        <f>HYPERLINK("https://klasma.github.io/Logging_2513/kartor/A 15139-2022 karta.png", "A 15139-2022")</f>
        <v/>
      </c>
      <c r="V365">
        <f>HYPERLINK("https://klasma.github.io/Logging_2513/klagomål/A 15139-2022 FSC-klagomål.docx", "A 15139-2022")</f>
        <v/>
      </c>
      <c r="W365">
        <f>HYPERLINK("https://klasma.github.io/Logging_2513/klagomålsmail/A 15139-2022 FSC-klagomål mail.docx", "A 15139-2022")</f>
        <v/>
      </c>
      <c r="X365">
        <f>HYPERLINK("https://klasma.github.io/Logging_2513/tillsyn/A 15139-2022 tillsynsbegäran.docx", "A 15139-2022")</f>
        <v/>
      </c>
      <c r="Y365">
        <f>HYPERLINK("https://klasma.github.io/Logging_2513/tillsynsmail/A 15139-2022 tillsynsbegäran mail.docx", "A 15139-2022")</f>
        <v/>
      </c>
    </row>
    <row r="366" ht="15" customHeight="1">
      <c r="A366" t="inlineStr">
        <is>
          <t>A 17292-2022</t>
        </is>
      </c>
      <c r="B366" s="1" t="n">
        <v>44678</v>
      </c>
      <c r="C366" s="1" t="n">
        <v>45356</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22668-2022</t>
        </is>
      </c>
      <c r="B367" s="1" t="n">
        <v>44714</v>
      </c>
      <c r="C367" s="1" t="n">
        <v>45356</v>
      </c>
      <c r="D367" t="inlineStr">
        <is>
          <t>NORRBOTTENS LÄN</t>
        </is>
      </c>
      <c r="E367" t="inlineStr">
        <is>
          <t>ÖVERTORNEÅ</t>
        </is>
      </c>
      <c r="G367" t="n">
        <v>14</v>
      </c>
      <c r="H367" t="n">
        <v>0</v>
      </c>
      <c r="I367" t="n">
        <v>0</v>
      </c>
      <c r="J367" t="n">
        <v>2</v>
      </c>
      <c r="K367" t="n">
        <v>0</v>
      </c>
      <c r="L367" t="n">
        <v>0</v>
      </c>
      <c r="M367" t="n">
        <v>0</v>
      </c>
      <c r="N367" t="n">
        <v>0</v>
      </c>
      <c r="O367" t="n">
        <v>2</v>
      </c>
      <c r="P367" t="n">
        <v>0</v>
      </c>
      <c r="Q367" t="n">
        <v>2</v>
      </c>
      <c r="R367" s="2" t="inlineStr">
        <is>
          <t>Gammelgransskål
Garnlav</t>
        </is>
      </c>
      <c r="S367">
        <f>HYPERLINK("https://klasma.github.io/Logging_2518/artfynd/A 22668-2022 artfynd.xlsx", "A 22668-2022")</f>
        <v/>
      </c>
      <c r="T367">
        <f>HYPERLINK("https://klasma.github.io/Logging_2518/kartor/A 22668-2022 karta.png", "A 22668-2022")</f>
        <v/>
      </c>
      <c r="V367">
        <f>HYPERLINK("https://klasma.github.io/Logging_2518/klagomål/A 22668-2022 FSC-klagomål.docx", "A 22668-2022")</f>
        <v/>
      </c>
      <c r="W367">
        <f>HYPERLINK("https://klasma.github.io/Logging_2518/klagomålsmail/A 22668-2022 FSC-klagomål mail.docx", "A 22668-2022")</f>
        <v/>
      </c>
      <c r="X367">
        <f>HYPERLINK("https://klasma.github.io/Logging_2518/tillsyn/A 22668-2022 tillsynsbegäran.docx", "A 22668-2022")</f>
        <v/>
      </c>
      <c r="Y367">
        <f>HYPERLINK("https://klasma.github.io/Logging_2518/tillsynsmail/A 22668-2022 tillsynsbegäran mail.docx", "A 22668-2022")</f>
        <v/>
      </c>
    </row>
    <row r="368" ht="15" customHeight="1">
      <c r="A368" t="inlineStr">
        <is>
          <t>A 24408-2022</t>
        </is>
      </c>
      <c r="B368" s="1" t="n">
        <v>44726</v>
      </c>
      <c r="C368" s="1" t="n">
        <v>45356</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24767-2022</t>
        </is>
      </c>
      <c r="B369" s="1" t="n">
        <v>44728</v>
      </c>
      <c r="C369" s="1" t="n">
        <v>45356</v>
      </c>
      <c r="D369" t="inlineStr">
        <is>
          <t>NORRBOTTENS LÄN</t>
        </is>
      </c>
      <c r="E369" t="inlineStr">
        <is>
          <t>ÖVERKALIX</t>
        </is>
      </c>
      <c r="G369" t="n">
        <v>4.1</v>
      </c>
      <c r="H369" t="n">
        <v>1</v>
      </c>
      <c r="I369" t="n">
        <v>0</v>
      </c>
      <c r="J369" t="n">
        <v>1</v>
      </c>
      <c r="K369" t="n">
        <v>0</v>
      </c>
      <c r="L369" t="n">
        <v>0</v>
      </c>
      <c r="M369" t="n">
        <v>0</v>
      </c>
      <c r="N369" t="n">
        <v>0</v>
      </c>
      <c r="O369" t="n">
        <v>1</v>
      </c>
      <c r="P369" t="n">
        <v>0</v>
      </c>
      <c r="Q369" t="n">
        <v>2</v>
      </c>
      <c r="R369" s="2" t="inlineStr">
        <is>
          <t>Lapphumla
Grön flodtrollslända</t>
        </is>
      </c>
      <c r="S369">
        <f>HYPERLINK("https://klasma.github.io/Logging_2513/artfynd/A 24767-2022 artfynd.xlsx", "A 24767-2022")</f>
        <v/>
      </c>
      <c r="T369">
        <f>HYPERLINK("https://klasma.github.io/Logging_2513/kartor/A 24767-2022 karta.png", "A 24767-2022")</f>
        <v/>
      </c>
      <c r="V369">
        <f>HYPERLINK("https://klasma.github.io/Logging_2513/klagomål/A 24767-2022 FSC-klagomål.docx", "A 24767-2022")</f>
        <v/>
      </c>
      <c r="W369">
        <f>HYPERLINK("https://klasma.github.io/Logging_2513/klagomålsmail/A 24767-2022 FSC-klagomål mail.docx", "A 24767-2022")</f>
        <v/>
      </c>
      <c r="X369">
        <f>HYPERLINK("https://klasma.github.io/Logging_2513/tillsyn/A 24767-2022 tillsynsbegäran.docx", "A 24767-2022")</f>
        <v/>
      </c>
      <c r="Y369">
        <f>HYPERLINK("https://klasma.github.io/Logging_2513/tillsynsmail/A 24767-2022 tillsynsbegäran mail.docx", "A 24767-2022")</f>
        <v/>
      </c>
    </row>
    <row r="370" ht="15" customHeight="1">
      <c r="A370" t="inlineStr">
        <is>
          <t>A 24923-2022</t>
        </is>
      </c>
      <c r="B370" s="1" t="n">
        <v>44728</v>
      </c>
      <c r="C370" s="1" t="n">
        <v>45356</v>
      </c>
      <c r="D370" t="inlineStr">
        <is>
          <t>NORRBOTTENS LÄN</t>
        </is>
      </c>
      <c r="E370" t="inlineStr">
        <is>
          <t>KALIX</t>
        </is>
      </c>
      <c r="F370" t="inlineStr">
        <is>
          <t>Sveaskog</t>
        </is>
      </c>
      <c r="G370" t="n">
        <v>2.9</v>
      </c>
      <c r="H370" t="n">
        <v>0</v>
      </c>
      <c r="I370" t="n">
        <v>0</v>
      </c>
      <c r="J370" t="n">
        <v>2</v>
      </c>
      <c r="K370" t="n">
        <v>0</v>
      </c>
      <c r="L370" t="n">
        <v>0</v>
      </c>
      <c r="M370" t="n">
        <v>0</v>
      </c>
      <c r="N370" t="n">
        <v>0</v>
      </c>
      <c r="O370" t="n">
        <v>2</v>
      </c>
      <c r="P370" t="n">
        <v>0</v>
      </c>
      <c r="Q370" t="n">
        <v>2</v>
      </c>
      <c r="R370" s="2" t="inlineStr">
        <is>
          <t>Gammelgransskål
Garnlav</t>
        </is>
      </c>
      <c r="S370">
        <f>HYPERLINK("https://klasma.github.io/Logging_2514/artfynd/A 24923-2022 artfynd.xlsx", "A 24923-2022")</f>
        <v/>
      </c>
      <c r="T370">
        <f>HYPERLINK("https://klasma.github.io/Logging_2514/kartor/A 24923-2022 karta.png", "A 24923-2022")</f>
        <v/>
      </c>
      <c r="V370">
        <f>HYPERLINK("https://klasma.github.io/Logging_2514/klagomål/A 24923-2022 FSC-klagomål.docx", "A 24923-2022")</f>
        <v/>
      </c>
      <c r="W370">
        <f>HYPERLINK("https://klasma.github.io/Logging_2514/klagomålsmail/A 24923-2022 FSC-klagomål mail.docx", "A 24923-2022")</f>
        <v/>
      </c>
      <c r="X370">
        <f>HYPERLINK("https://klasma.github.io/Logging_2514/tillsyn/A 24923-2022 tillsynsbegäran.docx", "A 24923-2022")</f>
        <v/>
      </c>
      <c r="Y370">
        <f>HYPERLINK("https://klasma.github.io/Logging_2514/tillsynsmail/A 24923-2022 tillsynsbegäran mail.docx", "A 24923-2022")</f>
        <v/>
      </c>
    </row>
    <row r="371" ht="15" customHeight="1">
      <c r="A371" t="inlineStr">
        <is>
          <t>A 26346-2022</t>
        </is>
      </c>
      <c r="B371" s="1" t="n">
        <v>44735</v>
      </c>
      <c r="C371" s="1" t="n">
        <v>45356</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31242-2022</t>
        </is>
      </c>
      <c r="B372" s="1" t="n">
        <v>44771</v>
      </c>
      <c r="C372" s="1" t="n">
        <v>45356</v>
      </c>
      <c r="D372" t="inlineStr">
        <is>
          <t>NORRBOTTENS LÄN</t>
        </is>
      </c>
      <c r="E372" t="inlineStr">
        <is>
          <t>PAJALA</t>
        </is>
      </c>
      <c r="G372" t="n">
        <v>21.9</v>
      </c>
      <c r="H372" t="n">
        <v>0</v>
      </c>
      <c r="I372" t="n">
        <v>0</v>
      </c>
      <c r="J372" t="n">
        <v>1</v>
      </c>
      <c r="K372" t="n">
        <v>1</v>
      </c>
      <c r="L372" t="n">
        <v>0</v>
      </c>
      <c r="M372" t="n">
        <v>0</v>
      </c>
      <c r="N372" t="n">
        <v>0</v>
      </c>
      <c r="O372" t="n">
        <v>2</v>
      </c>
      <c r="P372" t="n">
        <v>1</v>
      </c>
      <c r="Q372" t="n">
        <v>2</v>
      </c>
      <c r="R372" s="2" t="inlineStr">
        <is>
          <t>Tallgråticka
Vaddporing</t>
        </is>
      </c>
      <c r="S372">
        <f>HYPERLINK("https://klasma.github.io/Logging_2521/artfynd/A 31242-2022 artfynd.xlsx", "A 31242-2022")</f>
        <v/>
      </c>
      <c r="T372">
        <f>HYPERLINK("https://klasma.github.io/Logging_2521/kartor/A 31242-2022 karta.png", "A 31242-2022")</f>
        <v/>
      </c>
      <c r="V372">
        <f>HYPERLINK("https://klasma.github.io/Logging_2521/klagomål/A 31242-2022 FSC-klagomål.docx", "A 31242-2022")</f>
        <v/>
      </c>
      <c r="W372">
        <f>HYPERLINK("https://klasma.github.io/Logging_2521/klagomålsmail/A 31242-2022 FSC-klagomål mail.docx", "A 31242-2022")</f>
        <v/>
      </c>
      <c r="X372">
        <f>HYPERLINK("https://klasma.github.io/Logging_2521/tillsyn/A 31242-2022 tillsynsbegäran.docx", "A 31242-2022")</f>
        <v/>
      </c>
      <c r="Y372">
        <f>HYPERLINK("https://klasma.github.io/Logging_2521/tillsynsmail/A 31242-2022 tillsynsbegäran mail.docx", "A 31242-2022")</f>
        <v/>
      </c>
    </row>
    <row r="373" ht="15" customHeight="1">
      <c r="A373" t="inlineStr">
        <is>
          <t>A 35979-2022</t>
        </is>
      </c>
      <c r="B373" s="1" t="n">
        <v>44802</v>
      </c>
      <c r="C373" s="1" t="n">
        <v>45356</v>
      </c>
      <c r="D373" t="inlineStr">
        <is>
          <t>NORRBOTTENS LÄN</t>
        </is>
      </c>
      <c r="E373" t="inlineStr">
        <is>
          <t>KALIX</t>
        </is>
      </c>
      <c r="F373" t="inlineStr">
        <is>
          <t>Sveaskog</t>
        </is>
      </c>
      <c r="G373" t="n">
        <v>7</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35979-2022 artfynd.xlsx", "A 35979-2022")</f>
        <v/>
      </c>
      <c r="T373">
        <f>HYPERLINK("https://klasma.github.io/Logging_2514/kartor/A 35979-2022 karta.png", "A 35979-2022")</f>
        <v/>
      </c>
      <c r="V373">
        <f>HYPERLINK("https://klasma.github.io/Logging_2514/klagomål/A 35979-2022 FSC-klagomål.docx", "A 35979-2022")</f>
        <v/>
      </c>
      <c r="W373">
        <f>HYPERLINK("https://klasma.github.io/Logging_2514/klagomålsmail/A 35979-2022 FSC-klagomål mail.docx", "A 35979-2022")</f>
        <v/>
      </c>
      <c r="X373">
        <f>HYPERLINK("https://klasma.github.io/Logging_2514/tillsyn/A 35979-2022 tillsynsbegäran.docx", "A 35979-2022")</f>
        <v/>
      </c>
      <c r="Y373">
        <f>HYPERLINK("https://klasma.github.io/Logging_2514/tillsynsmail/A 35979-2022 tillsynsbegäran mail.docx", "A 35979-2022")</f>
        <v/>
      </c>
    </row>
    <row r="374" ht="15" customHeight="1">
      <c r="A374" t="inlineStr">
        <is>
          <t>A 36629-2022</t>
        </is>
      </c>
      <c r="B374" s="1" t="n">
        <v>44804</v>
      </c>
      <c r="C374" s="1" t="n">
        <v>45356</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39825-2022</t>
        </is>
      </c>
      <c r="B375" s="1" t="n">
        <v>44819</v>
      </c>
      <c r="C375" s="1" t="n">
        <v>45356</v>
      </c>
      <c r="D375" t="inlineStr">
        <is>
          <t>NORRBOTTENS LÄN</t>
        </is>
      </c>
      <c r="E375" t="inlineStr">
        <is>
          <t>ARVIDSJAUR</t>
        </is>
      </c>
      <c r="F375" t="inlineStr">
        <is>
          <t>Sveaskog</t>
        </is>
      </c>
      <c r="G375" t="n">
        <v>2.5</v>
      </c>
      <c r="H375" t="n">
        <v>0</v>
      </c>
      <c r="I375" t="n">
        <v>0</v>
      </c>
      <c r="J375" t="n">
        <v>2</v>
      </c>
      <c r="K375" t="n">
        <v>0</v>
      </c>
      <c r="L375" t="n">
        <v>0</v>
      </c>
      <c r="M375" t="n">
        <v>0</v>
      </c>
      <c r="N375" t="n">
        <v>0</v>
      </c>
      <c r="O375" t="n">
        <v>2</v>
      </c>
      <c r="P375" t="n">
        <v>0</v>
      </c>
      <c r="Q375" t="n">
        <v>2</v>
      </c>
      <c r="R375" s="2" t="inlineStr">
        <is>
          <t>Orange taggsvamp
Skrovlig taggsvamp</t>
        </is>
      </c>
      <c r="S375">
        <f>HYPERLINK("https://klasma.github.io/Logging_2505/artfynd/A 39825-2022 artfynd.xlsx", "A 39825-2022")</f>
        <v/>
      </c>
      <c r="T375">
        <f>HYPERLINK("https://klasma.github.io/Logging_2505/kartor/A 39825-2022 karta.png", "A 39825-2022")</f>
        <v/>
      </c>
      <c r="V375">
        <f>HYPERLINK("https://klasma.github.io/Logging_2505/klagomål/A 39825-2022 FSC-klagomål.docx", "A 39825-2022")</f>
        <v/>
      </c>
      <c r="W375">
        <f>HYPERLINK("https://klasma.github.io/Logging_2505/klagomålsmail/A 39825-2022 FSC-klagomål mail.docx", "A 39825-2022")</f>
        <v/>
      </c>
      <c r="X375">
        <f>HYPERLINK("https://klasma.github.io/Logging_2505/tillsyn/A 39825-2022 tillsynsbegäran.docx", "A 39825-2022")</f>
        <v/>
      </c>
      <c r="Y375">
        <f>HYPERLINK("https://klasma.github.io/Logging_2505/tillsynsmail/A 39825-2022 tillsynsbegäran mail.docx", "A 39825-2022")</f>
        <v/>
      </c>
    </row>
    <row r="376" ht="15" customHeight="1">
      <c r="A376" t="inlineStr">
        <is>
          <t>A 43057-2022</t>
        </is>
      </c>
      <c r="B376" s="1" t="n">
        <v>44833</v>
      </c>
      <c r="C376" s="1" t="n">
        <v>45356</v>
      </c>
      <c r="D376" t="inlineStr">
        <is>
          <t>NORRBOTTENS LÄN</t>
        </is>
      </c>
      <c r="E376" t="inlineStr">
        <is>
          <t>ÖVERTORNEÅ</t>
        </is>
      </c>
      <c r="F376" t="inlineStr">
        <is>
          <t>Sveaskog</t>
        </is>
      </c>
      <c r="G376" t="n">
        <v>2.4</v>
      </c>
      <c r="H376" t="n">
        <v>0</v>
      </c>
      <c r="I376" t="n">
        <v>0</v>
      </c>
      <c r="J376" t="n">
        <v>2</v>
      </c>
      <c r="K376" t="n">
        <v>0</v>
      </c>
      <c r="L376" t="n">
        <v>0</v>
      </c>
      <c r="M376" t="n">
        <v>0</v>
      </c>
      <c r="N376" t="n">
        <v>0</v>
      </c>
      <c r="O376" t="n">
        <v>2</v>
      </c>
      <c r="P376" t="n">
        <v>0</v>
      </c>
      <c r="Q376" t="n">
        <v>2</v>
      </c>
      <c r="R376" s="2" t="inlineStr">
        <is>
          <t>Gammelgransskål
Garnlav</t>
        </is>
      </c>
      <c r="S376">
        <f>HYPERLINK("https://klasma.github.io/Logging_2518/artfynd/A 43057-2022 artfynd.xlsx", "A 43057-2022")</f>
        <v/>
      </c>
      <c r="T376">
        <f>HYPERLINK("https://klasma.github.io/Logging_2518/kartor/A 43057-2022 karta.png", "A 43057-2022")</f>
        <v/>
      </c>
      <c r="V376">
        <f>HYPERLINK("https://klasma.github.io/Logging_2518/klagomål/A 43057-2022 FSC-klagomål.docx", "A 43057-2022")</f>
        <v/>
      </c>
      <c r="W376">
        <f>HYPERLINK("https://klasma.github.io/Logging_2518/klagomålsmail/A 43057-2022 FSC-klagomål mail.docx", "A 43057-2022")</f>
        <v/>
      </c>
      <c r="X376">
        <f>HYPERLINK("https://klasma.github.io/Logging_2518/tillsyn/A 43057-2022 tillsynsbegäran.docx", "A 43057-2022")</f>
        <v/>
      </c>
      <c r="Y376">
        <f>HYPERLINK("https://klasma.github.io/Logging_2518/tillsynsmail/A 43057-2022 tillsynsbegäran mail.docx", "A 43057-2022")</f>
        <v/>
      </c>
    </row>
    <row r="377" ht="15" customHeight="1">
      <c r="A377" t="inlineStr">
        <is>
          <t>A 44248-2022</t>
        </is>
      </c>
      <c r="B377" s="1" t="n">
        <v>44839</v>
      </c>
      <c r="C377" s="1" t="n">
        <v>45356</v>
      </c>
      <c r="D377" t="inlineStr">
        <is>
          <t>NORRBOTTENS LÄN</t>
        </is>
      </c>
      <c r="E377" t="inlineStr">
        <is>
          <t>ÖVERTORNEÅ</t>
        </is>
      </c>
      <c r="F377" t="inlineStr">
        <is>
          <t>Sveaskog</t>
        </is>
      </c>
      <c r="G377" t="n">
        <v>28.7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44248-2022 artfynd.xlsx", "A 44248-2022")</f>
        <v/>
      </c>
      <c r="T377">
        <f>HYPERLINK("https://klasma.github.io/Logging_2518/kartor/A 44248-2022 karta.png", "A 44248-2022")</f>
        <v/>
      </c>
      <c r="V377">
        <f>HYPERLINK("https://klasma.github.io/Logging_2518/klagomål/A 44248-2022 FSC-klagomål.docx", "A 44248-2022")</f>
        <v/>
      </c>
      <c r="W377">
        <f>HYPERLINK("https://klasma.github.io/Logging_2518/klagomålsmail/A 44248-2022 FSC-klagomål mail.docx", "A 44248-2022")</f>
        <v/>
      </c>
      <c r="X377">
        <f>HYPERLINK("https://klasma.github.io/Logging_2518/tillsyn/A 44248-2022 tillsynsbegäran.docx", "A 44248-2022")</f>
        <v/>
      </c>
      <c r="Y377">
        <f>HYPERLINK("https://klasma.github.io/Logging_2518/tillsynsmail/A 44248-2022 tillsynsbegäran mail.docx", "A 44248-2022")</f>
        <v/>
      </c>
    </row>
    <row r="378" ht="15" customHeight="1">
      <c r="A378" t="inlineStr">
        <is>
          <t>A 44649-2022</t>
        </is>
      </c>
      <c r="B378" s="1" t="n">
        <v>44840</v>
      </c>
      <c r="C378" s="1" t="n">
        <v>45356</v>
      </c>
      <c r="D378" t="inlineStr">
        <is>
          <t>NORRBOTTENS LÄN</t>
        </is>
      </c>
      <c r="E378" t="inlineStr">
        <is>
          <t>PITEÅ</t>
        </is>
      </c>
      <c r="F378" t="inlineStr">
        <is>
          <t>Sveaskog</t>
        </is>
      </c>
      <c r="G378" t="n">
        <v>8.800000000000001</v>
      </c>
      <c r="H378" t="n">
        <v>0</v>
      </c>
      <c r="I378" t="n">
        <v>1</v>
      </c>
      <c r="J378" t="n">
        <v>1</v>
      </c>
      <c r="K378" t="n">
        <v>0</v>
      </c>
      <c r="L378" t="n">
        <v>0</v>
      </c>
      <c r="M378" t="n">
        <v>0</v>
      </c>
      <c r="N378" t="n">
        <v>0</v>
      </c>
      <c r="O378" t="n">
        <v>1</v>
      </c>
      <c r="P378" t="n">
        <v>0</v>
      </c>
      <c r="Q378" t="n">
        <v>2</v>
      </c>
      <c r="R378" s="2" t="inlineStr">
        <is>
          <t>Granticka
Skarp dropptaggsvamp</t>
        </is>
      </c>
      <c r="S378">
        <f>HYPERLINK("https://klasma.github.io/Logging_2581/artfynd/A 44649-2022 artfynd.xlsx", "A 44649-2022")</f>
        <v/>
      </c>
      <c r="T378">
        <f>HYPERLINK("https://klasma.github.io/Logging_2581/kartor/A 44649-2022 karta.png", "A 44649-2022")</f>
        <v/>
      </c>
      <c r="V378">
        <f>HYPERLINK("https://klasma.github.io/Logging_2581/klagomål/A 44649-2022 FSC-klagomål.docx", "A 44649-2022")</f>
        <v/>
      </c>
      <c r="W378">
        <f>HYPERLINK("https://klasma.github.io/Logging_2581/klagomålsmail/A 44649-2022 FSC-klagomål mail.docx", "A 44649-2022")</f>
        <v/>
      </c>
      <c r="X378">
        <f>HYPERLINK("https://klasma.github.io/Logging_2581/tillsyn/A 44649-2022 tillsynsbegäran.docx", "A 44649-2022")</f>
        <v/>
      </c>
      <c r="Y378">
        <f>HYPERLINK("https://klasma.github.io/Logging_2581/tillsynsmail/A 44649-2022 tillsynsbegäran mail.docx", "A 44649-2022")</f>
        <v/>
      </c>
    </row>
    <row r="379" ht="15" customHeight="1">
      <c r="A379" t="inlineStr">
        <is>
          <t>A 47260-2022</t>
        </is>
      </c>
      <c r="B379" s="1" t="n">
        <v>44852</v>
      </c>
      <c r="C379" s="1" t="n">
        <v>45356</v>
      </c>
      <c r="D379" t="inlineStr">
        <is>
          <t>NORRBOTTENS LÄN</t>
        </is>
      </c>
      <c r="E379" t="inlineStr">
        <is>
          <t>PITEÅ</t>
        </is>
      </c>
      <c r="F379" t="inlineStr">
        <is>
          <t>SCA</t>
        </is>
      </c>
      <c r="G379" t="n">
        <v>5</v>
      </c>
      <c r="H379" t="n">
        <v>0</v>
      </c>
      <c r="I379" t="n">
        <v>0</v>
      </c>
      <c r="J379" t="n">
        <v>2</v>
      </c>
      <c r="K379" t="n">
        <v>0</v>
      </c>
      <c r="L379" t="n">
        <v>0</v>
      </c>
      <c r="M379" t="n">
        <v>0</v>
      </c>
      <c r="N379" t="n">
        <v>0</v>
      </c>
      <c r="O379" t="n">
        <v>2</v>
      </c>
      <c r="P379" t="n">
        <v>0</v>
      </c>
      <c r="Q379" t="n">
        <v>2</v>
      </c>
      <c r="R379" s="2" t="inlineStr">
        <is>
          <t>Violettgrå tagellav
Vitgrynig nållav</t>
        </is>
      </c>
      <c r="S379">
        <f>HYPERLINK("https://klasma.github.io/Logging_2581/artfynd/A 47260-2022 artfynd.xlsx", "A 47260-2022")</f>
        <v/>
      </c>
      <c r="T379">
        <f>HYPERLINK("https://klasma.github.io/Logging_2581/kartor/A 47260-2022 karta.png", "A 47260-2022")</f>
        <v/>
      </c>
      <c r="V379">
        <f>HYPERLINK("https://klasma.github.io/Logging_2581/klagomål/A 47260-2022 FSC-klagomål.docx", "A 47260-2022")</f>
        <v/>
      </c>
      <c r="W379">
        <f>HYPERLINK("https://klasma.github.io/Logging_2581/klagomålsmail/A 47260-2022 FSC-klagomål mail.docx", "A 47260-2022")</f>
        <v/>
      </c>
      <c r="X379">
        <f>HYPERLINK("https://klasma.github.io/Logging_2581/tillsyn/A 47260-2022 tillsynsbegäran.docx", "A 47260-2022")</f>
        <v/>
      </c>
      <c r="Y379">
        <f>HYPERLINK("https://klasma.github.io/Logging_2581/tillsynsmail/A 47260-2022 tillsynsbegäran mail.docx", "A 47260-2022")</f>
        <v/>
      </c>
    </row>
    <row r="380" ht="15" customHeight="1">
      <c r="A380" t="inlineStr">
        <is>
          <t>A 48598-2022</t>
        </is>
      </c>
      <c r="B380" s="1" t="n">
        <v>44859</v>
      </c>
      <c r="C380" s="1" t="n">
        <v>45356</v>
      </c>
      <c r="D380" t="inlineStr">
        <is>
          <t>NORRBOTTENS LÄN</t>
        </is>
      </c>
      <c r="E380" t="inlineStr">
        <is>
          <t>PITEÅ</t>
        </is>
      </c>
      <c r="G380" t="n">
        <v>4.3</v>
      </c>
      <c r="H380" t="n">
        <v>1</v>
      </c>
      <c r="I380" t="n">
        <v>0</v>
      </c>
      <c r="J380" t="n">
        <v>1</v>
      </c>
      <c r="K380" t="n">
        <v>1</v>
      </c>
      <c r="L380" t="n">
        <v>0</v>
      </c>
      <c r="M380" t="n">
        <v>0</v>
      </c>
      <c r="N380" t="n">
        <v>0</v>
      </c>
      <c r="O380" t="n">
        <v>2</v>
      </c>
      <c r="P380" t="n">
        <v>1</v>
      </c>
      <c r="Q380" t="n">
        <v>2</v>
      </c>
      <c r="R380" s="2" t="inlineStr">
        <is>
          <t>Norna
Lunglav</t>
        </is>
      </c>
      <c r="S380">
        <f>HYPERLINK("https://klasma.github.io/Logging_2581/artfynd/A 48598-2022 artfynd.xlsx", "A 48598-2022")</f>
        <v/>
      </c>
      <c r="T380">
        <f>HYPERLINK("https://klasma.github.io/Logging_2581/kartor/A 48598-2022 karta.png", "A 48598-2022")</f>
        <v/>
      </c>
      <c r="V380">
        <f>HYPERLINK("https://klasma.github.io/Logging_2581/klagomål/A 48598-2022 FSC-klagomål.docx", "A 48598-2022")</f>
        <v/>
      </c>
      <c r="W380">
        <f>HYPERLINK("https://klasma.github.io/Logging_2581/klagomålsmail/A 48598-2022 FSC-klagomål mail.docx", "A 48598-2022")</f>
        <v/>
      </c>
      <c r="X380">
        <f>HYPERLINK("https://klasma.github.io/Logging_2581/tillsyn/A 48598-2022 tillsynsbegäran.docx", "A 48598-2022")</f>
        <v/>
      </c>
      <c r="Y380">
        <f>HYPERLINK("https://klasma.github.io/Logging_2581/tillsynsmail/A 48598-2022 tillsynsbegäran mail.docx", "A 48598-2022")</f>
        <v/>
      </c>
    </row>
    <row r="381" ht="15" customHeight="1">
      <c r="A381" t="inlineStr">
        <is>
          <t>A 50237-2022</t>
        </is>
      </c>
      <c r="B381" s="1" t="n">
        <v>44865</v>
      </c>
      <c r="C381" s="1" t="n">
        <v>45356</v>
      </c>
      <c r="D381" t="inlineStr">
        <is>
          <t>NORRBOTTENS LÄN</t>
        </is>
      </c>
      <c r="E381" t="inlineStr">
        <is>
          <t>JOKKMOKK</t>
        </is>
      </c>
      <c r="F381" t="inlineStr">
        <is>
          <t>Sveaskog</t>
        </is>
      </c>
      <c r="G381" t="n">
        <v>13.4</v>
      </c>
      <c r="H381" t="n">
        <v>1</v>
      </c>
      <c r="I381" t="n">
        <v>1</v>
      </c>
      <c r="J381" t="n">
        <v>0</v>
      </c>
      <c r="K381" t="n">
        <v>0</v>
      </c>
      <c r="L381" t="n">
        <v>0</v>
      </c>
      <c r="M381" t="n">
        <v>0</v>
      </c>
      <c r="N381" t="n">
        <v>0</v>
      </c>
      <c r="O381" t="n">
        <v>0</v>
      </c>
      <c r="P381" t="n">
        <v>0</v>
      </c>
      <c r="Q381" t="n">
        <v>2</v>
      </c>
      <c r="R381" s="2" t="inlineStr">
        <is>
          <t>Vedticka
Lavskrika</t>
        </is>
      </c>
      <c r="S381">
        <f>HYPERLINK("https://klasma.github.io/Logging_2510/artfynd/A 50237-2022 artfynd.xlsx", "A 50237-2022")</f>
        <v/>
      </c>
      <c r="T381">
        <f>HYPERLINK("https://klasma.github.io/Logging_2510/kartor/A 50237-2022 karta.png", "A 50237-2022")</f>
        <v/>
      </c>
      <c r="V381">
        <f>HYPERLINK("https://klasma.github.io/Logging_2510/klagomål/A 50237-2022 FSC-klagomål.docx", "A 50237-2022")</f>
        <v/>
      </c>
      <c r="W381">
        <f>HYPERLINK("https://klasma.github.io/Logging_2510/klagomålsmail/A 50237-2022 FSC-klagomål mail.docx", "A 50237-2022")</f>
        <v/>
      </c>
      <c r="X381">
        <f>HYPERLINK("https://klasma.github.io/Logging_2510/tillsyn/A 50237-2022 tillsynsbegäran.docx", "A 50237-2022")</f>
        <v/>
      </c>
      <c r="Y381">
        <f>HYPERLINK("https://klasma.github.io/Logging_2510/tillsynsmail/A 50237-2022 tillsynsbegäran mail.docx", "A 50237-2022")</f>
        <v/>
      </c>
      <c r="Z381">
        <f>HYPERLINK("https://klasma.github.io/Logging_2510/fåglar/A 50237-2022 prioriterade fågelarter.docx", "A 50237-2022")</f>
        <v/>
      </c>
    </row>
    <row r="382" ht="15" customHeight="1">
      <c r="A382" t="inlineStr">
        <is>
          <t>A 51133-2022</t>
        </is>
      </c>
      <c r="B382" s="1" t="n">
        <v>44868</v>
      </c>
      <c r="C382" s="1" t="n">
        <v>45356</v>
      </c>
      <c r="D382" t="inlineStr">
        <is>
          <t>NORRBOTTENS LÄN</t>
        </is>
      </c>
      <c r="E382" t="inlineStr">
        <is>
          <t>ARVIDSJAUR</t>
        </is>
      </c>
      <c r="F382" t="inlineStr">
        <is>
          <t>Sveaskog</t>
        </is>
      </c>
      <c r="G382" t="n">
        <v>4.4</v>
      </c>
      <c r="H382" t="n">
        <v>1</v>
      </c>
      <c r="I382" t="n">
        <v>0</v>
      </c>
      <c r="J382" t="n">
        <v>2</v>
      </c>
      <c r="K382" t="n">
        <v>0</v>
      </c>
      <c r="L382" t="n">
        <v>0</v>
      </c>
      <c r="M382" t="n">
        <v>0</v>
      </c>
      <c r="N382" t="n">
        <v>0</v>
      </c>
      <c r="O382" t="n">
        <v>2</v>
      </c>
      <c r="P382" t="n">
        <v>0</v>
      </c>
      <c r="Q382" t="n">
        <v>2</v>
      </c>
      <c r="R382" s="2" t="inlineStr">
        <is>
          <t>Granticka
Talltita</t>
        </is>
      </c>
      <c r="S382">
        <f>HYPERLINK("https://klasma.github.io/Logging_2505/artfynd/A 51133-2022 artfynd.xlsx", "A 51133-2022")</f>
        <v/>
      </c>
      <c r="T382">
        <f>HYPERLINK("https://klasma.github.io/Logging_2505/kartor/A 51133-2022 karta.png", "A 51133-2022")</f>
        <v/>
      </c>
      <c r="V382">
        <f>HYPERLINK("https://klasma.github.io/Logging_2505/klagomål/A 51133-2022 FSC-klagomål.docx", "A 51133-2022")</f>
        <v/>
      </c>
      <c r="W382">
        <f>HYPERLINK("https://klasma.github.io/Logging_2505/klagomålsmail/A 51133-2022 FSC-klagomål mail.docx", "A 51133-2022")</f>
        <v/>
      </c>
      <c r="X382">
        <f>HYPERLINK("https://klasma.github.io/Logging_2505/tillsyn/A 51133-2022 tillsynsbegäran.docx", "A 51133-2022")</f>
        <v/>
      </c>
      <c r="Y382">
        <f>HYPERLINK("https://klasma.github.io/Logging_2505/tillsynsmail/A 51133-2022 tillsynsbegäran mail.docx", "A 51133-2022")</f>
        <v/>
      </c>
      <c r="Z382">
        <f>HYPERLINK("https://klasma.github.io/Logging_2505/fåglar/A 51133-2022 prioriterade fågelarter.docx", "A 51133-2022")</f>
        <v/>
      </c>
    </row>
    <row r="383" ht="15" customHeight="1">
      <c r="A383" t="inlineStr">
        <is>
          <t>A 52513-2022</t>
        </is>
      </c>
      <c r="B383" s="1" t="n">
        <v>44874</v>
      </c>
      <c r="C383" s="1" t="n">
        <v>45356</v>
      </c>
      <c r="D383" t="inlineStr">
        <is>
          <t>NORRBOTTENS LÄN</t>
        </is>
      </c>
      <c r="E383" t="inlineStr">
        <is>
          <t>ÄLVSBYN</t>
        </is>
      </c>
      <c r="F383" t="inlineStr">
        <is>
          <t>Sveaskog</t>
        </is>
      </c>
      <c r="G383" t="n">
        <v>2.3</v>
      </c>
      <c r="H383" t="n">
        <v>0</v>
      </c>
      <c r="I383" t="n">
        <v>0</v>
      </c>
      <c r="J383" t="n">
        <v>2</v>
      </c>
      <c r="K383" t="n">
        <v>0</v>
      </c>
      <c r="L383" t="n">
        <v>0</v>
      </c>
      <c r="M383" t="n">
        <v>0</v>
      </c>
      <c r="N383" t="n">
        <v>0</v>
      </c>
      <c r="O383" t="n">
        <v>2</v>
      </c>
      <c r="P383" t="n">
        <v>0</v>
      </c>
      <c r="Q383" t="n">
        <v>2</v>
      </c>
      <c r="R383" s="2" t="inlineStr">
        <is>
          <t>Gammelgransskål
Lunglav</t>
        </is>
      </c>
      <c r="S383">
        <f>HYPERLINK("https://klasma.github.io/Logging_2560/artfynd/A 52513-2022 artfynd.xlsx", "A 52513-2022")</f>
        <v/>
      </c>
      <c r="T383">
        <f>HYPERLINK("https://klasma.github.io/Logging_2560/kartor/A 52513-2022 karta.png", "A 52513-2022")</f>
        <v/>
      </c>
      <c r="V383">
        <f>HYPERLINK("https://klasma.github.io/Logging_2560/klagomål/A 52513-2022 FSC-klagomål.docx", "A 52513-2022")</f>
        <v/>
      </c>
      <c r="W383">
        <f>HYPERLINK("https://klasma.github.io/Logging_2560/klagomålsmail/A 52513-2022 FSC-klagomål mail.docx", "A 52513-2022")</f>
        <v/>
      </c>
      <c r="X383">
        <f>HYPERLINK("https://klasma.github.io/Logging_2560/tillsyn/A 52513-2022 tillsynsbegäran.docx", "A 52513-2022")</f>
        <v/>
      </c>
      <c r="Y383">
        <f>HYPERLINK("https://klasma.github.io/Logging_2560/tillsynsmail/A 52513-2022 tillsynsbegäran mail.docx", "A 52513-2022")</f>
        <v/>
      </c>
    </row>
    <row r="384" ht="15" customHeight="1">
      <c r="A384" t="inlineStr">
        <is>
          <t>A 54178-2022</t>
        </is>
      </c>
      <c r="B384" s="1" t="n">
        <v>44881</v>
      </c>
      <c r="C384" s="1" t="n">
        <v>45356</v>
      </c>
      <c r="D384" t="inlineStr">
        <is>
          <t>NORRBOTTENS LÄN</t>
        </is>
      </c>
      <c r="E384" t="inlineStr">
        <is>
          <t>BODEN</t>
        </is>
      </c>
      <c r="F384" t="inlineStr">
        <is>
          <t>Sveaskog</t>
        </is>
      </c>
      <c r="G384" t="n">
        <v>3.1</v>
      </c>
      <c r="H384" t="n">
        <v>1</v>
      </c>
      <c r="I384" t="n">
        <v>0</v>
      </c>
      <c r="J384" t="n">
        <v>1</v>
      </c>
      <c r="K384" t="n">
        <v>0</v>
      </c>
      <c r="L384" t="n">
        <v>0</v>
      </c>
      <c r="M384" t="n">
        <v>0</v>
      </c>
      <c r="N384" t="n">
        <v>0</v>
      </c>
      <c r="O384" t="n">
        <v>1</v>
      </c>
      <c r="P384" t="n">
        <v>0</v>
      </c>
      <c r="Q384" t="n">
        <v>2</v>
      </c>
      <c r="R384" s="2" t="inlineStr">
        <is>
          <t>Granticka
Blåsippa</t>
        </is>
      </c>
      <c r="S384">
        <f>HYPERLINK("https://klasma.github.io/Logging_2582/artfynd/A 54178-2022 artfynd.xlsx", "A 54178-2022")</f>
        <v/>
      </c>
      <c r="T384">
        <f>HYPERLINK("https://klasma.github.io/Logging_2582/kartor/A 54178-2022 karta.png", "A 54178-2022")</f>
        <v/>
      </c>
      <c r="V384">
        <f>HYPERLINK("https://klasma.github.io/Logging_2582/klagomål/A 54178-2022 FSC-klagomål.docx", "A 54178-2022")</f>
        <v/>
      </c>
      <c r="W384">
        <f>HYPERLINK("https://klasma.github.io/Logging_2582/klagomålsmail/A 54178-2022 FSC-klagomål mail.docx", "A 54178-2022")</f>
        <v/>
      </c>
      <c r="X384">
        <f>HYPERLINK("https://klasma.github.io/Logging_2582/tillsyn/A 54178-2022 tillsynsbegäran.docx", "A 54178-2022")</f>
        <v/>
      </c>
      <c r="Y384">
        <f>HYPERLINK("https://klasma.github.io/Logging_2582/tillsynsmail/A 54178-2022 tillsynsbegäran mail.docx", "A 54178-2022")</f>
        <v/>
      </c>
    </row>
    <row r="385" ht="15" customHeight="1">
      <c r="A385" t="inlineStr">
        <is>
          <t>A 60480-2022</t>
        </is>
      </c>
      <c r="B385" s="1" t="n">
        <v>44911</v>
      </c>
      <c r="C385" s="1" t="n">
        <v>45356</v>
      </c>
      <c r="D385" t="inlineStr">
        <is>
          <t>NORRBOTTENS LÄN</t>
        </is>
      </c>
      <c r="E385" t="inlineStr">
        <is>
          <t>ÖVERKALIX</t>
        </is>
      </c>
      <c r="F385" t="inlineStr">
        <is>
          <t>Sveaskog</t>
        </is>
      </c>
      <c r="G385" t="n">
        <v>1.6</v>
      </c>
      <c r="H385" t="n">
        <v>0</v>
      </c>
      <c r="I385" t="n">
        <v>0</v>
      </c>
      <c r="J385" t="n">
        <v>2</v>
      </c>
      <c r="K385" t="n">
        <v>0</v>
      </c>
      <c r="L385" t="n">
        <v>0</v>
      </c>
      <c r="M385" t="n">
        <v>0</v>
      </c>
      <c r="N385" t="n">
        <v>0</v>
      </c>
      <c r="O385" t="n">
        <v>2</v>
      </c>
      <c r="P385" t="n">
        <v>0</v>
      </c>
      <c r="Q385" t="n">
        <v>2</v>
      </c>
      <c r="R385" s="2" t="inlineStr">
        <is>
          <t>Kolflarnlav
Nordtagging</t>
        </is>
      </c>
      <c r="S385">
        <f>HYPERLINK("https://klasma.github.io/Logging_2513/artfynd/A 60480-2022 artfynd.xlsx", "A 60480-2022")</f>
        <v/>
      </c>
      <c r="T385">
        <f>HYPERLINK("https://klasma.github.io/Logging_2513/kartor/A 60480-2022 karta.png", "A 60480-2022")</f>
        <v/>
      </c>
      <c r="V385">
        <f>HYPERLINK("https://klasma.github.io/Logging_2513/klagomål/A 60480-2022 FSC-klagomål.docx", "A 60480-2022")</f>
        <v/>
      </c>
      <c r="W385">
        <f>HYPERLINK("https://klasma.github.io/Logging_2513/klagomålsmail/A 60480-2022 FSC-klagomål mail.docx", "A 60480-2022")</f>
        <v/>
      </c>
      <c r="X385">
        <f>HYPERLINK("https://klasma.github.io/Logging_2513/tillsyn/A 60480-2022 tillsynsbegäran.docx", "A 60480-2022")</f>
        <v/>
      </c>
      <c r="Y385">
        <f>HYPERLINK("https://klasma.github.io/Logging_2513/tillsynsmail/A 60480-2022 tillsynsbegäran mail.docx", "A 60480-2022")</f>
        <v/>
      </c>
    </row>
    <row r="386" ht="15" customHeight="1">
      <c r="A386" t="inlineStr">
        <is>
          <t>A 62435-2022</t>
        </is>
      </c>
      <c r="B386" s="1" t="n">
        <v>44916</v>
      </c>
      <c r="C386" s="1" t="n">
        <v>45356</v>
      </c>
      <c r="D386" t="inlineStr">
        <is>
          <t>NORRBOTTENS LÄN</t>
        </is>
      </c>
      <c r="E386" t="inlineStr">
        <is>
          <t>KIRUNA</t>
        </is>
      </c>
      <c r="G386" t="n">
        <v>13.3</v>
      </c>
      <c r="H386" t="n">
        <v>0</v>
      </c>
      <c r="I386" t="n">
        <v>0</v>
      </c>
      <c r="J386" t="n">
        <v>2</v>
      </c>
      <c r="K386" t="n">
        <v>0</v>
      </c>
      <c r="L386" t="n">
        <v>0</v>
      </c>
      <c r="M386" t="n">
        <v>0</v>
      </c>
      <c r="N386" t="n">
        <v>0</v>
      </c>
      <c r="O386" t="n">
        <v>2</v>
      </c>
      <c r="P386" t="n">
        <v>0</v>
      </c>
      <c r="Q386" t="n">
        <v>2</v>
      </c>
      <c r="R386" s="2" t="inlineStr">
        <is>
          <t>Harticka
Rosenticka</t>
        </is>
      </c>
      <c r="S386">
        <f>HYPERLINK("https://klasma.github.io/Logging_2584/artfynd/A 62435-2022 artfynd.xlsx", "A 62435-2022")</f>
        <v/>
      </c>
      <c r="T386">
        <f>HYPERLINK("https://klasma.github.io/Logging_2584/kartor/A 62435-2022 karta.png", "A 62435-2022")</f>
        <v/>
      </c>
      <c r="V386">
        <f>HYPERLINK("https://klasma.github.io/Logging_2584/klagomål/A 62435-2022 FSC-klagomål.docx", "A 62435-2022")</f>
        <v/>
      </c>
      <c r="W386">
        <f>HYPERLINK("https://klasma.github.io/Logging_2584/klagomålsmail/A 62435-2022 FSC-klagomål mail.docx", "A 62435-2022")</f>
        <v/>
      </c>
      <c r="X386">
        <f>HYPERLINK("https://klasma.github.io/Logging_2584/tillsyn/A 62435-2022 tillsynsbegäran.docx", "A 62435-2022")</f>
        <v/>
      </c>
      <c r="Y386">
        <f>HYPERLINK("https://klasma.github.io/Logging_2584/tillsynsmail/A 62435-2022 tillsynsbegäran mail.docx", "A 62435-2022")</f>
        <v/>
      </c>
    </row>
    <row r="387" ht="15" customHeight="1">
      <c r="A387" t="inlineStr">
        <is>
          <t>A 1385-2023</t>
        </is>
      </c>
      <c r="B387" s="1" t="n">
        <v>44930</v>
      </c>
      <c r="C387" s="1" t="n">
        <v>45356</v>
      </c>
      <c r="D387" t="inlineStr">
        <is>
          <t>NORRBOTTENS LÄN</t>
        </is>
      </c>
      <c r="E387" t="inlineStr">
        <is>
          <t>PAJALA</t>
        </is>
      </c>
      <c r="G387" t="n">
        <v>2.7</v>
      </c>
      <c r="H387" t="n">
        <v>0</v>
      </c>
      <c r="I387" t="n">
        <v>1</v>
      </c>
      <c r="J387" t="n">
        <v>1</v>
      </c>
      <c r="K387" t="n">
        <v>0</v>
      </c>
      <c r="L387" t="n">
        <v>0</v>
      </c>
      <c r="M387" t="n">
        <v>0</v>
      </c>
      <c r="N387" t="n">
        <v>0</v>
      </c>
      <c r="O387" t="n">
        <v>1</v>
      </c>
      <c r="P387" t="n">
        <v>0</v>
      </c>
      <c r="Q387" t="n">
        <v>2</v>
      </c>
      <c r="R387" s="2" t="inlineStr">
        <is>
          <t>Gammelgransskål
Skör kvastmossa</t>
        </is>
      </c>
      <c r="S387">
        <f>HYPERLINK("https://klasma.github.io/Logging_2521/artfynd/A 1385-2023 artfynd.xlsx", "A 1385-2023")</f>
        <v/>
      </c>
      <c r="T387">
        <f>HYPERLINK("https://klasma.github.io/Logging_2521/kartor/A 1385-2023 karta.png", "A 1385-2023")</f>
        <v/>
      </c>
      <c r="V387">
        <f>HYPERLINK("https://klasma.github.io/Logging_2521/klagomål/A 1385-2023 FSC-klagomål.docx", "A 1385-2023")</f>
        <v/>
      </c>
      <c r="W387">
        <f>HYPERLINK("https://klasma.github.io/Logging_2521/klagomålsmail/A 1385-2023 FSC-klagomål mail.docx", "A 1385-2023")</f>
        <v/>
      </c>
      <c r="X387">
        <f>HYPERLINK("https://klasma.github.io/Logging_2521/tillsyn/A 1385-2023 tillsynsbegäran.docx", "A 1385-2023")</f>
        <v/>
      </c>
      <c r="Y387">
        <f>HYPERLINK("https://klasma.github.io/Logging_2521/tillsynsmail/A 1385-2023 tillsynsbegäran mail.docx", "A 1385-2023")</f>
        <v/>
      </c>
    </row>
    <row r="388" ht="15" customHeight="1">
      <c r="A388" t="inlineStr">
        <is>
          <t>A 2817-2023</t>
        </is>
      </c>
      <c r="B388" s="1" t="n">
        <v>44944</v>
      </c>
      <c r="C388" s="1" t="n">
        <v>45356</v>
      </c>
      <c r="D388" t="inlineStr">
        <is>
          <t>NORRBOTTENS LÄN</t>
        </is>
      </c>
      <c r="E388" t="inlineStr">
        <is>
          <t>PITEÅ</t>
        </is>
      </c>
      <c r="G388" t="n">
        <v>4.9</v>
      </c>
      <c r="H388" t="n">
        <v>0</v>
      </c>
      <c r="I388" t="n">
        <v>0</v>
      </c>
      <c r="J388" t="n">
        <v>2</v>
      </c>
      <c r="K388" t="n">
        <v>0</v>
      </c>
      <c r="L388" t="n">
        <v>0</v>
      </c>
      <c r="M388" t="n">
        <v>0</v>
      </c>
      <c r="N388" t="n">
        <v>0</v>
      </c>
      <c r="O388" t="n">
        <v>2</v>
      </c>
      <c r="P388" t="n">
        <v>0</v>
      </c>
      <c r="Q388" t="n">
        <v>2</v>
      </c>
      <c r="R388" s="2" t="inlineStr">
        <is>
          <t>Ullticka
Violettgrå tagellav</t>
        </is>
      </c>
      <c r="S388">
        <f>HYPERLINK("https://klasma.github.io/Logging_2581/artfynd/A 2817-2023 artfynd.xlsx", "A 2817-2023")</f>
        <v/>
      </c>
      <c r="T388">
        <f>HYPERLINK("https://klasma.github.io/Logging_2581/kartor/A 2817-2023 karta.png", "A 2817-2023")</f>
        <v/>
      </c>
      <c r="V388">
        <f>HYPERLINK("https://klasma.github.io/Logging_2581/klagomål/A 2817-2023 FSC-klagomål.docx", "A 2817-2023")</f>
        <v/>
      </c>
      <c r="W388">
        <f>HYPERLINK("https://klasma.github.io/Logging_2581/klagomålsmail/A 2817-2023 FSC-klagomål mail.docx", "A 2817-2023")</f>
        <v/>
      </c>
      <c r="X388">
        <f>HYPERLINK("https://klasma.github.io/Logging_2581/tillsyn/A 2817-2023 tillsynsbegäran.docx", "A 2817-2023")</f>
        <v/>
      </c>
      <c r="Y388">
        <f>HYPERLINK("https://klasma.github.io/Logging_2581/tillsynsmail/A 2817-2023 tillsynsbegäran mail.docx", "A 2817-2023")</f>
        <v/>
      </c>
    </row>
    <row r="389" ht="15" customHeight="1">
      <c r="A389" t="inlineStr">
        <is>
          <t>A 5288-2023</t>
        </is>
      </c>
      <c r="B389" s="1" t="n">
        <v>44959</v>
      </c>
      <c r="C389" s="1" t="n">
        <v>45356</v>
      </c>
      <c r="D389" t="inlineStr">
        <is>
          <t>NORRBOTTENS LÄN</t>
        </is>
      </c>
      <c r="E389" t="inlineStr">
        <is>
          <t>GÄLLIVARE</t>
        </is>
      </c>
      <c r="F389" t="inlineStr">
        <is>
          <t>SCA</t>
        </is>
      </c>
      <c r="G389" t="n">
        <v>12.2</v>
      </c>
      <c r="H389" t="n">
        <v>0</v>
      </c>
      <c r="I389" t="n">
        <v>0</v>
      </c>
      <c r="J389" t="n">
        <v>0</v>
      </c>
      <c r="K389" t="n">
        <v>2</v>
      </c>
      <c r="L389" t="n">
        <v>0</v>
      </c>
      <c r="M389" t="n">
        <v>0</v>
      </c>
      <c r="N389" t="n">
        <v>0</v>
      </c>
      <c r="O389" t="n">
        <v>2</v>
      </c>
      <c r="P389" t="n">
        <v>2</v>
      </c>
      <c r="Q389" t="n">
        <v>2</v>
      </c>
      <c r="R389" s="2" t="inlineStr">
        <is>
          <t>Smultronkantarell
Tallstocksticka</t>
        </is>
      </c>
      <c r="S389">
        <f>HYPERLINK("https://klasma.github.io/Logging_2523/artfynd/A 5288-2023 artfynd.xlsx", "A 5288-2023")</f>
        <v/>
      </c>
      <c r="T389">
        <f>HYPERLINK("https://klasma.github.io/Logging_2523/kartor/A 5288-2023 karta.png", "A 5288-2023")</f>
        <v/>
      </c>
      <c r="V389">
        <f>HYPERLINK("https://klasma.github.io/Logging_2523/klagomål/A 5288-2023 FSC-klagomål.docx", "A 5288-2023")</f>
        <v/>
      </c>
      <c r="W389">
        <f>HYPERLINK("https://klasma.github.io/Logging_2523/klagomålsmail/A 5288-2023 FSC-klagomål mail.docx", "A 5288-2023")</f>
        <v/>
      </c>
      <c r="X389">
        <f>HYPERLINK("https://klasma.github.io/Logging_2523/tillsyn/A 5288-2023 tillsynsbegäran.docx", "A 5288-2023")</f>
        <v/>
      </c>
      <c r="Y389">
        <f>HYPERLINK("https://klasma.github.io/Logging_2523/tillsynsmail/A 5288-2023 tillsynsbegäran mail.docx", "A 5288-2023")</f>
        <v/>
      </c>
    </row>
    <row r="390" ht="15" customHeight="1">
      <c r="A390" t="inlineStr">
        <is>
          <t>A 14971-2023</t>
        </is>
      </c>
      <c r="B390" s="1" t="n">
        <v>45014</v>
      </c>
      <c r="C390" s="1" t="n">
        <v>45356</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45356</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45356</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45356</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45356</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45356</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45356</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45356</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45356</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45356</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45356</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45356</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45356</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45356</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45356</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45356</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45356</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45356</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45356</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45356</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45356</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45356</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45356</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45356</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45356</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45356</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51371-2023</t>
        </is>
      </c>
      <c r="B416" s="1" t="n">
        <v>45219</v>
      </c>
      <c r="C416" s="1" t="n">
        <v>45356</v>
      </c>
      <c r="D416" t="inlineStr">
        <is>
          <t>NORRBOTTENS LÄN</t>
        </is>
      </c>
      <c r="E416" t="inlineStr">
        <is>
          <t>PITEÅ</t>
        </is>
      </c>
      <c r="G416" t="n">
        <v>9.800000000000001</v>
      </c>
      <c r="H416" t="n">
        <v>2</v>
      </c>
      <c r="I416" t="n">
        <v>0</v>
      </c>
      <c r="J416" t="n">
        <v>0</v>
      </c>
      <c r="K416" t="n">
        <v>1</v>
      </c>
      <c r="L416" t="n">
        <v>0</v>
      </c>
      <c r="M416" t="n">
        <v>0</v>
      </c>
      <c r="N416" t="n">
        <v>0</v>
      </c>
      <c r="O416" t="n">
        <v>1</v>
      </c>
      <c r="P416" t="n">
        <v>1</v>
      </c>
      <c r="Q416" t="n">
        <v>2</v>
      </c>
      <c r="R416" s="2" t="inlineStr">
        <is>
          <t>Norna
Lopplummer</t>
        </is>
      </c>
      <c r="S416">
        <f>HYPERLINK("https://klasma.github.io/Logging_2581/artfynd/A 51371-2023 artfynd.xlsx", "A 51371-2023")</f>
        <v/>
      </c>
      <c r="T416">
        <f>HYPERLINK("https://klasma.github.io/Logging_2581/kartor/A 51371-2023 karta.png", "A 51371-2023")</f>
        <v/>
      </c>
      <c r="V416">
        <f>HYPERLINK("https://klasma.github.io/Logging_2581/klagomål/A 51371-2023 FSC-klagomål.docx", "A 51371-2023")</f>
        <v/>
      </c>
      <c r="W416">
        <f>HYPERLINK("https://klasma.github.io/Logging_2581/klagomålsmail/A 51371-2023 FSC-klagomål mail.docx", "A 51371-2023")</f>
        <v/>
      </c>
      <c r="X416">
        <f>HYPERLINK("https://klasma.github.io/Logging_2581/tillsyn/A 51371-2023 tillsynsbegäran.docx", "A 51371-2023")</f>
        <v/>
      </c>
      <c r="Y416">
        <f>HYPERLINK("https://klasma.github.io/Logging_2581/tillsynsmail/A 51371-2023 tillsynsbegäran mail.docx", "A 51371-2023")</f>
        <v/>
      </c>
    </row>
    <row r="417" ht="15" customHeight="1">
      <c r="A417" t="inlineStr">
        <is>
          <t>A 52399-2023</t>
        </is>
      </c>
      <c r="B417" s="1" t="n">
        <v>45224</v>
      </c>
      <c r="C417" s="1" t="n">
        <v>45356</v>
      </c>
      <c r="D417" t="inlineStr">
        <is>
          <t>NORRBOTTENS LÄN</t>
        </is>
      </c>
      <c r="E417" t="inlineStr">
        <is>
          <t>LULEÅ</t>
        </is>
      </c>
      <c r="F417" t="inlineStr">
        <is>
          <t>SCA</t>
        </is>
      </c>
      <c r="G417" t="n">
        <v>3</v>
      </c>
      <c r="H417" t="n">
        <v>0</v>
      </c>
      <c r="I417" t="n">
        <v>1</v>
      </c>
      <c r="J417" t="n">
        <v>1</v>
      </c>
      <c r="K417" t="n">
        <v>0</v>
      </c>
      <c r="L417" t="n">
        <v>0</v>
      </c>
      <c r="M417" t="n">
        <v>0</v>
      </c>
      <c r="N417" t="n">
        <v>0</v>
      </c>
      <c r="O417" t="n">
        <v>1</v>
      </c>
      <c r="P417" t="n">
        <v>0</v>
      </c>
      <c r="Q417" t="n">
        <v>2</v>
      </c>
      <c r="R417" s="2" t="inlineStr">
        <is>
          <t>Garnlav
Skinnlav</t>
        </is>
      </c>
      <c r="S417">
        <f>HYPERLINK("https://klasma.github.io/Logging_2580/artfynd/A 52399-2023 artfynd.xlsx", "A 52399-2023")</f>
        <v/>
      </c>
      <c r="T417">
        <f>HYPERLINK("https://klasma.github.io/Logging_2580/kartor/A 52399-2023 karta.png", "A 52399-2023")</f>
        <v/>
      </c>
      <c r="V417">
        <f>HYPERLINK("https://klasma.github.io/Logging_2580/klagomål/A 52399-2023 FSC-klagomål.docx", "A 52399-2023")</f>
        <v/>
      </c>
      <c r="W417">
        <f>HYPERLINK("https://klasma.github.io/Logging_2580/klagomålsmail/A 52399-2023 FSC-klagomål mail.docx", "A 52399-2023")</f>
        <v/>
      </c>
      <c r="X417">
        <f>HYPERLINK("https://klasma.github.io/Logging_2580/tillsyn/A 52399-2023 tillsynsbegäran.docx", "A 52399-2023")</f>
        <v/>
      </c>
      <c r="Y417">
        <f>HYPERLINK("https://klasma.github.io/Logging_2580/tillsynsmail/A 52399-2023 tillsynsbegäran mail.docx", "A 52399-2023")</f>
        <v/>
      </c>
    </row>
    <row r="418" ht="15" customHeight="1">
      <c r="A418" t="inlineStr">
        <is>
          <t>A 54371-2023</t>
        </is>
      </c>
      <c r="B418" s="1" t="n">
        <v>45233</v>
      </c>
      <c r="C418" s="1" t="n">
        <v>45356</v>
      </c>
      <c r="D418" t="inlineStr">
        <is>
          <t>NORRBOTTENS LÄN</t>
        </is>
      </c>
      <c r="E418" t="inlineStr">
        <is>
          <t>GÄLLIVARE</t>
        </is>
      </c>
      <c r="F418" t="inlineStr">
        <is>
          <t>Sveaskog</t>
        </is>
      </c>
      <c r="G418" t="n">
        <v>15</v>
      </c>
      <c r="H418" t="n">
        <v>0</v>
      </c>
      <c r="I418" t="n">
        <v>0</v>
      </c>
      <c r="J418" t="n">
        <v>2</v>
      </c>
      <c r="K418" t="n">
        <v>0</v>
      </c>
      <c r="L418" t="n">
        <v>0</v>
      </c>
      <c r="M418" t="n">
        <v>0</v>
      </c>
      <c r="N418" t="n">
        <v>0</v>
      </c>
      <c r="O418" t="n">
        <v>2</v>
      </c>
      <c r="P418" t="n">
        <v>0</v>
      </c>
      <c r="Q418" t="n">
        <v>2</v>
      </c>
      <c r="R418" s="2" t="inlineStr">
        <is>
          <t>Gammelgransskål
Vitgrynig nållav</t>
        </is>
      </c>
      <c r="S418">
        <f>HYPERLINK("https://klasma.github.io/Logging_2523/artfynd/A 54371-2023 artfynd.xlsx", "A 54371-2023")</f>
        <v/>
      </c>
      <c r="T418">
        <f>HYPERLINK("https://klasma.github.io/Logging_2523/kartor/A 54371-2023 karta.png", "A 54371-2023")</f>
        <v/>
      </c>
      <c r="V418">
        <f>HYPERLINK("https://klasma.github.io/Logging_2523/klagomål/A 54371-2023 FSC-klagomål.docx", "A 54371-2023")</f>
        <v/>
      </c>
      <c r="W418">
        <f>HYPERLINK("https://klasma.github.io/Logging_2523/klagomålsmail/A 54371-2023 FSC-klagomål mail.docx", "A 54371-2023")</f>
        <v/>
      </c>
      <c r="X418">
        <f>HYPERLINK("https://klasma.github.io/Logging_2523/tillsyn/A 54371-2023 tillsynsbegäran.docx", "A 54371-2023")</f>
        <v/>
      </c>
      <c r="Y418">
        <f>HYPERLINK("https://klasma.github.io/Logging_2523/tillsynsmail/A 54371-2023 tillsynsbegäran mail.docx", "A 54371-2023")</f>
        <v/>
      </c>
    </row>
    <row r="419" ht="15" customHeight="1">
      <c r="A419" t="inlineStr">
        <is>
          <t>A 55162-2023</t>
        </is>
      </c>
      <c r="B419" s="1" t="n">
        <v>45237</v>
      </c>
      <c r="C419" s="1" t="n">
        <v>45356</v>
      </c>
      <c r="D419" t="inlineStr">
        <is>
          <t>NORRBOTTENS LÄN</t>
        </is>
      </c>
      <c r="E419" t="inlineStr">
        <is>
          <t>PAJALA</t>
        </is>
      </c>
      <c r="F419" t="inlineStr">
        <is>
          <t>Sveaskog</t>
        </is>
      </c>
      <c r="G419" t="n">
        <v>7.1</v>
      </c>
      <c r="H419" t="n">
        <v>0</v>
      </c>
      <c r="I419" t="n">
        <v>0</v>
      </c>
      <c r="J419" t="n">
        <v>2</v>
      </c>
      <c r="K419" t="n">
        <v>0</v>
      </c>
      <c r="L419" t="n">
        <v>0</v>
      </c>
      <c r="M419" t="n">
        <v>0</v>
      </c>
      <c r="N419" t="n">
        <v>0</v>
      </c>
      <c r="O419" t="n">
        <v>2</v>
      </c>
      <c r="P419" t="n">
        <v>0</v>
      </c>
      <c r="Q419" t="n">
        <v>2</v>
      </c>
      <c r="R419" s="2" t="inlineStr">
        <is>
          <t>Knottrig blåslav
Lunglav</t>
        </is>
      </c>
      <c r="S419">
        <f>HYPERLINK("https://klasma.github.io/Logging_2521/artfynd/A 55162-2023 artfynd.xlsx", "A 55162-2023")</f>
        <v/>
      </c>
      <c r="T419">
        <f>HYPERLINK("https://klasma.github.io/Logging_2521/kartor/A 55162-2023 karta.png", "A 55162-2023")</f>
        <v/>
      </c>
      <c r="V419">
        <f>HYPERLINK("https://klasma.github.io/Logging_2521/klagomål/A 55162-2023 FSC-klagomål.docx", "A 55162-2023")</f>
        <v/>
      </c>
      <c r="W419">
        <f>HYPERLINK("https://klasma.github.io/Logging_2521/klagomålsmail/A 55162-2023 FSC-klagomål mail.docx", "A 55162-2023")</f>
        <v/>
      </c>
      <c r="X419">
        <f>HYPERLINK("https://klasma.github.io/Logging_2521/tillsyn/A 55162-2023 tillsynsbegäran.docx", "A 55162-2023")</f>
        <v/>
      </c>
      <c r="Y419">
        <f>HYPERLINK("https://klasma.github.io/Logging_2521/tillsynsmail/A 55162-2023 tillsynsbegäran mail.docx", "A 55162-2023")</f>
        <v/>
      </c>
    </row>
    <row r="420" ht="15" customHeight="1">
      <c r="A420" t="inlineStr">
        <is>
          <t>A 55908-2023</t>
        </is>
      </c>
      <c r="B420" s="1" t="n">
        <v>45239</v>
      </c>
      <c r="C420" s="1" t="n">
        <v>45356</v>
      </c>
      <c r="D420" t="inlineStr">
        <is>
          <t>NORRBOTTENS LÄN</t>
        </is>
      </c>
      <c r="E420" t="inlineStr">
        <is>
          <t>LULEÅ</t>
        </is>
      </c>
      <c r="G420" t="n">
        <v>39.7</v>
      </c>
      <c r="H420" t="n">
        <v>0</v>
      </c>
      <c r="I420" t="n">
        <v>1</v>
      </c>
      <c r="J420" t="n">
        <v>1</v>
      </c>
      <c r="K420" t="n">
        <v>0</v>
      </c>
      <c r="L420" t="n">
        <v>0</v>
      </c>
      <c r="M420" t="n">
        <v>0</v>
      </c>
      <c r="N420" t="n">
        <v>0</v>
      </c>
      <c r="O420" t="n">
        <v>1</v>
      </c>
      <c r="P420" t="n">
        <v>0</v>
      </c>
      <c r="Q420" t="n">
        <v>2</v>
      </c>
      <c r="R420" s="2" t="inlineStr">
        <is>
          <t>Harticka
Gräsull</t>
        </is>
      </c>
      <c r="S420">
        <f>HYPERLINK("https://klasma.github.io/Logging_2580/artfynd/A 55908-2023 artfynd.xlsx", "A 55908-2023")</f>
        <v/>
      </c>
      <c r="T420">
        <f>HYPERLINK("https://klasma.github.io/Logging_2580/kartor/A 55908-2023 karta.png", "A 55908-2023")</f>
        <v/>
      </c>
      <c r="V420">
        <f>HYPERLINK("https://klasma.github.io/Logging_2580/klagomål/A 55908-2023 FSC-klagomål.docx", "A 55908-2023")</f>
        <v/>
      </c>
      <c r="W420">
        <f>HYPERLINK("https://klasma.github.io/Logging_2580/klagomålsmail/A 55908-2023 FSC-klagomål mail.docx", "A 55908-2023")</f>
        <v/>
      </c>
      <c r="X420">
        <f>HYPERLINK("https://klasma.github.io/Logging_2580/tillsyn/A 55908-2023 tillsynsbegäran.docx", "A 55908-2023")</f>
        <v/>
      </c>
      <c r="Y420">
        <f>HYPERLINK("https://klasma.github.io/Logging_2580/tillsynsmail/A 55908-2023 tillsynsbegäran mail.docx", "A 55908-2023")</f>
        <v/>
      </c>
    </row>
    <row r="421" ht="15" customHeight="1">
      <c r="A421" t="inlineStr">
        <is>
          <t>A 56501-2023</t>
        </is>
      </c>
      <c r="B421" s="1" t="n">
        <v>45243</v>
      </c>
      <c r="C421" s="1" t="n">
        <v>45356</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58642-2023</t>
        </is>
      </c>
      <c r="B422" s="1" t="n">
        <v>45251</v>
      </c>
      <c r="C422" s="1" t="n">
        <v>45356</v>
      </c>
      <c r="D422" t="inlineStr">
        <is>
          <t>NORRBOTTENS LÄN</t>
        </is>
      </c>
      <c r="E422" t="inlineStr">
        <is>
          <t>GÄLLIVARE</t>
        </is>
      </c>
      <c r="F422" t="inlineStr">
        <is>
          <t>Sveaskog</t>
        </is>
      </c>
      <c r="G422" t="n">
        <v>20.3</v>
      </c>
      <c r="H422" t="n">
        <v>0</v>
      </c>
      <c r="I422" t="n">
        <v>0</v>
      </c>
      <c r="J422" t="n">
        <v>2</v>
      </c>
      <c r="K422" t="n">
        <v>0</v>
      </c>
      <c r="L422" t="n">
        <v>0</v>
      </c>
      <c r="M422" t="n">
        <v>0</v>
      </c>
      <c r="N422" t="n">
        <v>0</v>
      </c>
      <c r="O422" t="n">
        <v>2</v>
      </c>
      <c r="P422" t="n">
        <v>0</v>
      </c>
      <c r="Q422" t="n">
        <v>2</v>
      </c>
      <c r="R422" s="2" t="inlineStr">
        <is>
          <t>Blå taggsvamp
Vaddporing</t>
        </is>
      </c>
      <c r="S422">
        <f>HYPERLINK("https://klasma.github.io/Logging_2523/artfynd/A 58642-2023 artfynd.xlsx", "A 58642-2023")</f>
        <v/>
      </c>
      <c r="T422">
        <f>HYPERLINK("https://klasma.github.io/Logging_2523/kartor/A 58642-2023 karta.png", "A 58642-2023")</f>
        <v/>
      </c>
      <c r="V422">
        <f>HYPERLINK("https://klasma.github.io/Logging_2523/klagomål/A 58642-2023 FSC-klagomål.docx", "A 58642-2023")</f>
        <v/>
      </c>
      <c r="W422">
        <f>HYPERLINK("https://klasma.github.io/Logging_2523/klagomålsmail/A 58642-2023 FSC-klagomål mail.docx", "A 58642-2023")</f>
        <v/>
      </c>
      <c r="X422">
        <f>HYPERLINK("https://klasma.github.io/Logging_2523/tillsyn/A 58642-2023 tillsynsbegäran.docx", "A 58642-2023")</f>
        <v/>
      </c>
      <c r="Y422">
        <f>HYPERLINK("https://klasma.github.io/Logging_2523/tillsynsmail/A 58642-2023 tillsynsbegäran mail.docx", "A 58642-2023")</f>
        <v/>
      </c>
    </row>
    <row r="423" ht="15" customHeight="1">
      <c r="A423" t="inlineStr">
        <is>
          <t>A 59362-2023</t>
        </is>
      </c>
      <c r="B423" s="1" t="n">
        <v>45253</v>
      </c>
      <c r="C423" s="1" t="n">
        <v>45356</v>
      </c>
      <c r="D423" t="inlineStr">
        <is>
          <t>NORRBOTTENS LÄN</t>
        </is>
      </c>
      <c r="E423" t="inlineStr">
        <is>
          <t>LULEÅ</t>
        </is>
      </c>
      <c r="F423" t="inlineStr">
        <is>
          <t>Sveaskog</t>
        </is>
      </c>
      <c r="G423" t="n">
        <v>3.1</v>
      </c>
      <c r="H423" t="n">
        <v>0</v>
      </c>
      <c r="I423" t="n">
        <v>1</v>
      </c>
      <c r="J423" t="n">
        <v>1</v>
      </c>
      <c r="K423" t="n">
        <v>0</v>
      </c>
      <c r="L423" t="n">
        <v>0</v>
      </c>
      <c r="M423" t="n">
        <v>0</v>
      </c>
      <c r="N423" t="n">
        <v>0</v>
      </c>
      <c r="O423" t="n">
        <v>1</v>
      </c>
      <c r="P423" t="n">
        <v>0</v>
      </c>
      <c r="Q423" t="n">
        <v>2</v>
      </c>
      <c r="R423" s="2" t="inlineStr">
        <is>
          <t>Stiftgelélav
Stor aspticka</t>
        </is>
      </c>
      <c r="S423">
        <f>HYPERLINK("https://klasma.github.io/Logging_2580/artfynd/A 59362-2023 artfynd.xlsx", "A 59362-2023")</f>
        <v/>
      </c>
      <c r="T423">
        <f>HYPERLINK("https://klasma.github.io/Logging_2580/kartor/A 59362-2023 karta.png", "A 59362-2023")</f>
        <v/>
      </c>
      <c r="V423">
        <f>HYPERLINK("https://klasma.github.io/Logging_2580/klagomål/A 59362-2023 FSC-klagomål.docx", "A 59362-2023")</f>
        <v/>
      </c>
      <c r="W423">
        <f>HYPERLINK("https://klasma.github.io/Logging_2580/klagomålsmail/A 59362-2023 FSC-klagomål mail.docx", "A 59362-2023")</f>
        <v/>
      </c>
      <c r="X423">
        <f>HYPERLINK("https://klasma.github.io/Logging_2580/tillsyn/A 59362-2023 tillsynsbegäran.docx", "A 59362-2023")</f>
        <v/>
      </c>
      <c r="Y423">
        <f>HYPERLINK("https://klasma.github.io/Logging_2580/tillsynsmail/A 59362-2023 tillsynsbegäran mail.docx", "A 59362-2023")</f>
        <v/>
      </c>
    </row>
    <row r="424" ht="15" customHeight="1">
      <c r="A424" t="inlineStr">
        <is>
          <t>A 61841-2023</t>
        </is>
      </c>
      <c r="B424" s="1" t="n">
        <v>45266</v>
      </c>
      <c r="C424" s="1" t="n">
        <v>45356</v>
      </c>
      <c r="D424" t="inlineStr">
        <is>
          <t>NORRBOTTENS LÄN</t>
        </is>
      </c>
      <c r="E424" t="inlineStr">
        <is>
          <t>ÖVERTORNEÅ</t>
        </is>
      </c>
      <c r="G424" t="n">
        <v>4.7</v>
      </c>
      <c r="H424" t="n">
        <v>0</v>
      </c>
      <c r="I424" t="n">
        <v>0</v>
      </c>
      <c r="J424" t="n">
        <v>2</v>
      </c>
      <c r="K424" t="n">
        <v>0</v>
      </c>
      <c r="L424" t="n">
        <v>0</v>
      </c>
      <c r="M424" t="n">
        <v>0</v>
      </c>
      <c r="N424" t="n">
        <v>0</v>
      </c>
      <c r="O424" t="n">
        <v>2</v>
      </c>
      <c r="P424" t="n">
        <v>0</v>
      </c>
      <c r="Q424" t="n">
        <v>2</v>
      </c>
      <c r="R424" s="2" t="inlineStr">
        <is>
          <t>Garnlav
Granticka</t>
        </is>
      </c>
      <c r="S424">
        <f>HYPERLINK("https://klasma.github.io/Logging_2518/artfynd/A 61841-2023 artfynd.xlsx", "A 61841-2023")</f>
        <v/>
      </c>
      <c r="T424">
        <f>HYPERLINK("https://klasma.github.io/Logging_2518/kartor/A 61841-2023 karta.png", "A 61841-2023")</f>
        <v/>
      </c>
      <c r="V424">
        <f>HYPERLINK("https://klasma.github.io/Logging_2518/klagomål/A 61841-2023 FSC-klagomål.docx", "A 61841-2023")</f>
        <v/>
      </c>
      <c r="W424">
        <f>HYPERLINK("https://klasma.github.io/Logging_2518/klagomålsmail/A 61841-2023 FSC-klagomål mail.docx", "A 61841-2023")</f>
        <v/>
      </c>
      <c r="X424">
        <f>HYPERLINK("https://klasma.github.io/Logging_2518/tillsyn/A 61841-2023 tillsynsbegäran.docx", "A 61841-2023")</f>
        <v/>
      </c>
      <c r="Y424">
        <f>HYPERLINK("https://klasma.github.io/Logging_2518/tillsynsmail/A 61841-2023 tillsynsbegäran mail.docx", "A 61841-2023")</f>
        <v/>
      </c>
    </row>
    <row r="425" ht="15" customHeight="1">
      <c r="A425" t="inlineStr">
        <is>
          <t>A 62199-2023</t>
        </is>
      </c>
      <c r="B425" s="1" t="n">
        <v>45267</v>
      </c>
      <c r="C425" s="1" t="n">
        <v>45356</v>
      </c>
      <c r="D425" t="inlineStr">
        <is>
          <t>NORRBOTTENS LÄN</t>
        </is>
      </c>
      <c r="E425" t="inlineStr">
        <is>
          <t>ÖVERTORNEÅ</t>
        </is>
      </c>
      <c r="G425" t="n">
        <v>3.6</v>
      </c>
      <c r="H425" t="n">
        <v>1</v>
      </c>
      <c r="I425" t="n">
        <v>0</v>
      </c>
      <c r="J425" t="n">
        <v>2</v>
      </c>
      <c r="K425" t="n">
        <v>0</v>
      </c>
      <c r="L425" t="n">
        <v>0</v>
      </c>
      <c r="M425" t="n">
        <v>0</v>
      </c>
      <c r="N425" t="n">
        <v>0</v>
      </c>
      <c r="O425" t="n">
        <v>2</v>
      </c>
      <c r="P425" t="n">
        <v>0</v>
      </c>
      <c r="Q425" t="n">
        <v>2</v>
      </c>
      <c r="R425" s="2" t="inlineStr">
        <is>
          <t>Garnlav
Spillkråka</t>
        </is>
      </c>
      <c r="S425">
        <f>HYPERLINK("https://klasma.github.io/Logging_2518/artfynd/A 62199-2023 artfynd.xlsx", "A 62199-2023")</f>
        <v/>
      </c>
      <c r="T425">
        <f>HYPERLINK("https://klasma.github.io/Logging_2518/kartor/A 62199-2023 karta.png", "A 62199-2023")</f>
        <v/>
      </c>
      <c r="V425">
        <f>HYPERLINK("https://klasma.github.io/Logging_2518/klagomål/A 62199-2023 FSC-klagomål.docx", "A 62199-2023")</f>
        <v/>
      </c>
      <c r="W425">
        <f>HYPERLINK("https://klasma.github.io/Logging_2518/klagomålsmail/A 62199-2023 FSC-klagomål mail.docx", "A 62199-2023")</f>
        <v/>
      </c>
      <c r="X425">
        <f>HYPERLINK("https://klasma.github.io/Logging_2518/tillsyn/A 62199-2023 tillsynsbegäran.docx", "A 62199-2023")</f>
        <v/>
      </c>
      <c r="Y425">
        <f>HYPERLINK("https://klasma.github.io/Logging_2518/tillsynsmail/A 62199-2023 tillsynsbegäran mail.docx", "A 62199-2023")</f>
        <v/>
      </c>
      <c r="Z425">
        <f>HYPERLINK("https://klasma.github.io/Logging_2518/fåglar/A 62199-2023 prioriterade fågelarter.docx", "A 62199-2023")</f>
        <v/>
      </c>
    </row>
    <row r="426" ht="15" customHeight="1">
      <c r="A426" t="inlineStr">
        <is>
          <t>A 63835-2023</t>
        </is>
      </c>
      <c r="B426" s="1" t="n">
        <v>45278</v>
      </c>
      <c r="C426" s="1" t="n">
        <v>45356</v>
      </c>
      <c r="D426" t="inlineStr">
        <is>
          <t>NORRBOTTENS LÄN</t>
        </is>
      </c>
      <c r="E426" t="inlineStr">
        <is>
          <t>ARVIDSJAUR</t>
        </is>
      </c>
      <c r="F426" t="inlineStr">
        <is>
          <t>Sveaskog</t>
        </is>
      </c>
      <c r="G426" t="n">
        <v>3.8</v>
      </c>
      <c r="H426" t="n">
        <v>2</v>
      </c>
      <c r="I426" t="n">
        <v>0</v>
      </c>
      <c r="J426" t="n">
        <v>1</v>
      </c>
      <c r="K426" t="n">
        <v>0</v>
      </c>
      <c r="L426" t="n">
        <v>0</v>
      </c>
      <c r="M426" t="n">
        <v>0</v>
      </c>
      <c r="N426" t="n">
        <v>0</v>
      </c>
      <c r="O426" t="n">
        <v>1</v>
      </c>
      <c r="P426" t="n">
        <v>0</v>
      </c>
      <c r="Q426" t="n">
        <v>2</v>
      </c>
      <c r="R426" s="2" t="inlineStr">
        <is>
          <t>Tretåig hackspett
Lavskrika</t>
        </is>
      </c>
      <c r="S426">
        <f>HYPERLINK("https://klasma.github.io/Logging_2505/artfynd/A 63835-2023 artfynd.xlsx", "A 63835-2023")</f>
        <v/>
      </c>
      <c r="T426">
        <f>HYPERLINK("https://klasma.github.io/Logging_2505/kartor/A 63835-2023 karta.png", "A 63835-2023")</f>
        <v/>
      </c>
      <c r="V426">
        <f>HYPERLINK("https://klasma.github.io/Logging_2505/klagomål/A 63835-2023 FSC-klagomål.docx", "A 63835-2023")</f>
        <v/>
      </c>
      <c r="W426">
        <f>HYPERLINK("https://klasma.github.io/Logging_2505/klagomålsmail/A 63835-2023 FSC-klagomål mail.docx", "A 63835-2023")</f>
        <v/>
      </c>
      <c r="X426">
        <f>HYPERLINK("https://klasma.github.io/Logging_2505/tillsyn/A 63835-2023 tillsynsbegäran.docx", "A 63835-2023")</f>
        <v/>
      </c>
      <c r="Y426">
        <f>HYPERLINK("https://klasma.github.io/Logging_2505/tillsynsmail/A 63835-2023 tillsynsbegäran mail.docx", "A 63835-2023")</f>
        <v/>
      </c>
      <c r="Z426">
        <f>HYPERLINK("https://klasma.github.io/Logging_2505/fåglar/A 63835-2023 prioriterade fågelarter.docx", "A 63835-2023")</f>
        <v/>
      </c>
    </row>
    <row r="427" ht="15" customHeight="1">
      <c r="A427" t="inlineStr">
        <is>
          <t>A 64829-2023</t>
        </is>
      </c>
      <c r="B427" s="1" t="n">
        <v>45281</v>
      </c>
      <c r="C427" s="1" t="n">
        <v>45356</v>
      </c>
      <c r="D427" t="inlineStr">
        <is>
          <t>NORRBOTTENS LÄN</t>
        </is>
      </c>
      <c r="E427" t="inlineStr">
        <is>
          <t>KIRUNA</t>
        </is>
      </c>
      <c r="G427" t="n">
        <v>31.7</v>
      </c>
      <c r="H427" t="n">
        <v>1</v>
      </c>
      <c r="I427" t="n">
        <v>0</v>
      </c>
      <c r="J427" t="n">
        <v>1</v>
      </c>
      <c r="K427" t="n">
        <v>0</v>
      </c>
      <c r="L427" t="n">
        <v>0</v>
      </c>
      <c r="M427" t="n">
        <v>0</v>
      </c>
      <c r="N427" t="n">
        <v>0</v>
      </c>
      <c r="O427" t="n">
        <v>1</v>
      </c>
      <c r="P427" t="n">
        <v>0</v>
      </c>
      <c r="Q427" t="n">
        <v>2</v>
      </c>
      <c r="R427" s="2" t="inlineStr">
        <is>
          <t>Månlåsbräken
Mattlummer</t>
        </is>
      </c>
      <c r="S427">
        <f>HYPERLINK("https://klasma.github.io/Logging_2584/artfynd/A 64829-2023 artfynd.xlsx", "A 64829-2023")</f>
        <v/>
      </c>
      <c r="T427">
        <f>HYPERLINK("https://klasma.github.io/Logging_2584/kartor/A 64829-2023 karta.png", "A 64829-2023")</f>
        <v/>
      </c>
      <c r="V427">
        <f>HYPERLINK("https://klasma.github.io/Logging_2584/klagomål/A 64829-2023 FSC-klagomål.docx", "A 64829-2023")</f>
        <v/>
      </c>
      <c r="W427">
        <f>HYPERLINK("https://klasma.github.io/Logging_2584/klagomålsmail/A 64829-2023 FSC-klagomål mail.docx", "A 64829-2023")</f>
        <v/>
      </c>
      <c r="X427">
        <f>HYPERLINK("https://klasma.github.io/Logging_2584/tillsyn/A 64829-2023 tillsynsbegäran.docx", "A 64829-2023")</f>
        <v/>
      </c>
      <c r="Y427">
        <f>HYPERLINK("https://klasma.github.io/Logging_2584/tillsynsmail/A 64829-2023 tillsynsbegäran mail.docx", "A 64829-2023")</f>
        <v/>
      </c>
    </row>
    <row r="428" ht="15" customHeight="1">
      <c r="A428" t="inlineStr">
        <is>
          <t>A 101-2024</t>
        </is>
      </c>
      <c r="B428" s="1" t="n">
        <v>45293</v>
      </c>
      <c r="C428" s="1" t="n">
        <v>45356</v>
      </c>
      <c r="D428" t="inlineStr">
        <is>
          <t>NORRBOTTENS LÄN</t>
        </is>
      </c>
      <c r="E428" t="inlineStr">
        <is>
          <t>PITEÅ</t>
        </is>
      </c>
      <c r="G428" t="n">
        <v>4.7</v>
      </c>
      <c r="H428" t="n">
        <v>1</v>
      </c>
      <c r="I428" t="n">
        <v>2</v>
      </c>
      <c r="J428" t="n">
        <v>0</v>
      </c>
      <c r="K428" t="n">
        <v>0</v>
      </c>
      <c r="L428" t="n">
        <v>0</v>
      </c>
      <c r="M428" t="n">
        <v>0</v>
      </c>
      <c r="N428" t="n">
        <v>0</v>
      </c>
      <c r="O428" t="n">
        <v>0</v>
      </c>
      <c r="P428" t="n">
        <v>0</v>
      </c>
      <c r="Q428" t="n">
        <v>2</v>
      </c>
      <c r="R428" s="2" t="inlineStr">
        <is>
          <t>Plattlummer
Vedticka</t>
        </is>
      </c>
      <c r="S428">
        <f>HYPERLINK("https://klasma.github.io/Logging_2581/artfynd/A 101-2024 artfynd.xlsx", "A 101-2024")</f>
        <v/>
      </c>
      <c r="T428">
        <f>HYPERLINK("https://klasma.github.io/Logging_2581/kartor/A 101-2024 karta.png", "A 101-2024")</f>
        <v/>
      </c>
      <c r="V428">
        <f>HYPERLINK("https://klasma.github.io/Logging_2581/klagomål/A 101-2024 FSC-klagomål.docx", "A 101-2024")</f>
        <v/>
      </c>
      <c r="W428">
        <f>HYPERLINK("https://klasma.github.io/Logging_2581/klagomålsmail/A 101-2024 FSC-klagomål mail.docx", "A 101-2024")</f>
        <v/>
      </c>
      <c r="X428">
        <f>HYPERLINK("https://klasma.github.io/Logging_2581/tillsyn/A 101-2024 tillsynsbegäran.docx", "A 101-2024")</f>
        <v/>
      </c>
      <c r="Y428">
        <f>HYPERLINK("https://klasma.github.io/Logging_2581/tillsynsmail/A 101-2024 tillsynsbegäran mail.docx", "A 101-2024")</f>
        <v/>
      </c>
    </row>
    <row r="429" ht="15" customHeight="1">
      <c r="A429" t="inlineStr">
        <is>
          <t>A 569-2024</t>
        </is>
      </c>
      <c r="B429" s="1" t="n">
        <v>45299</v>
      </c>
      <c r="C429" s="1" t="n">
        <v>45356</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45356</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45356</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45356</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45356</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45356</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45356</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45356</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45356</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45356</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45356</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45356</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45356</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45356</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45356</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45356</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45356</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45356</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45356</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45356</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45356</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45356</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45356</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45356</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45356</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45356</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45356</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45356</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45356</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45356</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45356</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45356</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45356</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45356</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45356</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45356</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45356</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45356</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45356</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45356</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45356</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45356</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45356</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45356</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45356</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45356</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45356</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45356</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45356</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45356</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45356</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45356</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45356</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45356</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45356</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45356</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45356</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45356</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45356</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45356</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45356</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45356</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45356</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45356</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45356</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45356</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45356</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45356</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45356</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45356</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45356</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45356</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45356</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45356</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45356</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45356</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45356</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45356</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45356</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45356</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45356</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45356</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45356</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45356</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45356</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45356</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45356</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45356</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45356</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45356</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45356</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45356</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45356</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45356</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45356</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45356</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45356</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45356</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45356</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45356</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45356</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45356</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45356</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45356</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45356</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45356</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45356</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45356</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45356</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45356</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45356</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45356</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45356</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45356</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45356</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45356</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45356</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45356</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45356</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45356</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45356</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45356</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45356</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45356</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45356</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45356</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45356</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45356</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45356</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45356</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45356</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45356</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45356</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45356</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45356</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45356</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45356</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45356</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45356</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45356</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45356</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45356</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45356</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45356</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45356</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45356</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45356</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45356</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45356</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45356</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45356</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45356</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45356</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45356</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45356</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45356</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45356</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45356</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45356</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45356</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45356</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45356</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45356</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45356</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45356</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45356</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45356</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45356</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45356</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45356</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45356</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45356</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45356</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45356</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45356</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45356</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45356</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45356</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45356</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45356</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45356</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45356</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45356</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45356</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45356</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45356</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45356</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45356</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45356</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45356</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45356</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45356</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45356</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45356</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45356</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45356</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45356</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45356</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45356</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45356</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45356</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45356</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45356</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45356</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45356</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45356</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45356</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45356</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45356</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45356</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45356</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45356</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45356</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45356</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45356</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45356</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45356</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45356</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45356</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45356</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45356</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45356</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45356</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45356</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45356</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45356</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45356</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45356</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45356</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45356</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45356</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45356</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45356</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45356</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45356</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45356</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45356</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45356</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45356</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45356</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45356</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45356</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45356</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45356</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45356</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45356</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45356</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45356</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45356</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45356</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45356</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45356</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45356</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45356</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45356</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45356</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45356</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45356</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45356</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45356</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45356</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45356</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45356</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45356</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45356</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45356</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45356</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45356</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45356</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45356</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45356</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45356</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45356</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45356</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45356</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45356</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45356</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45356</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45356</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45356</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45356</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45356</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45356</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45356</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45356</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45356</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45356</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45356</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45356</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45356</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45356</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45356</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45356</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45356</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45356</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45356</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45356</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45356</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45356</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45356</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45356</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45356</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45356</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45356</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45356</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45356</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45356</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45356</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45356</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45356</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45356</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45356</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45356</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45356</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45356</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45356</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45356</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45356</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45356</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45356</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45356</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45356</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45356</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45356</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45356</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45356</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45356</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45356</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45356</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45356</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45356</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45356</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45356</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45356</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45356</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45356</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45356</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45356</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45356</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45356</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45356</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45356</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45356</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45356</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45356</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45356</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45356</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45356</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45356</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45356</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45356</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45356</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45356</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45356</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45356</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45356</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45356</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45356</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45356</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45356</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45356</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45356</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45356</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45356</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45356</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45356</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45356</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45356</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45356</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45356</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45356</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45356</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45356</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45356</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45356</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45356</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45356</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45356</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45356</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45356</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45356</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45356</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45356</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45356</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45356</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45356</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45356</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45356</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45356</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45356</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45356</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45356</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45356</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45356</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45356</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45356</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45356</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45356</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45356</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45356</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45356</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45356</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45356</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45356</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45356</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45356</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45356</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45356</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45356</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45356</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45356</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45356</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45356</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45356</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45356</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45356</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45356</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45356</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45356</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45356</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45356</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45356</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45356</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45356</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45356</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45356</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45356</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45356</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45356</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45356</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45356</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45356</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45356</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45356</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45356</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45356</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45356</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45356</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45356</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45356</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45356</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45356</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45356</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45356</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45356</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45356</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45356</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45356</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45356</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45356</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45356</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45356</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45356</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45356</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45356</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45356</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45356</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45356</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45356</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45356</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45356</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45356</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45356</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45356</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45356</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45356</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45356</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45356</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45356</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45356</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45356</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45356</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45356</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45356</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45356</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45356</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45356</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45356</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45356</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45356</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45356</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45356</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45356</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45356</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45356</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45356</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45356</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45356</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45356</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45356</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45356</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45356</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45356</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45356</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45356</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45356</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45356</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45356</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45356</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45356</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45356</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45356</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45356</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45356</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45356</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45356</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45356</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45356</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45356</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45356</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45356</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45356</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45356</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45356</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45356</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45356</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45356</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45356</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45356</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45356</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45356</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45356</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45356</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45356</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45356</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45356</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45356</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45356</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45356</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45356</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45356</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45356</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45356</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45356</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45356</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45356</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45356</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45356</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45356</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45356</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45356</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45356</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45356</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45356</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45356</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45356</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45356</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45356</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45356</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45356</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45356</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45356</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45356</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45356</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45356</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45356</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45356</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45356</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45356</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45356</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45356</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45356</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45356</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45356</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45356</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45356</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45356</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45356</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45356</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45356</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45356</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45356</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45356</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45356</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45356</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45356</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45356</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45356</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45356</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45356</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45356</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45356</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45356</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45356</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45356</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45356</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45356</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45356</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45356</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45356</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45356</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45356</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45356</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45356</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45356</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45356</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45356</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45356</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45356</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45356</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45356</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45356</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45356</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45356</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45356</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45356</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45356</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45356</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45356</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45356</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45356</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45356</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45356</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45356</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45356</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45356</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45356</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45356</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45356</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45356</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45356</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45356</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45356</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45356</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45356</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45356</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45356</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45356</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45356</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45356</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45356</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45356</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45356</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45356</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45356</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45356</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45356</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45356</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45356</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45356</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45356</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45356</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45356</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45356</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45356</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45356</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45356</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45356</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45356</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45356</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45356</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45356</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45356</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45356</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45356</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45356</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45356</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45356</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45356</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45356</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45356</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45356</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45356</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45356</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45356</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45356</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45356</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45356</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45356</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45356</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45356</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45356</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45356</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45356</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45356</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45356</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45356</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45356</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45356</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45356</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45356</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45356</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45356</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45356</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45356</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45356</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45356</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45356</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45356</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45356</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45356</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45356</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45356</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45356</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45356</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45356</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45356</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45356</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45356</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45356</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45356</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45356</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45356</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45356</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45356</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45356</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45356</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45356</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45356</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45356</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45356</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45356</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45356</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45356</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45356</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45356</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45356</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45356</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45356</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45356</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45356</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45356</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45356</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45356</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45356</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45356</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45356</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45356</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45356</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45356</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45356</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45356</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45356</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45356</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45356</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45356</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45356</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45356</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45356</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45356</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45356</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45356</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45356</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45356</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45356</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45356</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45356</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45356</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45356</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45356</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45356</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45356</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45356</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45356</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45356</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45356</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45356</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45356</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45356</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45356</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45356</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45356</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45356</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45356</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45356</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45356</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45356</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45356</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45356</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45356</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45356</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45356</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45356</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45356</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45356</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45356</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45356</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45356</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45356</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45356</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45356</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45356</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45356</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45356</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45356</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45356</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45356</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45356</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45356</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45356</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45356</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45356</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45356</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45356</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45356</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45356</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45356</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45356</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45356</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45356</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45356</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45356</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45356</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45356</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45356</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45356</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45356</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45356</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45356</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45356</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45356</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45356</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45356</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45356</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45356</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45356</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45356</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45356</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45356</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45356</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45356</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45356</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45356</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45356</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45356</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45356</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45356</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45356</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45356</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45356</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45356</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45356</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45356</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45356</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45356</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45356</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45356</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45356</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45356</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45356</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45356</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45356</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45356</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45356</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45356</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45356</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45356</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45356</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45356</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45356</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45356</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45356</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45356</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45356</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45356</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45356</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45356</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45356</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45356</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45356</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45356</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45356</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45356</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45356</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45356</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45356</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45356</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45356</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45356</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45356</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45356</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45356</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45356</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45356</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45356</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45356</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45356</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45356</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45356</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45356</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45356</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45356</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45356</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45356</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45356</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45356</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45356</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45356</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45356</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45356</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45356</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45356</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45356</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45356</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45356</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45356</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45356</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45356</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45356</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45356</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45356</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45356</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45356</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45356</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45356</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45356</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45356</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45356</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45356</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45356</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45356</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45356</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45356</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45356</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45356</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45356</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45356</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45356</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45356</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45356</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45356</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45356</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45356</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45356</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45356</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45356</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45356</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45356</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45356</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45356</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45356</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45356</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45356</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45356</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45356</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45356</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45356</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45356</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45356</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45356</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45356</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45356</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45356</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45356</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45356</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45356</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45356</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45356</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45356</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45356</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45356</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45356</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45356</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45356</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45356</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45356</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45356</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45356</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45356</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45356</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45356</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45356</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45356</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45356</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45356</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45356</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45356</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45356</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45356</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45356</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45356</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45356</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45356</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45356</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45356</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45356</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45356</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45356</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45356</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45356</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45356</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45356</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45356</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45356</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45356</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45356</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45356</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45356</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45356</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45356</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45356</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45356</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45356</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45356</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45356</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45356</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45356</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45356</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45356</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45356</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45356</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45356</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45356</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45356</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45356</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45356</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45356</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45356</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45356</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45356</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45356</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45356</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45356</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45356</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45356</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45356</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45356</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45356</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45356</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45356</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45356</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45356</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45356</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45356</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45356</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45356</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45356</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45356</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45356</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45356</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45356</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45356</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45356</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45356</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45356</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45356</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45356</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45356</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45356</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45356</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45356</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45356</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45356</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45356</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45356</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45356</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45356</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45356</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45356</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45356</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45356</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45356</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45356</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45356</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45356</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45356</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45356</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45356</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45356</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45356</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45356</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45356</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45356</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45356</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45356</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45356</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45356</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45356</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45356</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45356</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45356</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45356</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45356</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45356</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45356</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45356</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45356</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45356</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45356</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45356</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45356</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45356</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45356</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45356</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45356</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45356</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45356</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45356</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45356</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45356</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45356</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45356</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45356</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45356</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45356</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45356</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45356</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45356</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45356</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45356</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45356</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45356</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45356</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45356</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45356</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45356</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45356</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45356</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45356</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45356</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45356</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45356</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45356</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45356</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45356</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45356</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45356</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45356</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45356</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45356</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45356</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45356</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45356</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45356</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45356</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45356</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45356</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45356</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45356</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45356</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45356</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45356</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45356</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45356</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45356</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45356</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45356</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45356</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45356</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45356</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45356</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45356</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45356</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45356</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45356</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45356</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45356</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45356</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45356</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45356</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45356</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45356</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45356</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45356</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45356</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45356</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45356</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45356</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45356</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45356</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45356</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45356</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45356</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45356</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45356</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45356</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45356</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45356</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45356</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45356</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45356</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45356</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45356</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45356</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45356</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45356</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45356</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45356</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45356</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45356</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45356</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45356</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45356</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45356</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45356</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45356</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45356</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45356</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45356</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45356</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45356</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45356</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45356</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45356</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45356</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45356</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45356</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45356</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45356</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45356</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45356</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45356</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45356</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45356</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45356</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45356</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45356</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45356</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45356</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45356</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45356</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45356</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45356</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45356</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45356</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45356</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45356</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45356</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45356</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45356</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45356</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45356</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45356</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45356</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45356</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45356</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45356</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45356</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45356</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45356</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45356</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45356</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45356</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45356</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45356</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45356</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45356</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45356</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45356</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45356</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45356</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45356</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45356</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45356</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45356</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45356</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45356</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45356</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45356</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45356</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45356</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45356</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45356</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45356</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45356</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45356</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45356</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45356</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45356</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45356</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45356</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45356</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45356</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45356</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45356</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45356</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45356</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45356</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45356</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45356</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45356</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45356</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45356</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45356</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45356</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45356</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45356</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45356</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45356</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45356</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45356</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45356</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45356</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45356</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45356</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45356</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45356</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45356</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45356</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45356</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45356</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45356</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45356</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45356</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45356</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45356</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45356</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45356</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45356</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45356</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45356</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45356</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45356</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45356</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45356</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45356</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45356</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45356</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45356</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45356</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45356</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45356</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45356</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45356</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45356</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45356</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45356</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45356</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45356</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45356</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45356</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45356</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45356</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45356</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45356</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45356</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45356</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45356</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45356</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45356</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45356</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45356</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45356</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45356</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45356</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45356</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45356</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45356</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45356</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45356</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45356</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45356</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45356</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45356</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45356</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45356</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45356</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45356</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45356</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45356</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45356</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45356</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45356</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45356</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45356</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45356</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45356</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45356</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45356</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45356</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45356</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45356</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45356</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45356</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45356</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45356</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45356</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45356</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45356</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45356</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45356</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45356</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45356</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45356</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45356</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45356</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45356</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45356</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45356</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45356</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45356</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45356</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45356</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45356</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45356</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45356</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45356</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45356</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45356</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45356</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45356</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45356</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45356</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45356</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45356</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45356</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45356</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45356</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45356</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45356</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45356</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45356</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45356</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45356</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45356</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45356</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45356</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45356</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45356</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45356</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45356</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45356</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45356</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45356</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45356</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45356</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45356</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45356</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45356</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45356</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45356</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45356</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45356</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45356</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45356</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45356</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45356</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45356</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45356</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45356</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45356</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45356</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45356</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45356</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45356</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45356</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45356</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45356</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45356</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45356</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45356</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45356</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45356</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45356</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45356</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45356</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45356</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45356</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45356</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45356</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45356</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45356</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45356</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45356</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45356</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45356</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45356</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45356</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45356</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45356</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45356</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45356</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45356</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45356</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45356</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45356</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45356</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45356</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45356</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45356</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45356</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45356</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45356</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45356</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45356</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45356</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45356</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45356</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45356</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45356</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45356</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45356</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45356</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45356</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45356</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45356</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45356</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45356</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45356</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45356</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45356</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45356</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45356</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45356</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45356</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45356</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45356</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45356</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45356</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45356</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45356</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45356</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45356</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45356</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45356</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45356</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45356</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45356</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45356</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45356</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45356</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45356</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45356</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45356</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45356</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45356</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45356</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45356</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45356</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45356</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45356</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45356</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45356</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45356</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45356</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45356</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45356</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45356</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45356</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45356</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45356</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45356</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45356</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45356</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45356</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45356</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45356</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45356</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45356</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45356</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45356</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45356</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45356</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45356</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45356</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45356</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45356</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45356</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45356</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45356</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45356</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45356</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45356</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45356</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45356</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45356</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45356</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45356</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45356</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45356</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45356</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45356</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45356</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45356</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45356</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45356</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45356</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45356</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45356</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45356</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45356</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45356</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45356</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45356</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45356</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45356</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45356</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45356</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45356</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45356</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45356</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45356</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45356</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45356</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45356</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45356</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45356</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45356</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45356</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45356</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45356</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45356</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45356</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45356</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45356</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45356</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45356</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45356</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45356</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45356</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45356</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45356</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45356</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45356</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45356</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45356</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45356</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45356</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45356</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45356</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45356</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45356</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45356</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45356</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45356</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45356</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45356</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45356</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45356</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45356</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45356</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45356</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45356</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45356</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45356</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45356</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45356</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45356</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45356</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45356</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45356</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45356</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45356</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45356</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45356</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45356</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45356</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45356</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45356</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45356</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45356</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45356</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45356</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45356</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45356</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45356</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45356</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45356</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45356</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45356</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45356</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45356</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45356</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45356</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45356</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45356</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45356</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45356</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45356</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45356</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45356</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45356</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45356</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45356</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45356</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45356</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45356</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45356</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45356</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45356</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45356</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45356</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45356</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45356</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45356</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45356</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45356</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45356</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45356</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45356</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45356</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45356</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45356</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45356</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45356</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45356</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45356</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45356</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45356</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45356</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45356</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45356</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45356</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45356</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45356</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45356</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45356</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45356</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45356</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45356</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45356</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45356</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45356</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45356</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45356</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45356</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45356</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45356</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45356</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45356</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45356</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45356</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45356</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45356</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45356</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45356</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45356</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45356</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45356</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45356</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45356</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45356</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45356</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45356</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45356</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45356</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45356</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45356</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45356</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45356</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45356</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45356</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45356</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45356</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45356</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45356</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45356</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45356</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45356</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45356</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45356</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45356</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45356</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45356</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45356</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45356</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45356</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45356</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45356</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45356</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45356</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45356</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45356</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45356</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45356</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45356</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45356</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45356</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45356</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45356</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45356</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45356</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45356</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45356</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45356</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45356</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45356</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45356</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45356</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45356</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45356</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45356</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45356</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45356</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45356</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45356</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45356</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45356</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45356</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45356</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45356</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45356</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45356</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45356</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45356</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45356</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45356</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45356</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45356</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45356</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45356</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45356</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45356</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45356</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45356</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45356</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45356</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45356</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45356</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45356</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45356</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45356</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45356</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45356</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45356</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45356</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45356</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45356</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45356</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45356</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45356</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45356</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45356</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45356</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45356</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45356</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45356</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45356</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45356</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45356</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45356</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45356</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45356</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45356</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45356</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45356</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45356</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45356</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45356</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45356</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45356</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45356</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45356</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45356</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45356</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45356</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45356</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45356</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45356</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45356</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45356</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45356</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45356</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45356</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45356</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45356</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45356</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45356</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45356</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45356</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45356</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45356</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45356</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45356</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45356</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45356</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45356</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45356</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45356</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45356</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45356</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45356</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45356</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45356</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45356</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45356</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45356</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45356</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45356</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45356</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45356</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45356</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45356</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45356</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45356</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45356</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45356</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45356</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45356</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45356</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45356</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45356</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45356</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45356</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45356</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45356</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45356</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45356</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45356</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45356</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45356</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45356</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45356</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45356</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45356</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45356</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45356</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45356</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45356</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45356</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45356</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45356</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45356</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45356</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45356</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45356</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45356</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45356</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45356</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45356</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45356</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45356</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45356</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45356</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45356</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45356</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45356</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45356</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45356</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45356</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45356</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45356</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45356</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45356</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45356</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45356</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45356</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45356</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45356</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45356</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45356</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45356</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45356</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45356</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45356</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45356</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45356</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45356</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45356</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45356</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45356</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45356</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45356</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45356</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45356</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45356</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45356</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45356</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45356</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45356</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45356</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45356</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45356</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45356</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45356</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45356</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45356</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45356</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45356</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45356</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45356</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45356</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45356</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45356</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45356</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45356</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45356</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45356</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45356</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45356</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45356</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45356</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45356</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45356</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45356</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45356</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45356</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45356</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45356</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45356</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45356</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45356</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45356</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45356</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45356</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45356</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45356</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45356</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45356</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45356</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45356</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45356</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45356</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45356</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45356</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45356</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45356</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45356</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45356</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45356</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45356</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45356</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45356</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45356</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45356</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45356</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45356</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45356</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45356</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45356</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45356</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45356</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45356</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45356</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45356</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45356</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45356</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45356</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45356</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45356</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45356</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45356</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45356</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45356</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45356</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45356</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45356</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45356</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45356</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45356</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45356</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45356</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45356</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45356</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45356</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45356</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45356</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45356</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45356</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45356</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45356</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45356</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45356</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45356</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45356</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45356</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45356</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45356</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45356</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45356</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45356</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45356</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45356</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45356</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45356</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45356</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45356</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45356</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45356</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45356</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45356</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45356</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45356</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45356</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45356</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45356</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45356</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45356</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45356</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45356</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45356</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45356</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45356</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45356</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45356</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45356</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45356</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45356</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45356</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45356</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45356</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45356</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45356</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45356</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45356</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45356</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45356</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45356</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45356</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45356</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45356</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45356</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45356</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45356</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45356</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45356</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45356</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45356</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45356</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45356</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45356</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45356</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45356</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45356</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45356</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45356</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45356</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45356</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45356</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45356</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45356</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45356</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45356</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45356</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45356</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45356</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45356</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45356</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45356</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45356</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45356</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45356</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45356</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45356</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45356</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45356</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45356</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45356</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45356</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45356</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45356</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45356</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45356</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45356</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45356</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45356</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45356</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45356</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45356</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45356</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45356</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45356</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45356</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45356</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45356</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45356</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45356</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45356</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45356</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45356</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45356</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45356</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45356</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45356</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45356</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45356</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45356</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45356</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45356</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45356</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45356</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45356</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45356</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45356</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45356</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45356</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45356</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45356</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45356</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45356</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45356</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45356</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45356</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45356</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45356</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45356</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45356</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45356</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45356</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45356</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45356</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45356</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45356</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45356</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45356</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45356</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45356</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45356</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45356</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45356</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45356</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45356</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45356</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45356</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45356</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45356</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45356</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45356</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45356</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45356</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45356</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45356</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45356</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45356</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45356</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45356</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45356</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45356</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45356</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45356</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45356</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45356</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45356</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45356</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45356</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45356</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45356</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45356</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45356</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45356</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45356</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45356</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45356</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45356</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45356</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45356</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45356</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45356</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45356</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45356</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45356</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45356</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45356</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45356</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45356</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45356</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45356</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45356</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45356</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45356</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45356</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45356</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45356</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45356</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45356</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45356</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45356</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45356</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45356</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45356</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45356</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45356</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45356</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45356</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45356</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45356</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45356</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45356</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45356</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45356</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45356</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45356</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45356</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45356</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45356</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45356</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45356</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45356</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45356</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45356</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45356</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45356</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45356</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45356</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45356</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45356</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45356</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45356</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45356</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45356</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45356</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45356</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45356</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45356</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45356</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45356</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45356</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45356</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45356</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45356</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45356</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45356</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45356</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45356</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45356</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45356</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45356</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45356</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45356</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45356</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45356</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45356</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45356</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45356</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45356</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45356</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45356</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45356</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45356</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45356</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45356</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45356</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45356</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45356</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45356</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45356</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45356</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45356</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45356</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45356</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45356</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45356</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45356</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45356</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45356</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45356</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45356</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45356</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45356</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45356</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45356</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45356</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45356</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45356</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45356</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45356</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45356</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45356</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45356</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45356</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45356</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45356</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45356</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45356</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45356</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45356</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45356</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45356</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45356</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45356</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45356</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45356</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45356</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45356</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45356</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45356</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45356</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45356</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45356</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45356</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45356</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45356</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45356</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45356</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45356</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45356</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45356</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45356</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45356</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45356</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45356</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45356</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45356</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45356</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45356</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45356</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45356</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45356</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45356</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45356</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45356</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45356</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45356</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45356</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45356</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45356</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45356</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45356</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45356</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45356</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45356</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45356</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45356</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45356</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45356</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45356</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45356</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45356</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45356</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45356</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45356</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45356</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45356</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45356</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45356</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45356</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45356</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45356</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45356</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45356</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45356</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45356</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45356</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45356</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45356</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45356</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45356</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45356</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45356</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45356</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45356</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45356</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45356</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45356</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45356</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45356</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45356</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45356</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45356</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45356</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45356</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45356</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45356</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45356</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45356</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45356</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45356</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45356</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45356</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45356</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45356</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45356</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45356</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45356</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45356</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45356</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45356</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45356</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45356</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45356</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45356</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45356</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45356</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45356</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45356</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45356</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45356</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45356</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45356</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45356</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45356</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45356</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45356</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45356</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45356</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45356</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45356</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45356</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45356</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45356</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45356</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45356</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45356</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45356</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45356</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45356</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45356</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45356</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45356</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45356</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45356</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45356</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45356</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45356</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45356</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45356</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45356</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45356</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45356</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45356</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45356</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45356</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45356</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45356</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45356</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45356</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45356</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45356</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45356</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45356</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45356</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45356</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45356</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45356</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45356</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45356</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45356</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45356</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45356</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45356</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45356</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45356</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45356</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45356</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45356</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45356</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45356</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45356</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45356</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45356</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45356</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45356</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45356</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45356</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45356</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45356</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45356</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45356</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45356</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45356</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45356</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45356</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45356</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45356</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45356</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45356</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45356</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45356</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45356</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45356</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45356</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45356</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45356</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45356</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45356</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45356</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45356</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45356</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45356</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45356</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45356</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45356</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45356</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45356</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45356</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45356</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45356</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45356</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45356</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45356</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45356</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45356</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45356</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45356</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45356</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45356</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45356</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45356</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45356</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45356</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45356</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45356</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45356</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45356</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45356</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45356</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45356</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45356</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45356</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45356</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45356</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45356</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45356</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45356</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45356</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45356</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45356</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45356</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45356</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45356</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45356</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45356</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45356</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45356</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45356</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45356</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45356</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45356</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45356</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45356</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45356</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45356</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45356</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45356</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45356</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45356</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45356</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45356</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45356</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45356</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45356</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45356</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45356</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45356</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45356</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45356</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45356</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45356</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45356</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45356</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45356</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45356</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45356</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45356</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45356</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45356</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45356</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45356</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45356</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45356</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45356</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45356</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45356</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45356</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45356</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45356</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45356</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45356</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45356</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45356</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45356</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45356</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45356</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45356</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45356</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45356</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45356</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45356</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45356</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45356</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45356</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45356</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45356</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45356</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45356</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45356</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45356</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45356</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45356</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45356</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45356</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45356</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45356</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45356</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45356</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45356</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45356</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45356</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45356</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45356</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45356</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45356</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45356</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45356</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45356</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45356</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45356</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45356</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45356</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45356</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45356</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45356</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45356</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45356</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45356</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45356</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45356</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45356</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45356</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45356</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45356</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45356</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45356</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45356</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45356</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45356</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45356</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45356</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45356</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45356</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45356</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45356</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45356</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45356</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45356</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45356</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45356</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45356</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45356</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45356</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45356</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45356</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45356</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45356</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45356</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45356</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45356</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45356</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45356</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45356</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45356</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45356</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45356</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45356</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45356</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45356</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45356</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45356</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45356</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45356</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45356</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45356</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45356</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45356</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45356</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45356</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45356</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45356</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45356</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45356</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45356</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45356</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45356</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45356</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45356</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45356</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45356</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45356</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45356</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45356</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45356</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45356</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45356</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45356</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45356</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45356</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45356</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45356</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45356</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45356</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45356</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45356</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45356</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45356</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45356</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45356</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45356</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45356</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45356</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45356</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45356</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45356</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45356</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45356</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45356</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45356</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45356</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45356</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45356</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45356</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45356</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45356</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45356</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45356</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45356</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45356</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45356</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45356</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45356</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45356</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45356</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45356</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45356</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45356</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45356</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45356</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45356</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45356</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45356</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45356</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45356</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45356</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45356</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45356</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45356</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45356</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45356</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45356</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45356</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45356</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45356</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45356</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45356</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45356</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45356</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45356</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45356</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45356</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45356</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45356</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45356</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45356</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45356</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45356</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45356</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45356</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45356</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45356</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45356</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45356</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45356</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45356</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45356</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45356</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45356</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45356</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45356</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45356</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45356</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45356</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45356</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45356</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45356</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45356</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45356</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45356</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45356</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45356</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45356</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45356</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45356</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45356</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45356</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45356</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45356</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45356</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45356</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45356</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45356</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45356</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45356</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45356</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45356</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45356</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45356</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45356</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45356</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45356</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45356</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45356</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45356</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45356</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45356</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45356</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45356</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45356</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45356</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45356</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45356</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45356</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45356</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45356</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45356</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45356</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45356</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45356</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45356</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45356</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45356</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45356</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45356</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45356</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45356</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45356</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45356</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45356</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45356</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45356</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45356</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45356</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45356</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45356</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45356</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45356</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45356</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45356</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45356</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45356</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45356</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45356</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45356</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45356</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45356</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45356</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45356</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45356</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45356</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45356</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45356</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45356</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45356</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45356</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45356</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45356</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45356</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45356</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45356</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45356</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45356</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45356</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45356</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45356</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45356</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45356</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45356</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45356</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45356</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45356</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45356</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45356</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45356</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45356</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45356</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45356</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45356</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45356</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45356</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45356</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45356</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45356</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45356</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45356</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45356</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45356</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45356</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45356</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45356</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45356</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45356</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45356</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45356</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45356</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45356</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45356</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45356</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45356</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45356</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45356</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45356</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45356</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45356</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45356</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45356</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45356</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45356</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45356</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45356</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45356</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45356</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45356</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45356</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45356</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45356</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45356</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45356</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45356</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45356</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45356</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45356</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45356</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45356</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45356</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45356</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45356</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45356</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45356</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45356</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45356</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45356</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45356</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45356</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45356</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45356</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45356</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45356</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45356</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45356</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45356</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45356</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45356</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45356</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45356</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45356</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45356</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45356</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45356</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45356</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45356</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45356</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45356</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45356</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45356</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45356</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45356</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45356</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45356</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45356</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45356</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45356</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45356</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45356</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45356</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45356</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45356</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45356</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45356</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45356</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45356</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45356</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45356</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45356</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45356</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45356</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45356</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45356</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45356</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45356</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45356</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45356</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45356</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45356</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45356</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45356</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45356</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45356</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45356</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45356</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45356</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45356</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45356</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45356</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45356</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45356</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45356</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45356</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45356</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45356</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45356</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45356</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45356</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45356</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45356</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45356</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45356</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45356</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45356</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45356</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45356</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45356</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45356</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45356</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45356</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45356</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45356</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45356</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45356</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45356</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45356</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45356</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45356</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45356</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45356</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45356</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45356</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45356</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45356</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45356</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45356</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45356</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45356</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45356</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45356</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45356</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45356</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45356</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45356</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45356</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45356</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45356</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45356</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45356</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45356</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45356</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45356</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45356</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45356</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45356</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45356</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45356</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45356</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45356</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45356</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45356</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45356</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45356</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45356</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45356</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45356</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45356</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45356</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45356</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45356</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45356</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45356</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45356</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45356</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45356</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45356</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45356</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45356</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45356</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45356</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45356</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45356</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45356</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45356</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45356</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45356</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45356</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45356</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45356</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45356</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45356</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45356</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45356</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45356</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45356</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45356</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45356</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45356</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45356</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45356</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45356</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45356</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45356</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45356</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45356</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45356</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45356</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45356</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45356</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45356</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45356</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45356</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45356</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45356</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45356</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45356</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45356</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45356</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45356</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45356</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45356</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45356</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45356</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45356</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45356</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45356</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45356</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45356</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45356</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45356</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45356</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45356</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45356</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45356</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45356</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45356</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45356</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45356</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45356</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45356</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45356</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45356</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45356</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45356</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45356</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45356</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45356</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45356</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45356</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45356</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45356</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45356</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45356</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45356</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45356</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45356</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45356</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45356</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45356</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45356</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45356</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45356</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45356</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45356</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45356</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45356</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45356</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45356</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45356</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45356</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45356</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45356</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45356</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45356</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45356</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45356</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45356</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45356</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45356</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45356</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45356</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45356</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45356</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45356</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45356</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45356</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45356</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45356</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45356</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45356</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45356</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45356</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45356</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45356</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45356</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45356</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45356</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45356</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45356</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45356</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45356</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45356</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45356</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45356</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45356</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45356</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45356</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45356</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45356</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45356</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45356</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45356</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45356</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45356</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45356</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45356</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45356</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45356</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45356</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45356</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45356</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45356</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45356</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45356</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45356</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45356</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45356</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45356</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45356</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45356</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45356</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45356</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45356</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45356</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45356</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45356</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45356</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45356</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45356</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45356</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45356</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45356</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45356</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45356</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45356</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45356</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45356</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45356</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45356</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45356</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45356</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45356</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45356</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45356</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45356</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45356</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45356</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45356</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45356</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45356</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45356</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45356</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45356</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45356</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45356</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45356</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45356</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45356</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45356</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45356</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45356</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45356</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45356</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45356</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45356</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45356</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45356</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45356</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45356</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45356</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45356</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45356</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45356</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45356</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45356</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45356</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45356</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45356</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45356</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45356</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45356</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45356</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45356</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45356</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45356</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45356</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45356</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45356</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45356</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45356</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45356</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45356</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45356</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45356</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45356</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45356</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45356</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45356</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45356</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45356</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45356</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45356</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45356</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45356</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45356</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45356</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45356</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45356</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45356</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45356</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45356</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45356</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45356</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45356</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45356</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45356</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45356</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45356</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45356</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45356</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45356</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45356</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45356</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45356</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45356</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45356</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45356</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45356</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45356</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45356</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45356</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45356</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45356</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45356</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45356</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45356</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45356</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45356</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45356</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45356</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45356</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45356</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45356</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45356</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45356</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45356</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45356</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45356</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45356</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45356</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45356</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45356</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45356</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45356</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45356</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45356</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45356</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45356</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45356</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45356</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45356</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45356</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45356</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45356</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45356</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45356</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45356</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45356</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45356</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45356</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45356</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45356</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45356</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45356</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45356</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45356</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45356</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45356</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45356</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45356</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45356</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45356</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45356</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45356</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45356</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45356</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45356</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45356</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45356</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45356</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45356</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45356</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45356</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45356</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45356</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45356</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45356</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45356</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45356</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45356</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45356</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45356</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45356</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45356</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45356</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45356</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45356</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45356</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45356</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45356</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45356</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45356</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45356</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45356</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45356</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45356</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45356</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45356</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45356</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45356</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45356</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45356</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45356</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45356</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45356</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45356</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45356</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45356</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45356</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45356</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45356</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45356</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45356</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45356</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45356</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45356</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45356</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45356</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45356</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45356</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45356</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45356</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45356</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45356</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45356</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45356</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45356</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45356</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45356</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45356</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45356</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45356</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45356</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45356</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45356</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45356</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45356</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45356</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45356</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45356</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45356</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45356</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45356</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45356</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45356</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45356</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45356</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45356</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45356</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45356</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45356</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45356</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45356</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45356</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45356</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45356</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45356</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45356</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45356</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45356</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45356</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45356</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45356</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45356</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45356</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45356</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45356</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45356</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45356</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45356</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45356</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45356</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45356</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45356</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45356</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45356</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45356</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45356</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45356</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45356</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45356</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45356</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45356</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45356</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45356</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45356</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45356</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45356</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45356</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45356</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45356</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45356</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45356</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45356</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45356</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45356</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45356</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45356</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45356</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45356</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45356</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45356</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45356</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45356</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45356</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45356</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45356</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45356</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45356</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45356</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45356</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45356</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45356</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45356</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45356</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45356</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45356</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45356</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45356</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45356</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45356</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45356</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45356</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45356</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45356</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45356</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45356</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45356</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45356</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45356</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45356</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45356</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45356</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45356</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45356</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45356</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45356</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45356</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45356</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45356</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45356</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45356</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45356</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45356</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45356</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45356</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45356</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45356</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45356</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45356</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45356</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45356</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45356</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45356</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45356</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45356</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45356</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45356</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45356</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45356</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45356</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45356</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45356</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45356</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45356</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45356</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45356</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45356</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45356</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45356</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45356</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45356</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45356</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45356</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45356</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45356</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45356</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45356</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45356</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45356</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45356</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45356</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45356</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45356</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45356</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45356</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45356</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45356</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45356</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45356</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45356</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45356</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45356</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45356</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45356</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45356</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45356</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45356</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45356</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45356</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45356</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45356</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45356</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45356</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45356</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45356</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45356</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45356</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45356</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45356</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45356</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45356</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45356</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45356</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45356</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45356</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45356</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45356</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45356</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45356</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45356</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45356</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45356</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45356</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45356</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45356</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45356</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45356</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45356</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45356</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45356</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45356</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45356</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45356</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45356</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45356</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45356</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45356</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45356</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45356</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45356</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45356</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45356</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45356</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45356</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45356</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45356</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45356</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45356</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45356</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45356</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45356</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45356</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45356</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45356</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45356</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45356</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45356</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45356</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45356</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45356</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45356</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45356</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45356</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45356</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45356</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45356</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45356</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45356</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45356</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45356</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45356</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45356</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45356</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45356</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45356</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45356</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45356</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45356</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45356</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45356</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45356</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45356</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45356</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45356</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45356</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45356</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45356</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45356</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45356</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45356</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45356</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45356</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45356</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45356</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45356</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45356</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45356</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45356</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45356</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45356</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45356</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45356</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45356</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45356</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45356</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45356</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45356</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45356</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45356</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45356</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45356</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45356</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45356</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45356</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45356</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45356</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45356</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45356</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45356</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45356</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45356</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45356</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45356</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45356</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45356</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45356</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45356</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45356</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45356</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45356</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45356</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45356</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45356</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45356</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45356</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45356</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45356</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45356</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45356</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45356</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45356</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45356</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45356</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45356</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45356</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45356</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45356</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45356</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45356</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45356</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45356</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45356</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45356</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45356</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45356</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45356</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45356</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45356</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45356</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45356</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45356</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45356</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45356</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45356</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45356</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45356</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45356</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45356</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45356</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45356</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45356</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45356</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45356</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45356</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45356</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45356</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45356</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45356</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45356</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45356</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45356</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45356</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45356</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45356</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45356</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45356</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45356</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45356</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45356</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45356</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45356</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45356</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45356</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45356</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45356</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45356</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45356</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45356</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45356</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45356</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45356</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45356</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45356</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45356</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45356</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45356</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45356</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45356</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45356</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45356</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45356</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45356</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45356</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45356</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45356</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45356</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45356</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45356</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45356</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45356</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45356</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45356</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45356</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45356</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45356</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45356</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45356</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45356</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45356</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45356</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45356</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45356</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45356</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45356</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45356</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45356</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45356</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45356</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45356</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45356</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45356</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45356</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45356</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45356</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45356</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45356</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45356</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45356</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45356</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45356</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45356</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45356</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45356</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45356</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45356</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45356</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45356</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45356</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45356</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45356</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45356</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45356</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45356</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45356</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45356</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45356</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45356</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45356</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45356</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45356</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45356</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45356</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45356</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45356</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45356</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45356</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45356</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45356</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45356</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45356</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45356</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45356</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45356</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45356</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45356</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45356</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45356</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45356</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45356</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45356</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45356</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45356</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45356</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45356</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45356</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45356</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45356</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45356</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45356</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45356</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45356</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45356</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45356</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45356</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45356</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45356</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45356</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45356</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45356</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45356</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45356</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45356</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45356</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45356</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45356</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45356</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45356</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45356</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45356</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45356</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45356</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45356</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45356</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45356</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45356</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45356</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45356</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45356</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45356</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45356</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45356</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45356</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45356</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45356</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45356</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45356</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45356</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45356</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45356</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45356</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45356</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45356</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45356</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45356</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45356</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45356</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45356</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45356</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45356</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45356</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45356</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45356</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45356</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45356</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45356</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45356</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45356</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45356</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45356</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45356</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45356</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45356</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45356</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45356</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45356</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45356</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45356</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45356</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45356</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45356</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45356</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45356</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45356</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45356</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45356</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45356</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45356</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45356</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45356</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45356</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45356</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45356</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45356</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45356</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45356</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45356</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45356</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45356</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45356</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45356</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45356</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45356</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45356</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45356</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45356</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45356</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45356</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45356</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45356</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45356</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45356</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45356</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45356</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45356</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45356</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45356</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45356</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45356</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45356</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45356</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45356</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45356</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45356</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45356</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45356</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45356</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45356</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45356</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45356</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45356</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45356</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45356</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45356</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45356</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45356</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45356</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45356</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45356</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45356</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45356</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45356</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45356</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45356</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45356</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45356</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45356</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45356</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45356</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45356</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45356</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45356</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45356</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45356</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45356</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45356</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45356</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45356</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45356</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45356</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45356</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45356</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45356</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45356</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45356</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45356</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45356</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45356</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45356</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45356</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45356</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45356</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45356</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45356</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45356</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45356</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45356</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45356</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45356</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45356</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45356</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45356</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45356</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45356</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45356</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45356</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45356</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45356</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45356</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45356</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45356</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45356</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45356</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45356</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45356</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45356</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45356</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45356</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45356</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45356</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45356</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45356</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45356</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45356</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45356</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45356</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45356</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45356</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45356</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45356</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45356</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45356</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45356</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45356</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45356</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45356</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45356</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45356</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45356</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45356</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45356</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45356</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45356</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45356</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45356</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45356</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45356</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45356</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45356</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45356</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45356</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45356</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45356</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45356</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45356</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45356</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45356</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45356</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45356</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45356</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45356</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45356</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45356</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45356</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45356</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45356</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45356</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45356</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45356</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45356</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45356</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45356</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45356</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45356</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45356</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45356</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45356</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45356</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45356</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45356</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45356</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45356</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45356</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45356</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45356</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45356</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45356</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45356</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45356</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45356</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45356</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45356</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45356</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45356</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45356</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45356</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45356</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45356</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45356</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45356</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45356</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45356</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45356</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45356</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45356</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45356</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45356</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45356</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45356</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45356</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45356</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45356</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45356</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45356</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45356</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45356</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45356</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45356</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45356</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45356</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45356</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45356</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45356</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45356</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45356</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45356</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45356</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45356</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45356</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45356</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45356</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45356</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45356</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45356</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45356</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45356</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45356</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45356</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45356</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45356</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45356</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45356</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45356</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45356</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45356</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45356</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45356</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45356</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45356</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45356</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45356</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45356</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45356</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45356</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45356</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45356</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45356</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45356</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45356</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45356</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45356</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45356</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45356</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45356</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45356</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45356</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45356</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45356</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45356</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45356</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45356</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45356</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45356</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45356</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45356</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45356</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45356</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45356</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45356</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45356</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45356</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45356</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45356</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45356</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45356</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45356</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45356</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45356</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45356</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45356</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45356</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45356</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45356</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45356</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45356</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45356</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45356</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45356</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45356</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45356</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45356</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45356</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45356</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45356</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45356</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45356</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45356</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45356</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45356</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45356</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45356</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45356</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45356</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45356</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45356</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45356</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45356</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45356</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45356</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45356</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45356</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45356</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45356</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45356</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45356</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45356</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45356</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45356</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45356</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45356</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45356</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45356</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45356</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45356</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45356</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45356</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45356</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45356</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45356</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45356</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45356</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45356</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45356</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45356</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45356</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45356</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45356</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45356</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45356</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45356</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45356</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45356</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45356</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45356</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45356</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45356</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45356</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45356</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45356</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45356</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45356</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45356</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45356</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45356</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45356</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45356</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45356</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45356</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45356</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45356</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45356</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45356</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45356</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45356</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45356</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45356</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45356</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45356</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45356</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45356</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45356</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45356</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45356</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45356</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45356</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45356</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45356</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45356</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45356</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45356</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45356</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45356</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45356</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45356</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45356</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45356</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45356</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45356</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45356</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45356</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45356</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45356</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45356</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45356</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45356</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45356</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45356</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45356</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45356</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45356</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45356</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45356</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45356</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45356</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45356</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45356</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45356</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45356</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45356</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45356</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45356</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45356</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45356</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45356</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45356</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45356</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45356</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45356</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45356</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45356</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45356</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45356</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45356</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45356</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45356</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45356</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45356</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45356</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45356</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45356</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45356</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45356</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45356</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45356</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45356</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45356</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45356</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45356</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45356</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45356</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45356</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45356</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45356</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45356</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45356</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45356</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45356</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45356</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45356</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45356</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45356</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45356</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45356</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45356</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45356</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45356</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45356</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45356</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45356</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45356</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45356</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45356</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45356</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45356</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45356</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45356</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45356</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45356</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45356</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45356</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45356</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45356</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45356</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45356</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45356</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45356</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45356</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45356</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45356</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45356</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45356</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45356</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45356</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45356</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45356</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45356</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45356</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45356</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45356</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45356</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45356</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45356</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45356</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45356</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45356</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45356</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45356</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45356</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45356</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45356</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45356</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45356</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45356</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45356</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45356</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45356</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45356</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45356</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45356</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45356</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45356</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45356</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45356</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45356</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45356</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45356</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45356</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45356</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45356</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45356</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45356</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45356</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45356</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45356</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45356</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45356</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45356</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45356</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45356</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45356</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45356</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45356</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45356</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45356</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45356</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45356</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45356</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45356</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45356</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45356</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45356</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45356</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45356</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45356</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45356</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45356</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45356</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45356</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45356</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45356</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45356</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45356</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45356</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45356</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45356</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45356</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45356</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45356</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45356</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45356</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45356</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45356</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45356</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45356</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45356</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45356</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45356</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45356</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45356</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45356</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45356</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45356</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45356</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45356</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45356</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45356</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45356</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45356</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45356</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45356</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45356</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45356</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45356</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45356</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45356</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45356</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45356</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45356</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45356</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45356</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45356</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45356</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45356</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45356</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45356</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45356</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45356</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45356</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45356</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45356</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45356</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45356</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45356</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45356</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45356</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45356</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45356</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45356</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45356</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45356</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45356</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45356</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45356</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45356</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45356</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45356</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45356</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45356</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45356</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45356</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45356</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45356</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45356</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45356</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45356</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45356</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45356</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45356</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45356</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45356</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45356</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45356</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45356</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45356</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45356</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45356</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45356</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45356</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45356</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45356</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45356</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45356</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45356</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45356</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45356</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45356</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45356</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45356</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45356</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45356</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45356</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45356</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45356</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45356</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45356</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45356</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45356</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45356</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45356</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45356</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45356</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45356</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45356</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45356</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45356</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45356</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45356</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45356</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45356</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45356</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45356</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45356</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45356</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45356</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45356</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45356</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45356</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45356</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45356</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45356</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45356</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45356</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45356</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45356</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45356</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45356</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45356</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45356</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45356</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45356</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45356</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45356</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45356</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45356</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45356</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45356</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45356</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45356</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45356</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45356</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45356</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45356</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45356</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45356</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45356</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45356</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45356</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45356</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45356</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45356</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45356</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45356</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45356</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45356</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45356</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45356</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45356</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45356</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45356</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45356</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45356</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45356</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45356</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45356</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45356</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45356</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45356</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45356</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45356</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45356</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45356</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45356</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45356</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45356</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45356</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45356</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45356</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45356</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45356</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45356</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45356</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45356</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45356</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45356</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45356</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45356</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45356</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45356</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45356</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45356</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45356</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45356</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45356</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45356</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45356</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45356</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45356</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45356</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45356</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45356</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45356</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45356</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45356</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45356</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45356</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45356</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45356</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45356</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45356</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45356</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45356</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45356</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45356</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45356</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45356</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45356</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45356</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45356</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45356</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45356</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45356</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45356</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45356</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45356</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45356</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45356</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45356</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45356</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45356</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45356</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45356</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45356</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45356</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45356</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45356</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45356</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45356</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45356</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45356</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45356</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45356</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45356</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45356</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45356</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45356</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45356</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45356</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45356</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45356</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45356</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45356</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45356</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45356</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45356</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45356</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45356</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45356</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45356</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45356</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45356</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45356</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45356</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45356</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45356</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45356</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45356</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45356</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45356</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45356</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45356</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45356</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45356</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45356</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45356</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45356</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45356</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45356</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45356</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45356</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45356</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45356</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45356</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45356</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45356</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45356</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45356</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45356</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45356</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45356</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45356</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45356</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45356</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45356</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45356</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45356</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45356</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45356</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45356</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45356</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45356</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45356</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45356</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45356</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45356</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45356</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45356</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45356</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45356</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45356</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45356</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45356</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45356</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45356</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45356</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45356</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45356</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45356</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45356</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45356</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45356</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45356</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45356</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45356</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45356</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45356</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45356</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45356</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45356</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45356</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45356</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45356</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45356</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45356</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45356</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45356</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45356</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45356</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45356</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45356</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45356</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45356</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45356</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45356</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45356</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45356</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45356</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45356</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45356</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45356</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45356</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45356</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45356</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45356</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45356</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45356</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45356</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45356</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45356</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45356</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45356</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45356</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45356</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45356</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45356</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45356</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45356</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45356</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45356</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45356</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45356</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45356</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45356</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45356</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45356</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45356</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45356</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45356</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45356</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45356</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45356</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45356</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45356</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45356</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45356</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45356</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45356</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45356</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45356</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45356</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45356</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45356</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45356</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45356</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45356</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45356</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45356</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45356</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45356</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45356</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45356</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45356</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45356</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45356</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45356</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45356</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45356</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45356</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45356</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45356</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45356</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45356</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45356</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45356</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45356</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45356</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45356</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45356</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45356</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45356</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45356</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45356</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45356</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45356</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45356</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45356</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45356</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45356</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45356</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45356</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45356</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45356</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45356</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45356</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45356</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45356</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45356</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45356</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45356</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45356</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45356</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45356</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45356</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45356</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45356</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45356</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45356</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45356</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45356</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45356</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45356</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45356</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45356</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45356</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45356</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45356</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45356</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45356</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45356</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45356</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45356</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45356</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45356</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45356</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45356</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45356</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45356</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45356</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45356</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45356</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45356</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45356</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45356</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45356</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45356</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45356</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45356</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45356</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45356</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45356</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45356</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45356</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45356</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45356</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45356</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45356</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45356</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45356</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45356</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45356</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45356</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45356</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45356</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45356</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45356</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45356</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45356</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45356</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45356</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45356</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45356</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45356</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45356</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45356</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45356</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45356</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45356</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45356</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45356</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45356</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45356</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45356</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45356</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45356</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45356</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45356</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45356</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45356</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45356</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45356</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45356</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45356</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45356</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45356</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45356</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45356</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45356</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45356</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45356</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45356</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45356</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45356</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45356</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45356</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45356</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45356</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45356</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45356</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45356</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45356</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45356</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45356</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45356</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45356</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45356</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45356</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45356</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45356</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45356</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45356</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45356</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45356</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45356</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45356</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45356</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45356</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45356</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45356</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45356</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45356</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45356</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45356</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45356</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45356</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45356</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45356</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45356</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45356</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45356</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45356</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45356</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45356</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45356</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45356</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45356</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45356</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45356</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45356</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45356</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45356</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45356</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45356</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45356</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45356</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45356</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45356</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45356</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45356</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45356</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45356</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45356</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45356</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45356</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45356</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45356</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45356</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45356</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45356</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45356</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45356</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45356</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45356</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45356</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45356</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45356</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45356</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45356</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45356</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45356</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45356</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45356</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45356</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45356</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45356</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45356</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45356</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45356</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45356</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45356</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45356</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45356</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45356</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45356</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45356</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45356</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45356</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45356</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45356</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45356</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45356</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45356</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45356</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45356</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45356</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45356</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45356</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45356</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45356</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45356</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45356</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45356</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45356</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45356</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45356</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45356</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45356</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45356</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45356</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45356</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45356</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45356</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45356</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45356</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45356</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45356</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45356</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45356</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45356</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45356</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45356</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45356</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45356</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45356</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45356</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45356</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45356</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45356</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45356</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45356</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45356</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45356</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45356</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45356</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45356</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45356</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45356</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45356</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45356</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45356</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45356</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45356</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45356</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45356</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45356</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45356</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45356</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45356</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45356</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45356</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45356</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45356</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45356</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45356</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45356</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45356</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45356</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45356</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45356</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45356</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45356</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45356</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45356</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45356</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45356</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45356</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45356</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45356</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45356</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45356</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45356</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45356</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45356</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45356</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45356</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45356</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45356</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45356</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45356</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45356</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45356</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45356</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45356</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45356</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45356</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45356</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45356</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45356</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45356</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45356</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45356</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45356</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45356</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45356</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45356</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45356</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45356</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45356</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45356</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45356</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45356</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45356</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45356</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45356</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45356</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45356</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45356</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45356</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45356</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45356</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45356</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45356</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45356</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45356</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45356</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45356</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45356</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45356</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45356</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45356</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45356</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45356</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45356</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45356</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45356</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45356</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45356</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45356</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45356</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45356</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45356</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45356</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45356</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45356</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45356</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45356</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45356</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45356</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45356</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45356</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45356</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45356</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45356</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45356</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45356</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45356</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45356</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45356</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45356</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45356</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45356</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45356</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45356</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45356</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45356</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45356</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45356</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45356</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45356</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45356</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45356</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45356</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45356</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45356</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45356</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45356</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45356</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45356</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45356</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45356</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45356</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45356</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45356</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45356</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45356</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45356</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45356</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45356</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45356</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45356</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45356</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45356</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45356</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45356</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45356</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45356</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45356</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45356</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45356</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45356</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45356</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45356</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45356</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45356</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45356</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45356</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45356</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45356</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45356</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45356</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45356</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45356</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45356</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45356</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45356</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45356</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45356</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45356</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45356</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45356</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45356</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45356</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45356</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45356</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45356</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45356</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45356</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45356</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45356</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45356</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45356</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45356</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45356</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45356</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45356</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45356</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45356</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45356</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45356</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45356</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45356</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45356</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45356</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45356</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45356</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45356</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45356</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45356</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45356</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45356</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45356</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45356</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45356</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45356</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45356</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45356</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45356</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45356</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45356</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45356</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45356</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45356</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45356</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45356</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45356</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45356</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45356</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45356</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45356</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45356</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45356</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45356</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45356</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45356</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45356</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45356</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45356</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45356</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45356</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45356</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45356</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45356</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45356</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45356</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45356</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45356</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45356</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45356</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45356</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45356</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45356</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45356</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45356</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45356</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45356</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45356</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45356</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45356</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45356</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45356</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45356</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45356</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45356</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45356</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45356</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45356</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45356</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45356</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45356</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45356</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45356</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45356</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45356</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45356</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45356</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45356</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45356</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45356</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45356</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45356</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45356</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45356</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45356</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45356</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45356</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45356</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45356</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45356</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45356</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45356</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45356</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45356</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45356</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45356</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45356</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45356</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45356</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45356</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45356</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45356</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45356</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45356</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45356</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45356</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45356</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45356</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45356</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45356</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45356</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45356</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45356</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45356</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45356</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45356</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45356</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45356</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45356</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45356</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45356</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45356</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45356</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45356</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45356</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45356</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45356</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45356</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45356</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45356</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45356</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45356</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45356</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45356</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45356</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45356</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45356</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45356</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45356</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45356</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45356</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45356</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45356</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45356</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45356</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45356</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45356</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45356</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45356</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45356</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45356</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45356</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45356</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45356</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45356</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45356</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45356</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45356</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45356</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45356</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45356</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45356</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45356</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45356</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45356</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45356</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45356</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45356</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45356</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45356</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45356</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45356</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45356</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45356</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45356</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45356</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45356</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45356</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45356</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45356</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45356</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45356</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45356</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45356</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45356</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45356</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45356</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45356</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45356</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45356</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45356</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45356</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45356</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45356</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45356</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45356</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45356</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45356</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45356</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45356</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45356</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45356</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45356</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45356</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45356</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45356</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45356</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45356</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45356</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45356</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45356</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45356</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45356</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45356</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45356</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45356</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45356</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45356</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45356</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45356</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45356</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45356</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45356</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45356</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45356</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45356</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45356</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45356</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45356</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45356</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45356</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45356</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45356</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45356</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45356</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45356</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45356</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45356</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45356</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45356</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45356</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45356</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45356</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45356</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45356</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45356</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45356</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45356</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45356</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45356</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45356</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45356</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45356</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45356</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45356</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45356</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45356</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45356</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45356</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45356</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45356</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45356</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45356</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45356</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45356</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45356</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45356</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45356</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45356</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45356</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45356</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45356</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45356</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45356</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45356</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45356</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45356</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45356</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45356</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45356</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45356</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45356</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45356</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45356</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45356</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45356</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45356</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45356</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45356</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45356</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45356</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45356</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45356</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45356</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45356</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45356</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45356</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45356</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45356</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45356</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45356</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45356</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45356</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45356</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45356</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45356</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45356</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45356</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45356</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45356</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45356</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45356</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45356</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45356</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45356</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45356</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45356</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45356</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45356</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45356</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45356</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45356</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45356</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45356</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45356</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45356</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45356</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45356</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45356</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45356</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45356</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45356</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45356</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45356</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45356</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45356</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45356</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45356</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45356</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45356</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45356</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45356</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45356</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45356</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45356</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45356</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45356</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45356</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45356</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45356</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45356</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45356</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45356</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45356</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45356</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45356</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45356</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45356</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45356</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45356</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45356</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45356</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45356</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45356</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45356</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45356</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45356</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45356</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45356</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45356</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45356</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45356</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45356</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45356</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45356</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45356</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45356</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45356</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45356</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45356</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45356</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45356</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45356</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45356</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45356</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45356</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45356</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45356</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45356</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45356</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45356</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45356</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45356</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45356</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45356</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45356</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45356</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45356</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45356</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45356</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45356</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45356</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45356</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45356</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45356</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45356</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45356</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45356</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45356</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45356</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45356</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45356</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45356</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45356</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45356</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45356</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45356</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45356</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45356</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45356</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45356</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45356</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45356</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45356</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45356</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45356</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45356</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45356</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45356</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45356</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45356</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45356</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45356</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45356</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45356</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45356</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45356</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45356</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45356</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45356</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45356</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45356</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45356</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45356</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45356</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45356</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45356</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45356</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45356</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45356</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45356</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45356</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45356</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45356</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45356</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45356</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45356</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45356</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45356</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45356</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45356</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45356</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45356</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45356</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45356</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45356</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45356</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45356</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45356</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45356</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45356</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45356</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45356</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45356</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45356</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45356</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45356</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45356</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45356</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45356</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45356</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45356</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45356</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45356</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45356</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45356</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45356</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45356</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45356</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45356</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45356</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45356</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45356</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45356</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45356</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45356</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45356</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45356</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45356</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45356</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45356</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45356</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45356</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45356</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45356</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45356</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45356</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45356</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45356</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45356</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45356</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45356</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45356</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45356</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45356</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45356</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45356</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45356</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45356</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45356</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45356</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45356</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45356</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45356</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45356</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45356</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45356</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45356</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45356</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45356</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45356</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45356</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45356</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45356</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45356</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45356</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45356</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45356</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45356</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45356</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45356</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45356</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45356</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45356</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45356</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45356</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45356</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45356</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45356</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45356</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45356</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45356</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45356</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45356</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45356</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45356</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45356</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45356</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45356</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45356</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45356</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45356</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45356</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45356</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45356</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45356</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45356</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45356</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45356</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45356</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45356</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45356</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45356</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45356</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45356</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45356</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45356</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45356</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45356</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45356</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45356</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45356</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45356</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45356</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45356</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45356</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45356</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45356</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45356</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45356</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45356</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45356</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45356</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45356</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45356</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45356</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45356</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45356</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45356</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45356</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45356</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45356</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45356</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45356</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45356</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45356</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45356</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45356</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45356</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45356</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45356</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45356</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45356</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45356</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45356</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45356</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45356</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45356</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45356</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45356</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45356</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45356</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45356</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45356</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45356</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45356</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45356</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45356</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45356</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45356</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45356</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45356</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45356</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45356</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45356</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45356</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45356</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45356</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45356</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45356</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45356</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45356</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45356</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45356</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45356</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45356</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45356</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45356</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45356</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45356</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45356</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45356</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45356</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45356</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45356</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45356</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45356</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45356</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45356</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45356</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45356</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45356</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45356</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45356</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45356</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45356</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45356</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45356</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45356</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45356</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45356</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45356</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45356</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45356</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45356</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45356</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45356</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45356</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45356</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45356</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45356</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45356</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45356</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45356</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45356</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45356</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45356</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45356</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45356</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45356</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45356</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45356</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45356</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45356</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45356</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45356</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45356</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45356</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45356</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45356</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45356</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45356</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45356</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45356</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45356</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45356</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45356</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45356</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45356</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45356</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45356</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45356</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45356</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45356</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45356</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45356</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45356</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45356</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45356</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45356</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45356</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45356</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45356</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45356</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45356</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45356</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45356</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45356</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45356</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45356</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45356</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45356</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45356</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45356</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45356</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45356</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45356</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45356</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45356</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45356</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45356</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45356</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45356</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45356</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45356</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45356</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45356</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45356</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45356</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45356</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45356</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45356</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45356</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45356</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45356</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45356</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45356</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45356</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45356</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45356</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45356</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45356</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45356</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45356</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45356</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45356</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45356</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45356</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45356</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45356</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45356</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45356</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45356</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45356</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45356</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45356</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45356</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45356</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45356</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45356</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45356</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45356</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45356</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45356</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45356</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45356</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45356</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45356</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45356</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45356</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45356</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45356</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45356</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45356</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45356</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45356</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45356</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45356</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45356</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45356</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45356</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45356</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45356</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45356</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45356</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45356</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45356</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45356</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45356</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45356</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45356</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45356</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45356</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45356</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45356</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45356</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45356</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45356</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45356</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45356</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45356</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45356</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45356</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45356</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45356</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45356</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45356</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45356</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45356</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45356</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45356</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45356</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45356</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45356</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45356</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45356</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45356</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45356</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45356</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45356</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45356</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45356</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45356</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45356</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45356</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45356</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45356</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45356</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45356</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45356</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45356</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45356</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45356</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45356</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45356</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45356</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45356</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45356</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45356</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45356</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45356</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45356</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45356</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45356</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45356</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45356</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45356</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45356</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45356</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45356</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45356</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45356</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45356</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45356</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45356</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45356</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45356</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45356</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45356</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45356</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45356</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45356</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45356</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45356</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45356</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45356</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45356</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45356</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45356</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45356</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45356</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45356</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45356</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45356</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45356</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45356</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45356</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45356</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45356</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45356</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45356</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45356</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45356</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45356</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45356</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45356</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45356</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45356</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45356</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45356</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45356</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45356</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45356</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45356</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45356</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45356</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45356</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45356</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45356</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45356</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45356</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45356</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45356</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45356</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45356</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45356</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45356</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45356</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45356</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45356</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45356</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45356</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45356</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45356</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45356</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45356</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45356</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45356</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45356</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45356</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45356</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45356</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45356</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45356</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45356</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45356</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45356</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45356</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45356</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45356</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45356</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45356</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45356</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45356</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45356</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45356</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45356</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45356</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45356</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45356</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45356</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45356</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45356</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45356</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45356</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45356</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45356</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45356</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45356</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45356</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45356</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45356</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45356</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45356</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45356</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45356</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45356</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45356</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45356</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45356</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45356</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45356</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45356</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45356</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45356</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45356</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45356</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45356</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45356</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45356</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45356</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45356</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45356</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45356</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45356</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45356</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45356</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45356</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45356</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45356</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45356</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45356</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45356</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45356</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45356</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45356</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45356</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45356</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45356</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45356</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45356</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45356</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45356</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45356</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45356</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45356</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45356</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45356</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45356</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45356</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45356</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45356</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45356</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45356</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45356</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45356</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45356</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45356</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45356</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45356</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45356</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45356</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45356</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45356</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45356</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45356</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45356</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45356</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45356</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45356</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45356</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45356</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45356</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45356</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45356</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45356</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45356</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45356</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45356</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45356</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45356</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45356</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45356</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45356</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45356</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45356</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45356</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45356</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45356</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45356</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45356</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45356</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45356</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45356</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45356</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45356</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45356</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45356</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45356</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45356</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45356</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45356</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45356</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45356</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45356</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45356</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45356</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45356</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45356</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45356</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45356</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45356</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45356</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45356</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45356</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45356</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45356</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45356</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45356</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45356</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45356</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45356</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45356</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45356</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45356</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45356</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45356</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45356</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45356</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45356</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45356</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45356</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45356</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45356</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45356</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45356</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45356</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45356</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45356</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45356</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45356</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45356</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45356</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45356</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45356</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45356</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45356</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45356</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45356</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45356</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45356</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45356</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45356</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45356</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45356</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45356</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45356</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45356</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45356</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45356</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45356</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45356</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45356</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45356</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45356</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45356</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45356</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45356</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45356</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45356</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45356</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45356</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45356</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45356</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45356</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45356</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45356</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45356</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45356</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45356</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45356</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45356</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45356</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45356</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45356</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45356</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45356</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45356</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45356</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45356</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45356</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45356</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45356</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45356</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45356</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45356</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45356</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45356</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45356</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45356</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45356</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45356</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45356</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45356</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45356</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45356</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45356</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45356</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45356</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45356</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45356</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45356</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45356</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45356</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45356</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45356</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45356</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45356</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45356</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45356</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45356</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45356</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45356</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45356</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45356</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45356</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45356</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45356</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45356</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45356</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45356</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45356</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45356</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45356</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45356</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45356</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45356</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45356</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45356</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45356</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45356</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45356</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45356</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45356</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45356</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45356</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45356</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45356</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45356</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45356</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45356</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45356</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45356</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45356</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45356</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45356</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45356</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45356</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45356</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45356</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45356</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45356</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45356</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45356</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45356</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45356</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45356</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45356</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45356</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45356</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45356</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45356</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45356</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45356</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45356</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45356</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45356</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45356</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45356</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45356</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45356</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45356</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45356</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45356</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45356</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45356</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45356</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45356</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45356</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45356</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45356</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45356</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45356</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45356</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45356</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45356</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45356</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45356</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45356</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45356</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45356</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45356</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45356</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45356</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45356</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45356</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45356</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45356</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45356</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45356</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45356</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45356</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45356</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45356</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45356</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45356</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45356</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45356</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45356</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45356</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45356</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45356</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45356</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45356</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45356</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45356</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45356</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45356</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45356</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45356</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45356</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45356</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45356</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45356</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45356</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45356</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45356</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45356</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45356</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45356</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45356</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45356</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45356</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45356</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45356</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45356</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45356</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45356</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45356</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45356</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45356</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45356</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45356</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45356</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45356</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45356</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45356</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45356</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45356</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45356</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45356</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45356</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45356</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45356</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45356</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45356</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45356</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45356</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45356</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45356</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45356</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45356</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45356</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45356</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45356</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45356</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45356</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45356</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45356</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45356</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45356</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45356</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45356</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45356</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45356</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45356</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45356</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45356</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45356</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45356</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45356</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45356</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45356</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45356</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45356</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45356</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45356</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45356</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45356</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45356</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45356</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45356</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45356</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45356</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45356</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45356</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45356</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45356</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45356</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45356</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45356</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45356</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45356</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45356</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45356</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45356</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45356</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45356</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45356</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45356</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45356</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45356</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45356</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45356</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45356</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45356</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45356</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45356</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45356</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45356</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45356</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45356</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45356</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45356</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45356</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45356</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45356</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45356</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45356</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45356</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45356</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45356</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45356</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45356</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45356</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45356</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45356</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45356</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45356</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45356</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45356</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45356</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45356</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45356</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45356</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45356</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45356</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45356</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45356</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45356</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45356</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45356</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45356</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45356</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45356</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45356</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45356</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45356</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45356</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45356</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45356</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45356</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45356</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45356</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45356</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45356</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45356</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45356</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45356</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45356</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45356</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45356</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45356</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45356</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45356</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45356</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45356</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45356</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45356</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45356</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45356</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45356</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45356</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45356</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45356</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45356</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45356</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45356</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45356</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45356</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45356</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45356</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45356</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45356</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45356</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45356</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45356</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45356</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45356</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45356</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45356</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45356</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45356</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45356</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45356</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45356</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45356</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45356</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45356</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45356</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45356</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45356</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45356</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45356</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45356</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45356</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45356</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45356</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45356</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45356</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45356</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45356</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45356</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45356</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45356</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45356</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45356</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45356</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45356</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45356</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45356</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45356</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45356</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45356</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45356</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45356</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45356</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45356</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45356</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45356</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45356</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45356</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45356</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45356</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45356</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45356</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45356</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45356</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45356</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45356</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45356</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45356</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45356</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45356</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45356</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45356</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45356</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45356</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45356</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45356</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45356</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45356</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45356</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45356</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45356</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45356</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45356</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45356</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45356</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45356</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45356</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45356</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45356</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45356</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45356</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45356</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45356</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45356</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45356</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45356</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45356</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45356</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45356</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45356</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45356</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45356</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45356</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45356</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45356</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45356</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45356</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45356</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45356</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45356</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45356</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45356</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45356</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45356</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45356</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45356</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45356</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45356</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45356</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45356</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45356</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45356</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45356</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45356</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45356</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45356</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45356</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45356</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45356</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45356</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45356</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45356</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45356</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45356</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45356</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45356</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45356</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45356</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45356</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45356</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45356</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45356</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45356</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45356</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45356</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45356</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45356</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45356</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45356</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45356</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45356</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45356</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45356</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45356</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45356</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45356</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45356</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45356</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45356</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45356</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45356</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45356</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45356</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45356</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45356</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45356</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45356</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45356</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45356</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45356</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45356</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45356</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45356</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45356</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45356</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45356</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45356</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45356</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45356</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45356</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45356</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45356</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45356</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45356</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45356</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45356</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45356</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45356</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45356</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45356</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45356</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45356</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45356</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45356</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45356</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45356</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45356</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45356</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45356</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45356</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45356</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45356</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45356</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45356</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45356</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45356</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45356</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45356</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45356</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45356</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45356</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45356</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45356</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45356</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45356</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45356</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45356</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45356</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45356</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45356</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45356</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45356</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45356</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45356</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45356</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45356</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45356</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45356</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45356</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45356</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45356</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45356</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45356</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45356</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45356</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45356</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45356</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45356</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45356</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45356</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45356</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45356</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45356</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45356</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45356</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45356</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45356</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45356</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45356</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45356</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45356</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45356</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45356</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45356</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45356</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45356</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45356</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45356</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45356</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45356</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45356</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45356</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45356</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45356</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45356</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45356</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45356</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45356</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45356</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45356</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45356</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45356</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45356</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45356</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45356</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45356</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45356</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45356</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45356</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45356</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45356</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45356</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45356</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45356</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45356</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45356</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45356</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45356</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45356</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45356</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45356</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45356</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45356</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45356</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45356</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45356</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45356</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45356</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45356</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45356</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45356</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45356</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45356</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45356</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45356</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45356</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45356</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45356</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45356</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45356</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45356</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45356</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45356</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45356</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45356</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45356</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45356</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45356</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45356</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45356</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45356</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45356</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45356</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45356</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45356</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45356</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45356</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45356</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45356</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45356</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45356</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45356</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45356</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45356</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45356</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45356</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45356</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45356</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45356</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45356</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45356</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45356</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45356</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45356</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45356</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45356</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45356</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45356</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45356</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45356</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45356</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45356</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45356</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45356</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45356</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45356</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45356</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45356</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45356</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45356</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45356</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45356</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45356</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45356</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45356</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45356</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45356</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45356</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45356</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45356</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45356</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45356</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45356</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45356</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45356</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45356</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45356</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45356</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45356</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45356</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45356</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45356</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45356</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45356</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45356</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45356</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45356</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45356</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45356</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45356</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45356</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45356</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45356</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45356</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45356</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45356</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45356</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45356</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45356</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45356</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45356</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45356</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45356</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45356</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45356</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45356</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45356</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45356</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45356</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45356</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45356</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45356</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45356</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45356</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45356</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45356</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45356</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45356</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45356</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45356</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45356</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45356</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45356</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45356</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45356</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45356</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45356</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45356</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45356</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45356</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45356</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45356</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45356</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45356</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45356</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45356</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45356</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45356</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45356</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45356</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45356</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45356</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45356</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45356</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45356</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45356</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45356</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45356</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45356</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45356</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45356</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45356</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45356</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45356</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45356</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45356</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45356</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45356</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45356</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45356</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45356</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45356</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45356</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45356</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45356</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45356</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45356</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45356</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45356</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45356</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45356</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45356</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45356</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45356</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45356</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45356</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45356</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45356</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45356</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45356</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45356</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45356</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45356</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45356</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45356</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45356</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45356</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45356</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45356</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45356</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45356</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45356</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45356</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45356</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45356</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45356</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45356</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45356</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45356</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45356</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45356</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45356</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45356</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45356</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45356</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45356</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45356</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45356</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45356</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45356</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45356</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45356</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45356</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45356</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45356</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45356</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45356</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45356</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45356</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45356</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45356</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45356</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45356</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45356</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45356</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45356</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45356</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45356</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45356</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45356</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45356</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45356</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45356</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45356</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45356</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45356</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45356</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45356</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45356</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45356</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45356</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45356</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45356</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45356</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45356</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45356</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45356</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45356</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45356</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45356</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45356</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45356</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45356</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45356</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45356</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45356</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45356</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45356</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45356</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45356</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45356</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45356</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45356</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45356</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45356</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45356</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45356</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45356</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45356</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45356</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45356</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45356</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45356</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45356</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45356</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45356</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45356</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45356</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45356</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45356</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45356</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45356</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45356</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45356</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45356</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45356</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45356</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45356</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45356</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45356</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45356</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45356</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45356</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45356</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45356</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45356</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45356</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45356</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45356</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45356</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45356</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45356</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45356</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45356</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45356</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45356</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45356</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45356</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45356</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45356</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45356</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45356</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45356</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45356</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45356</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45356</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45356</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45356</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45356</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45356</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45356</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45356</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45356</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45356</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45356</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45356</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45356</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45356</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45356</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45356</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45356</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45356</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45356</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45356</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45356</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45356</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45356</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45356</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45356</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45356</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45356</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45356</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45356</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45356</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45356</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45356</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45356</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45356</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45356</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45356</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45356</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45356</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45356</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45356</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45356</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45356</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45356</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45356</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45356</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45356</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45356</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45356</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45356</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45356</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45356</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45356</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45356</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45356</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45356</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45356</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45356</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45356</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45356</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45356</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45356</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45356</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45356</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45356</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45356</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45356</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45356</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45356</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45356</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45356</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45356</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45356</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45356</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45356</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45356</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45356</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45356</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45356</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45356</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45356</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45356</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45356</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45356</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45356</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45356</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45356</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45356</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45356</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45356</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45356</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45356</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45356</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45356</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45356</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45356</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45356</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45356</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45356</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45356</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45356</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45356</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45356</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45356</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45356</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45356</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45356</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45356</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45356</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45356</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45356</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45356</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45356</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45356</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45356</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45356</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45356</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45356</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45356</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45356</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45356</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45356</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45356</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45356</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45356</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45356</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45356</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45356</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45356</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45356</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45356</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45356</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45356</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45356</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45356</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45356</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45356</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45356</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45356</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45356</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45356</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45356</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45356</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45356</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45356</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45356</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45356</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45356</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45356</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45356</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45356</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45356</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45356</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45356</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45356</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45356</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45356</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45356</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45356</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45356</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45356</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45356</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45356</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45356</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45356</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45356</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45356</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45356</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45356</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45356</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45356</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4129-2024</t>
        </is>
      </c>
      <c r="B8175" s="1" t="n">
        <v>45323</v>
      </c>
      <c r="C8175" s="1" t="n">
        <v>45356</v>
      </c>
      <c r="D8175" t="inlineStr">
        <is>
          <t>NORRBOTTENS LÄN</t>
        </is>
      </c>
      <c r="E8175" t="inlineStr">
        <is>
          <t>PITEÅ</t>
        </is>
      </c>
      <c r="F8175" t="inlineStr">
        <is>
          <t>Sveaskog</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4137-2024</t>
        </is>
      </c>
      <c r="B8176" s="1" t="n">
        <v>45323</v>
      </c>
      <c r="C8176" s="1" t="n">
        <v>45356</v>
      </c>
      <c r="D8176" t="inlineStr">
        <is>
          <t>NORRBOTTENS LÄN</t>
        </is>
      </c>
      <c r="E8176" t="inlineStr">
        <is>
          <t>LULEÅ</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45356</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45356</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4091-2024</t>
        </is>
      </c>
      <c r="B8179" s="1" t="n">
        <v>45323</v>
      </c>
      <c r="C8179" s="1" t="n">
        <v>45356</v>
      </c>
      <c r="D8179" t="inlineStr">
        <is>
          <t>NORRBOTTENS LÄN</t>
        </is>
      </c>
      <c r="E8179" t="inlineStr">
        <is>
          <t>GÄLLIVARE</t>
        </is>
      </c>
      <c r="F8179" t="inlineStr">
        <is>
          <t>Sveaskog</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4111-2024</t>
        </is>
      </c>
      <c r="B8180" s="1" t="n">
        <v>45323</v>
      </c>
      <c r="C8180" s="1" t="n">
        <v>45356</v>
      </c>
      <c r="D8180" t="inlineStr">
        <is>
          <t>NORRBOTTENS LÄN</t>
        </is>
      </c>
      <c r="E8180" t="inlineStr">
        <is>
          <t>ÖVERKALIX</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4115-2024</t>
        </is>
      </c>
      <c r="B8181" s="1" t="n">
        <v>45323</v>
      </c>
      <c r="C8181" s="1" t="n">
        <v>45356</v>
      </c>
      <c r="D8181" t="inlineStr">
        <is>
          <t>NORRBOTTENS LÄN</t>
        </is>
      </c>
      <c r="E8181" t="inlineStr">
        <is>
          <t>LULEÅ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45356</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45356</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4114-2024</t>
        </is>
      </c>
      <c r="B8184" s="1" t="n">
        <v>45323</v>
      </c>
      <c r="C8184" s="1" t="n">
        <v>45356</v>
      </c>
      <c r="D8184" t="inlineStr">
        <is>
          <t>NORRBOTTENS LÄN</t>
        </is>
      </c>
      <c r="E8184" t="inlineStr">
        <is>
          <t>ÖVERKALIX</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4122-2024</t>
        </is>
      </c>
      <c r="B8185" s="1" t="n">
        <v>45323</v>
      </c>
      <c r="C8185" s="1" t="n">
        <v>45356</v>
      </c>
      <c r="D8185" t="inlineStr">
        <is>
          <t>NORRBOTTENS LÄN</t>
        </is>
      </c>
      <c r="E8185" t="inlineStr">
        <is>
          <t>PITEÅ</t>
        </is>
      </c>
      <c r="F8185" t="inlineStr">
        <is>
          <t>Sveaskog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45356</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45356</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45356</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45356</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4232-2024</t>
        </is>
      </c>
      <c r="B8190" s="1" t="n">
        <v>45324</v>
      </c>
      <c r="C8190" s="1" t="n">
        <v>45356</v>
      </c>
      <c r="D8190" t="inlineStr">
        <is>
          <t>NORRBOTTENS LÄN</t>
        </is>
      </c>
      <c r="E8190" t="inlineStr">
        <is>
          <t>PITEÅ</t>
        </is>
      </c>
      <c r="F8190" t="inlineStr">
        <is>
          <t>Sveaskog</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45356</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4553-2024</t>
        </is>
      </c>
      <c r="B8192" s="1" t="n">
        <v>45327</v>
      </c>
      <c r="C8192" s="1" t="n">
        <v>45356</v>
      </c>
      <c r="D8192" t="inlineStr">
        <is>
          <t>NORRBOTTENS LÄN</t>
        </is>
      </c>
      <c r="E8192" t="inlineStr">
        <is>
          <t>LULEÅ</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4554-2024</t>
        </is>
      </c>
      <c r="B8193" s="1" t="n">
        <v>45327</v>
      </c>
      <c r="C8193" s="1" t="n">
        <v>45356</v>
      </c>
      <c r="D8193" t="inlineStr">
        <is>
          <t>NORRBOTTENS LÄN</t>
        </is>
      </c>
      <c r="E8193" t="inlineStr">
        <is>
          <t>LULEÅ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4558-2024</t>
        </is>
      </c>
      <c r="B8194" s="1" t="n">
        <v>45327</v>
      </c>
      <c r="C8194" s="1" t="n">
        <v>45356</v>
      </c>
      <c r="D8194" t="inlineStr">
        <is>
          <t>NORRBOTTENS LÄN</t>
        </is>
      </c>
      <c r="E8194" t="inlineStr">
        <is>
          <t>LULEÅ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4539-2024</t>
        </is>
      </c>
      <c r="B8195" s="1" t="n">
        <v>45327</v>
      </c>
      <c r="C8195" s="1" t="n">
        <v>45356</v>
      </c>
      <c r="D8195" t="inlineStr">
        <is>
          <t>NORRBOTTENS LÄN</t>
        </is>
      </c>
      <c r="E8195" t="inlineStr">
        <is>
          <t>ARVIDSJAUR</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4559-2024</t>
        </is>
      </c>
      <c r="B8196" s="1" t="n">
        <v>45327</v>
      </c>
      <c r="C8196" s="1" t="n">
        <v>45356</v>
      </c>
      <c r="D8196" t="inlineStr">
        <is>
          <t>NORRBOTTENS LÄN</t>
        </is>
      </c>
      <c r="E8196" t="inlineStr">
        <is>
          <t>LULEÅ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4636-2024</t>
        </is>
      </c>
      <c r="B8197" s="1" t="n">
        <v>45328</v>
      </c>
      <c r="C8197" s="1" t="n">
        <v>45356</v>
      </c>
      <c r="D8197" t="inlineStr">
        <is>
          <t>NORRBOTTENS LÄN</t>
        </is>
      </c>
      <c r="E8197" t="inlineStr">
        <is>
          <t>LULEÅ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4692-2024</t>
        </is>
      </c>
      <c r="B8198" s="1" t="n">
        <v>45328</v>
      </c>
      <c r="C8198" s="1" t="n">
        <v>45356</v>
      </c>
      <c r="D8198" t="inlineStr">
        <is>
          <t>NORRBOTTENS LÄN</t>
        </is>
      </c>
      <c r="E8198" t="inlineStr">
        <is>
          <t>LULEÅ</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4720-2024</t>
        </is>
      </c>
      <c r="B8199" s="1" t="n">
        <v>45328</v>
      </c>
      <c r="C8199" s="1" t="n">
        <v>45356</v>
      </c>
      <c r="D8199" t="inlineStr">
        <is>
          <t>NORRBOTTENS LÄN</t>
        </is>
      </c>
      <c r="E8199" t="inlineStr">
        <is>
          <t>GÄLLIVARE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4627-2024</t>
        </is>
      </c>
      <c r="B8200" s="1" t="n">
        <v>45328</v>
      </c>
      <c r="C8200" s="1" t="n">
        <v>45356</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4643-2024</t>
        </is>
      </c>
      <c r="B8201" s="1" t="n">
        <v>45328</v>
      </c>
      <c r="C8201" s="1" t="n">
        <v>45356</v>
      </c>
      <c r="D8201" t="inlineStr">
        <is>
          <t>NORRBOTTENS LÄN</t>
        </is>
      </c>
      <c r="E8201" t="inlineStr">
        <is>
          <t>LULEÅ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4690-2024</t>
        </is>
      </c>
      <c r="B8202" s="1" t="n">
        <v>45328</v>
      </c>
      <c r="C8202" s="1" t="n">
        <v>45356</v>
      </c>
      <c r="D8202" t="inlineStr">
        <is>
          <t>NORRBOTTENS LÄN</t>
        </is>
      </c>
      <c r="E8202" t="inlineStr">
        <is>
          <t>ÄLVSBYN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4731-2024</t>
        </is>
      </c>
      <c r="B8203" s="1" t="n">
        <v>45328</v>
      </c>
      <c r="C8203" s="1" t="n">
        <v>45356</v>
      </c>
      <c r="D8203" t="inlineStr">
        <is>
          <t>NORRBOTTENS LÄN</t>
        </is>
      </c>
      <c r="E8203" t="inlineStr">
        <is>
          <t>PAJALA</t>
        </is>
      </c>
      <c r="F8203" t="inlineStr">
        <is>
          <t>Sveaskog</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4768-2024</t>
        </is>
      </c>
      <c r="B8204" s="1" t="n">
        <v>45328</v>
      </c>
      <c r="C8204" s="1" t="n">
        <v>45356</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4765-2024</t>
        </is>
      </c>
      <c r="B8205" s="1" t="n">
        <v>45328</v>
      </c>
      <c r="C8205" s="1" t="n">
        <v>45356</v>
      </c>
      <c r="D8205" t="inlineStr">
        <is>
          <t>NORRBOTTENS LÄN</t>
        </is>
      </c>
      <c r="E8205" t="inlineStr">
        <is>
          <t>LULEÅ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4769-2024</t>
        </is>
      </c>
      <c r="B8206" s="1" t="n">
        <v>45328</v>
      </c>
      <c r="C8206" s="1" t="n">
        <v>45356</v>
      </c>
      <c r="D8206" t="inlineStr">
        <is>
          <t>NORRBOTTENS LÄN</t>
        </is>
      </c>
      <c r="E8206" t="inlineStr">
        <is>
          <t>LULEÅ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4771-2024</t>
        </is>
      </c>
      <c r="B8207" s="1" t="n">
        <v>45328</v>
      </c>
      <c r="C8207" s="1" t="n">
        <v>45356</v>
      </c>
      <c r="D8207" t="inlineStr">
        <is>
          <t>NORRBOTTENS LÄN</t>
        </is>
      </c>
      <c r="E8207" t="inlineStr">
        <is>
          <t>LULEÅ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4726-2024</t>
        </is>
      </c>
      <c r="B8208" s="1" t="n">
        <v>45328</v>
      </c>
      <c r="C8208" s="1" t="n">
        <v>45356</v>
      </c>
      <c r="D8208" t="inlineStr">
        <is>
          <t>NORRBOTTENS LÄN</t>
        </is>
      </c>
      <c r="E8208" t="inlineStr">
        <is>
          <t>GÄLLIVARE</t>
        </is>
      </c>
      <c r="F8208" t="inlineStr">
        <is>
          <t>Sveaskog</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4935-2024</t>
        </is>
      </c>
      <c r="B8209" s="1" t="n">
        <v>45329</v>
      </c>
      <c r="C8209" s="1" t="n">
        <v>45356</v>
      </c>
      <c r="D8209" t="inlineStr">
        <is>
          <t>NORRBOTTENS LÄN</t>
        </is>
      </c>
      <c r="E8209" t="inlineStr">
        <is>
          <t>ARVIDSJAUR</t>
        </is>
      </c>
      <c r="F8209" t="inlineStr">
        <is>
          <t>Sveaskog</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5048-2024</t>
        </is>
      </c>
      <c r="B8210" s="1" t="n">
        <v>45329</v>
      </c>
      <c r="C8210" s="1" t="n">
        <v>45356</v>
      </c>
      <c r="D8210" t="inlineStr">
        <is>
          <t>NORRBOTTENS LÄN</t>
        </is>
      </c>
      <c r="E8210" t="inlineStr">
        <is>
          <t>LULEÅ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4934-2024</t>
        </is>
      </c>
      <c r="B8211" s="1" t="n">
        <v>45329</v>
      </c>
      <c r="C8211" s="1" t="n">
        <v>45356</v>
      </c>
      <c r="D8211" t="inlineStr">
        <is>
          <t>NORRBOTTENS LÄN</t>
        </is>
      </c>
      <c r="E8211" t="inlineStr">
        <is>
          <t>ARVIDSJAUR</t>
        </is>
      </c>
      <c r="F8211" t="inlineStr">
        <is>
          <t>Sveaskog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5047-2024</t>
        </is>
      </c>
      <c r="B8212" s="1" t="n">
        <v>45329</v>
      </c>
      <c r="C8212" s="1" t="n">
        <v>45356</v>
      </c>
      <c r="D8212" t="inlineStr">
        <is>
          <t>NORRBOTTENS LÄN</t>
        </is>
      </c>
      <c r="E8212" t="inlineStr">
        <is>
          <t>LULEÅ</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5009-2024</t>
        </is>
      </c>
      <c r="B8213" s="1" t="n">
        <v>45329</v>
      </c>
      <c r="C8213" s="1" t="n">
        <v>45356</v>
      </c>
      <c r="D8213" t="inlineStr">
        <is>
          <t>NORRBOTTENS LÄN</t>
        </is>
      </c>
      <c r="E8213" t="inlineStr">
        <is>
          <t>PITEÅ</t>
        </is>
      </c>
      <c r="G8213" t="n">
        <v>8.800000000000001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4937-2024</t>
        </is>
      </c>
      <c r="B8214" s="1" t="n">
        <v>45329</v>
      </c>
      <c r="C8214" s="1" t="n">
        <v>45356</v>
      </c>
      <c r="D8214" t="inlineStr">
        <is>
          <t>NORRBOTTENS LÄN</t>
        </is>
      </c>
      <c r="E8214" t="inlineStr">
        <is>
          <t>ARVIDSJAUR</t>
        </is>
      </c>
      <c r="F8214" t="inlineStr">
        <is>
          <t>Sveaskog</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4989-2024</t>
        </is>
      </c>
      <c r="B8215" s="1" t="n">
        <v>45329</v>
      </c>
      <c r="C8215" s="1" t="n">
        <v>45356</v>
      </c>
      <c r="D8215" t="inlineStr">
        <is>
          <t>NORRBOTTENS LÄN</t>
        </is>
      </c>
      <c r="E8215" t="inlineStr">
        <is>
          <t>ARVIDSJAUR</t>
        </is>
      </c>
      <c r="F8215" t="inlineStr">
        <is>
          <t>Sveaskog</t>
        </is>
      </c>
      <c r="G8215" t="n">
        <v>57.4</v>
      </c>
      <c r="H8215" t="n">
        <v>0</v>
      </c>
      <c r="I8215" t="n">
        <v>0</v>
      </c>
      <c r="J8215" t="n">
        <v>0</v>
      </c>
      <c r="K8215" t="n">
        <v>0</v>
      </c>
      <c r="L8215" t="n">
        <v>0</v>
      </c>
      <c r="M8215" t="n">
        <v>0</v>
      </c>
      <c r="N8215" t="n">
        <v>0</v>
      </c>
      <c r="O8215" t="n">
        <v>0</v>
      </c>
      <c r="P8215" t="n">
        <v>0</v>
      </c>
      <c r="Q8215" t="n">
        <v>0</v>
      </c>
      <c r="R8215" s="2" t="inlineStr"/>
    </row>
    <row r="8216" ht="15" customHeight="1">
      <c r="A8216" t="inlineStr">
        <is>
          <t>A 5030-2024</t>
        </is>
      </c>
      <c r="B8216" s="1" t="n">
        <v>45329</v>
      </c>
      <c r="C8216" s="1" t="n">
        <v>45356</v>
      </c>
      <c r="D8216" t="inlineStr">
        <is>
          <t>NORRBOTTENS LÄN</t>
        </is>
      </c>
      <c r="E8216" t="inlineStr">
        <is>
          <t>ÖVERTORNEÅ</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5100-2024</t>
        </is>
      </c>
      <c r="B8217" s="1" t="n">
        <v>45330</v>
      </c>
      <c r="C8217" s="1" t="n">
        <v>45356</v>
      </c>
      <c r="D8217" t="inlineStr">
        <is>
          <t>NORRBOTTENS LÄN</t>
        </is>
      </c>
      <c r="E8217" t="inlineStr">
        <is>
          <t>HAPARANDA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5137-2024</t>
        </is>
      </c>
      <c r="B8218" s="1" t="n">
        <v>45330</v>
      </c>
      <c r="C8218" s="1" t="n">
        <v>45356</v>
      </c>
      <c r="D8218" t="inlineStr">
        <is>
          <t>NORRBOTTENS LÄN</t>
        </is>
      </c>
      <c r="E8218" t="inlineStr">
        <is>
          <t>LULEÅ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5193-2024</t>
        </is>
      </c>
      <c r="B8219" s="1" t="n">
        <v>45330</v>
      </c>
      <c r="C8219" s="1" t="n">
        <v>45356</v>
      </c>
      <c r="D8219" t="inlineStr">
        <is>
          <t>NORRBOTTENS LÄN</t>
        </is>
      </c>
      <c r="E8219" t="inlineStr">
        <is>
          <t>BODEN</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5210-2024</t>
        </is>
      </c>
      <c r="B8220" s="1" t="n">
        <v>45330</v>
      </c>
      <c r="C8220" s="1" t="n">
        <v>45356</v>
      </c>
      <c r="D8220" t="inlineStr">
        <is>
          <t>NORRBOTTENS LÄN</t>
        </is>
      </c>
      <c r="E8220" t="inlineStr">
        <is>
          <t>ARVIDSJAUR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5150-2024</t>
        </is>
      </c>
      <c r="B8221" s="1" t="n">
        <v>45330</v>
      </c>
      <c r="C8221" s="1" t="n">
        <v>45356</v>
      </c>
      <c r="D8221" t="inlineStr">
        <is>
          <t>NORRBOTTENS LÄN</t>
        </is>
      </c>
      <c r="E8221" t="inlineStr">
        <is>
          <t>LULEÅ</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45356</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5099-2024</t>
        </is>
      </c>
      <c r="B8223" s="1" t="n">
        <v>45330</v>
      </c>
      <c r="C8223" s="1" t="n">
        <v>45356</v>
      </c>
      <c r="D8223" t="inlineStr">
        <is>
          <t>NORRBOTTENS LÄN</t>
        </is>
      </c>
      <c r="E8223" t="inlineStr">
        <is>
          <t>BODEN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5378-2024</t>
        </is>
      </c>
      <c r="B8224" s="1" t="n">
        <v>45331</v>
      </c>
      <c r="C8224" s="1" t="n">
        <v>45356</v>
      </c>
      <c r="D8224" t="inlineStr">
        <is>
          <t>NORRBOTTENS LÄN</t>
        </is>
      </c>
      <c r="E8224" t="inlineStr">
        <is>
          <t>ÄLVSBYN</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5389-2024</t>
        </is>
      </c>
      <c r="B8225" s="1" t="n">
        <v>45331</v>
      </c>
      <c r="C8225" s="1" t="n">
        <v>45356</v>
      </c>
      <c r="D8225" t="inlineStr">
        <is>
          <t>NORRBOTTENS LÄN</t>
        </is>
      </c>
      <c r="E8225" t="inlineStr">
        <is>
          <t>ÄLVSBYN</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5411-2024</t>
        </is>
      </c>
      <c r="B8226" s="1" t="n">
        <v>45331</v>
      </c>
      <c r="C8226" s="1" t="n">
        <v>45356</v>
      </c>
      <c r="D8226" t="inlineStr">
        <is>
          <t>NORRBOTTENS LÄN</t>
        </is>
      </c>
      <c r="E8226" t="inlineStr">
        <is>
          <t>KIRUNA</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5419-2024</t>
        </is>
      </c>
      <c r="B8227" s="1" t="n">
        <v>45331</v>
      </c>
      <c r="C8227" s="1" t="n">
        <v>45356</v>
      </c>
      <c r="D8227" t="inlineStr">
        <is>
          <t>NORRBOTTENS LÄN</t>
        </is>
      </c>
      <c r="E8227" t="inlineStr">
        <is>
          <t>ÄLVSBYN</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5502-2024</t>
        </is>
      </c>
      <c r="B8228" s="1" t="n">
        <v>45331</v>
      </c>
      <c r="C8228" s="1" t="n">
        <v>45356</v>
      </c>
      <c r="D8228" t="inlineStr">
        <is>
          <t>NORRBOTTENS LÄN</t>
        </is>
      </c>
      <c r="E8228" t="inlineStr">
        <is>
          <t>PITEÅ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5476-2024</t>
        </is>
      </c>
      <c r="B8229" s="1" t="n">
        <v>45333</v>
      </c>
      <c r="C8229" s="1" t="n">
        <v>45356</v>
      </c>
      <c r="D8229" t="inlineStr">
        <is>
          <t>NORRBOTTENS LÄN</t>
        </is>
      </c>
      <c r="E8229" t="inlineStr">
        <is>
          <t>KIRUNA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5525-2024</t>
        </is>
      </c>
      <c r="B8230" s="1" t="n">
        <v>45334</v>
      </c>
      <c r="C8230" s="1" t="n">
        <v>45356</v>
      </c>
      <c r="D8230" t="inlineStr">
        <is>
          <t>NORRBOTTENS LÄN</t>
        </is>
      </c>
      <c r="E8230" t="inlineStr">
        <is>
          <t>PITEÅ</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5524-2024</t>
        </is>
      </c>
      <c r="B8231" s="1" t="n">
        <v>45334</v>
      </c>
      <c r="C8231" s="1" t="n">
        <v>45356</v>
      </c>
      <c r="D8231" t="inlineStr">
        <is>
          <t>NORRBOTTENS LÄN</t>
        </is>
      </c>
      <c r="E8231" t="inlineStr">
        <is>
          <t>PITEÅ</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5533-2024</t>
        </is>
      </c>
      <c r="B8232" s="1" t="n">
        <v>45334</v>
      </c>
      <c r="C8232" s="1" t="n">
        <v>45356</v>
      </c>
      <c r="D8232" t="inlineStr">
        <is>
          <t>NORRBOTTENS LÄN</t>
        </is>
      </c>
      <c r="E8232" t="inlineStr">
        <is>
          <t>KIRUNA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5646-2024</t>
        </is>
      </c>
      <c r="B8233" s="1" t="n">
        <v>45334</v>
      </c>
      <c r="C8233" s="1" t="n">
        <v>45356</v>
      </c>
      <c r="D8233" t="inlineStr">
        <is>
          <t>NORRBOTTENS LÄN</t>
        </is>
      </c>
      <c r="E8233" t="inlineStr">
        <is>
          <t>ÄLVSBYN</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5650-2024</t>
        </is>
      </c>
      <c r="B8234" s="1" t="n">
        <v>45334</v>
      </c>
      <c r="C8234" s="1" t="n">
        <v>45356</v>
      </c>
      <c r="D8234" t="inlineStr">
        <is>
          <t>NORRBOTTENS LÄN</t>
        </is>
      </c>
      <c r="E8234" t="inlineStr">
        <is>
          <t>ÄLVSBYN</t>
        </is>
      </c>
      <c r="G8234" t="n">
        <v>11.8</v>
      </c>
      <c r="H8234" t="n">
        <v>0</v>
      </c>
      <c r="I8234" t="n">
        <v>0</v>
      </c>
      <c r="J8234" t="n">
        <v>0</v>
      </c>
      <c r="K8234" t="n">
        <v>0</v>
      </c>
      <c r="L8234" t="n">
        <v>0</v>
      </c>
      <c r="M8234" t="n">
        <v>0</v>
      </c>
      <c r="N8234" t="n">
        <v>0</v>
      </c>
      <c r="O8234" t="n">
        <v>0</v>
      </c>
      <c r="P8234" t="n">
        <v>0</v>
      </c>
      <c r="Q8234" t="n">
        <v>0</v>
      </c>
      <c r="R8234" s="2" t="inlineStr"/>
    </row>
    <row r="8235" ht="15" customHeight="1">
      <c r="A8235" t="inlineStr">
        <is>
          <t>A 5732-2024</t>
        </is>
      </c>
      <c r="B8235" s="1" t="n">
        <v>45334</v>
      </c>
      <c r="C8235" s="1" t="n">
        <v>45356</v>
      </c>
      <c r="D8235" t="inlineStr">
        <is>
          <t>NORRBOTTENS LÄN</t>
        </is>
      </c>
      <c r="E8235" t="inlineStr">
        <is>
          <t>ÄLVSBYN</t>
        </is>
      </c>
      <c r="F8235" t="inlineStr">
        <is>
          <t>SCA</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5723-2024</t>
        </is>
      </c>
      <c r="B8236" s="1" t="n">
        <v>45334</v>
      </c>
      <c r="C8236" s="1" t="n">
        <v>45356</v>
      </c>
      <c r="D8236" t="inlineStr">
        <is>
          <t>NORRBOTTENS LÄN</t>
        </is>
      </c>
      <c r="E8236" t="inlineStr">
        <is>
          <t>ÖVERKALIX</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5731-2024</t>
        </is>
      </c>
      <c r="B8237" s="1" t="n">
        <v>45334</v>
      </c>
      <c r="C8237" s="1" t="n">
        <v>45356</v>
      </c>
      <c r="D8237" t="inlineStr">
        <is>
          <t>NORRBOTTENS LÄN</t>
        </is>
      </c>
      <c r="E8237" t="inlineStr">
        <is>
          <t>PAJALA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5739-2024</t>
        </is>
      </c>
      <c r="B8238" s="1" t="n">
        <v>45334</v>
      </c>
      <c r="C8238" s="1" t="n">
        <v>45356</v>
      </c>
      <c r="D8238" t="inlineStr">
        <is>
          <t>NORRBOTTENS LÄN</t>
        </is>
      </c>
      <c r="E8238" t="inlineStr">
        <is>
          <t>PAJALA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5702-2024</t>
        </is>
      </c>
      <c r="B8239" s="1" t="n">
        <v>45334</v>
      </c>
      <c r="C8239" s="1" t="n">
        <v>45356</v>
      </c>
      <c r="D8239" t="inlineStr">
        <is>
          <t>NORRBOTTENS LÄN</t>
        </is>
      </c>
      <c r="E8239" t="inlineStr">
        <is>
          <t>ARVIDSJAUR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5730-2024</t>
        </is>
      </c>
      <c r="B8240" s="1" t="n">
        <v>45334</v>
      </c>
      <c r="C8240" s="1" t="n">
        <v>45356</v>
      </c>
      <c r="D8240" t="inlineStr">
        <is>
          <t>NORRBOTTENS LÄN</t>
        </is>
      </c>
      <c r="E8240" t="inlineStr">
        <is>
          <t>PAJALA</t>
        </is>
      </c>
      <c r="G8240" t="n">
        <v>26.2</v>
      </c>
      <c r="H8240" t="n">
        <v>0</v>
      </c>
      <c r="I8240" t="n">
        <v>0</v>
      </c>
      <c r="J8240" t="n">
        <v>0</v>
      </c>
      <c r="K8240" t="n">
        <v>0</v>
      </c>
      <c r="L8240" t="n">
        <v>0</v>
      </c>
      <c r="M8240" t="n">
        <v>0</v>
      </c>
      <c r="N8240" t="n">
        <v>0</v>
      </c>
      <c r="O8240" t="n">
        <v>0</v>
      </c>
      <c r="P8240" t="n">
        <v>0</v>
      </c>
      <c r="Q8240" t="n">
        <v>0</v>
      </c>
      <c r="R8240" s="2" t="inlineStr"/>
    </row>
    <row r="8241" ht="15" customHeight="1">
      <c r="A8241" t="inlineStr">
        <is>
          <t>A 5615-2024</t>
        </is>
      </c>
      <c r="B8241" s="1" t="n">
        <v>45334</v>
      </c>
      <c r="C8241" s="1" t="n">
        <v>45356</v>
      </c>
      <c r="D8241" t="inlineStr">
        <is>
          <t>NORRBOTTENS LÄN</t>
        </is>
      </c>
      <c r="E8241" t="inlineStr">
        <is>
          <t>LULEÅ</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5624-2024</t>
        </is>
      </c>
      <c r="B8242" s="1" t="n">
        <v>45334</v>
      </c>
      <c r="C8242" s="1" t="n">
        <v>45356</v>
      </c>
      <c r="D8242" t="inlineStr">
        <is>
          <t>NORRBOTTENS LÄN</t>
        </is>
      </c>
      <c r="E8242" t="inlineStr">
        <is>
          <t>GÄLLIVARE</t>
        </is>
      </c>
      <c r="G8242" t="n">
        <v>13.8</v>
      </c>
      <c r="H8242" t="n">
        <v>0</v>
      </c>
      <c r="I8242" t="n">
        <v>0</v>
      </c>
      <c r="J8242" t="n">
        <v>0</v>
      </c>
      <c r="K8242" t="n">
        <v>0</v>
      </c>
      <c r="L8242" t="n">
        <v>0</v>
      </c>
      <c r="M8242" t="n">
        <v>0</v>
      </c>
      <c r="N8242" t="n">
        <v>0</v>
      </c>
      <c r="O8242" t="n">
        <v>0</v>
      </c>
      <c r="P8242" t="n">
        <v>0</v>
      </c>
      <c r="Q8242" t="n">
        <v>0</v>
      </c>
      <c r="R8242" s="2" t="inlineStr"/>
    </row>
    <row r="8243" ht="15" customHeight="1">
      <c r="A8243" t="inlineStr">
        <is>
          <t>A 5628-2024</t>
        </is>
      </c>
      <c r="B8243" s="1" t="n">
        <v>45334</v>
      </c>
      <c r="C8243" s="1" t="n">
        <v>45356</v>
      </c>
      <c r="D8243" t="inlineStr">
        <is>
          <t>NORRBOTTENS LÄN</t>
        </is>
      </c>
      <c r="E8243" t="inlineStr">
        <is>
          <t>ÄLVSBYN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5632-2024</t>
        </is>
      </c>
      <c r="B8244" s="1" t="n">
        <v>45334</v>
      </c>
      <c r="C8244" s="1" t="n">
        <v>45356</v>
      </c>
      <c r="D8244" t="inlineStr">
        <is>
          <t>NORRBOTTENS LÄN</t>
        </is>
      </c>
      <c r="E8244" t="inlineStr">
        <is>
          <t>GÄLLIVARE</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5729-2024</t>
        </is>
      </c>
      <c r="B8245" s="1" t="n">
        <v>45334</v>
      </c>
      <c r="C8245" s="1" t="n">
        <v>45356</v>
      </c>
      <c r="D8245" t="inlineStr">
        <is>
          <t>NORRBOTTENS LÄN</t>
        </is>
      </c>
      <c r="E8245" t="inlineStr">
        <is>
          <t>PAJALA</t>
        </is>
      </c>
      <c r="G8245" t="n">
        <v>22.5</v>
      </c>
      <c r="H8245" t="n">
        <v>0</v>
      </c>
      <c r="I8245" t="n">
        <v>0</v>
      </c>
      <c r="J8245" t="n">
        <v>0</v>
      </c>
      <c r="K8245" t="n">
        <v>0</v>
      </c>
      <c r="L8245" t="n">
        <v>0</v>
      </c>
      <c r="M8245" t="n">
        <v>0</v>
      </c>
      <c r="N8245" t="n">
        <v>0</v>
      </c>
      <c r="O8245" t="n">
        <v>0</v>
      </c>
      <c r="P8245" t="n">
        <v>0</v>
      </c>
      <c r="Q8245" t="n">
        <v>0</v>
      </c>
      <c r="R8245" s="2" t="inlineStr"/>
    </row>
    <row r="8246" ht="15" customHeight="1">
      <c r="A8246" t="inlineStr">
        <is>
          <t>A 5733-2024</t>
        </is>
      </c>
      <c r="B8246" s="1" t="n">
        <v>45334</v>
      </c>
      <c r="C8246" s="1" t="n">
        <v>45356</v>
      </c>
      <c r="D8246" t="inlineStr">
        <is>
          <t>NORRBOTTENS LÄN</t>
        </is>
      </c>
      <c r="E8246" t="inlineStr">
        <is>
          <t>ÄLVSBYN</t>
        </is>
      </c>
      <c r="F8246" t="inlineStr">
        <is>
          <t>SCA</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5769-2024</t>
        </is>
      </c>
      <c r="B8247" s="1" t="n">
        <v>45335</v>
      </c>
      <c r="C8247" s="1" t="n">
        <v>45356</v>
      </c>
      <c r="D8247" t="inlineStr">
        <is>
          <t>NORRBOTTENS LÄN</t>
        </is>
      </c>
      <c r="E8247" t="inlineStr">
        <is>
          <t>PITEÅ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5785-2024</t>
        </is>
      </c>
      <c r="B8248" s="1" t="n">
        <v>45335</v>
      </c>
      <c r="C8248" s="1" t="n">
        <v>45356</v>
      </c>
      <c r="D8248" t="inlineStr">
        <is>
          <t>NORRBOTTENS LÄN</t>
        </is>
      </c>
      <c r="E8248" t="inlineStr">
        <is>
          <t>KALIX</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5791-2024</t>
        </is>
      </c>
      <c r="B8249" s="1" t="n">
        <v>45335</v>
      </c>
      <c r="C8249" s="1" t="n">
        <v>45356</v>
      </c>
      <c r="D8249" t="inlineStr">
        <is>
          <t>NORRBOTTENS LÄN</t>
        </is>
      </c>
      <c r="E8249" t="inlineStr">
        <is>
          <t>KALIX</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6034-2024</t>
        </is>
      </c>
      <c r="B8250" s="1" t="n">
        <v>45336</v>
      </c>
      <c r="C8250" s="1" t="n">
        <v>45356</v>
      </c>
      <c r="D8250" t="inlineStr">
        <is>
          <t>NORRBOTTENS LÄN</t>
        </is>
      </c>
      <c r="E8250" t="inlineStr">
        <is>
          <t>HAPARANDA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6084-2024</t>
        </is>
      </c>
      <c r="B8251" s="1" t="n">
        <v>45336</v>
      </c>
      <c r="C8251" s="1" t="n">
        <v>45356</v>
      </c>
      <c r="D8251" t="inlineStr">
        <is>
          <t>NORRBOTTENS LÄN</t>
        </is>
      </c>
      <c r="E8251" t="inlineStr">
        <is>
          <t>BODEN</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6271-2024</t>
        </is>
      </c>
      <c r="B8252" s="1" t="n">
        <v>45337</v>
      </c>
      <c r="C8252" s="1" t="n">
        <v>45356</v>
      </c>
      <c r="D8252" t="inlineStr">
        <is>
          <t>NORRBOTTENS LÄN</t>
        </is>
      </c>
      <c r="E8252" t="inlineStr">
        <is>
          <t>GÄLLIVARE</t>
        </is>
      </c>
      <c r="G8252" t="n">
        <v>14.7</v>
      </c>
      <c r="H8252" t="n">
        <v>0</v>
      </c>
      <c r="I8252" t="n">
        <v>0</v>
      </c>
      <c r="J8252" t="n">
        <v>0</v>
      </c>
      <c r="K8252" t="n">
        <v>0</v>
      </c>
      <c r="L8252" t="n">
        <v>0</v>
      </c>
      <c r="M8252" t="n">
        <v>0</v>
      </c>
      <c r="N8252" t="n">
        <v>0</v>
      </c>
      <c r="O8252" t="n">
        <v>0</v>
      </c>
      <c r="P8252" t="n">
        <v>0</v>
      </c>
      <c r="Q8252" t="n">
        <v>0</v>
      </c>
      <c r="R8252" s="2" t="inlineStr"/>
    </row>
    <row r="8253" ht="15" customHeight="1">
      <c r="A8253" t="inlineStr">
        <is>
          <t>A 6275-2024</t>
        </is>
      </c>
      <c r="B8253" s="1" t="n">
        <v>45337</v>
      </c>
      <c r="C8253" s="1" t="n">
        <v>45356</v>
      </c>
      <c r="D8253" t="inlineStr">
        <is>
          <t>NORRBOTTENS LÄN</t>
        </is>
      </c>
      <c r="E8253" t="inlineStr">
        <is>
          <t>ÄLVSBYN</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6197-2024</t>
        </is>
      </c>
      <c r="B8254" s="1" t="n">
        <v>45337</v>
      </c>
      <c r="C8254" s="1" t="n">
        <v>45356</v>
      </c>
      <c r="D8254" t="inlineStr">
        <is>
          <t>NORRBOTTENS LÄN</t>
        </is>
      </c>
      <c r="E8254" t="inlineStr">
        <is>
          <t>ÄLVSBYN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6268-2024</t>
        </is>
      </c>
      <c r="B8255" s="1" t="n">
        <v>45337</v>
      </c>
      <c r="C8255" s="1" t="n">
        <v>45356</v>
      </c>
      <c r="D8255" t="inlineStr">
        <is>
          <t>NORRBOTTENS LÄN</t>
        </is>
      </c>
      <c r="E8255" t="inlineStr">
        <is>
          <t>GÄLLIVARE</t>
        </is>
      </c>
      <c r="G8255" t="n">
        <v>10.1</v>
      </c>
      <c r="H8255" t="n">
        <v>0</v>
      </c>
      <c r="I8255" t="n">
        <v>0</v>
      </c>
      <c r="J8255" t="n">
        <v>0</v>
      </c>
      <c r="K8255" t="n">
        <v>0</v>
      </c>
      <c r="L8255" t="n">
        <v>0</v>
      </c>
      <c r="M8255" t="n">
        <v>0</v>
      </c>
      <c r="N8255" t="n">
        <v>0</v>
      </c>
      <c r="O8255" t="n">
        <v>0</v>
      </c>
      <c r="P8255" t="n">
        <v>0</v>
      </c>
      <c r="Q8255" t="n">
        <v>0</v>
      </c>
      <c r="R8255" s="2" t="inlineStr"/>
    </row>
    <row r="8256" ht="15" customHeight="1">
      <c r="A8256" t="inlineStr">
        <is>
          <t>A 6272-2024</t>
        </is>
      </c>
      <c r="B8256" s="1" t="n">
        <v>45337</v>
      </c>
      <c r="C8256" s="1" t="n">
        <v>45356</v>
      </c>
      <c r="D8256" t="inlineStr">
        <is>
          <t>NORRBOTTENS LÄN</t>
        </is>
      </c>
      <c r="E8256" t="inlineStr">
        <is>
          <t>GÄLLIVARE</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6382-2024</t>
        </is>
      </c>
      <c r="B8257" s="1" t="n">
        <v>45338</v>
      </c>
      <c r="C8257" s="1" t="n">
        <v>45356</v>
      </c>
      <c r="D8257" t="inlineStr">
        <is>
          <t>NORRBOTTENS LÄN</t>
        </is>
      </c>
      <c r="E8257" t="inlineStr">
        <is>
          <t>BODEN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6472-2024</t>
        </is>
      </c>
      <c r="B8258" s="1" t="n">
        <v>45338</v>
      </c>
      <c r="C8258" s="1" t="n">
        <v>45356</v>
      </c>
      <c r="D8258" t="inlineStr">
        <is>
          <t>NORRBOTTENS LÄN</t>
        </is>
      </c>
      <c r="E8258" t="inlineStr">
        <is>
          <t>KALIX</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6396-2024</t>
        </is>
      </c>
      <c r="B8259" s="1" t="n">
        <v>45338</v>
      </c>
      <c r="C8259" s="1" t="n">
        <v>45356</v>
      </c>
      <c r="D8259" t="inlineStr">
        <is>
          <t>NORRBOTTENS LÄN</t>
        </is>
      </c>
      <c r="E8259" t="inlineStr">
        <is>
          <t>BODEN</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6471-2024</t>
        </is>
      </c>
      <c r="B8260" s="1" t="n">
        <v>45338</v>
      </c>
      <c r="C8260" s="1" t="n">
        <v>45356</v>
      </c>
      <c r="D8260" t="inlineStr">
        <is>
          <t>NORRBOTTENS LÄN</t>
        </is>
      </c>
      <c r="E8260" t="inlineStr">
        <is>
          <t>KALIX</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6517-2024</t>
        </is>
      </c>
      <c r="B8261" s="1" t="n">
        <v>45341</v>
      </c>
      <c r="C8261" s="1" t="n">
        <v>45356</v>
      </c>
      <c r="D8261" t="inlineStr">
        <is>
          <t>NORRBOTTENS LÄN</t>
        </is>
      </c>
      <c r="E8261" t="inlineStr">
        <is>
          <t>BODEN</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6570-2024</t>
        </is>
      </c>
      <c r="B8262" s="1" t="n">
        <v>45341</v>
      </c>
      <c r="C8262" s="1" t="n">
        <v>45356</v>
      </c>
      <c r="D8262" t="inlineStr">
        <is>
          <t>NORRBOTTENS LÄN</t>
        </is>
      </c>
      <c r="E8262" t="inlineStr">
        <is>
          <t>LULEÅ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6574-2024</t>
        </is>
      </c>
      <c r="B8263" s="1" t="n">
        <v>45341</v>
      </c>
      <c r="C8263" s="1" t="n">
        <v>45356</v>
      </c>
      <c r="D8263" t="inlineStr">
        <is>
          <t>NORRBOTTENS LÄN</t>
        </is>
      </c>
      <c r="E8263" t="inlineStr">
        <is>
          <t>ARVIDSJAUR</t>
        </is>
      </c>
      <c r="F8263" t="inlineStr">
        <is>
          <t>Sveaskog</t>
        </is>
      </c>
      <c r="G8263" t="n">
        <v>27.1</v>
      </c>
      <c r="H8263" t="n">
        <v>0</v>
      </c>
      <c r="I8263" t="n">
        <v>0</v>
      </c>
      <c r="J8263" t="n">
        <v>0</v>
      </c>
      <c r="K8263" t="n">
        <v>0</v>
      </c>
      <c r="L8263" t="n">
        <v>0</v>
      </c>
      <c r="M8263" t="n">
        <v>0</v>
      </c>
      <c r="N8263" t="n">
        <v>0</v>
      </c>
      <c r="O8263" t="n">
        <v>0</v>
      </c>
      <c r="P8263" t="n">
        <v>0</v>
      </c>
      <c r="Q8263" t="n">
        <v>0</v>
      </c>
      <c r="R8263" s="2" t="inlineStr"/>
    </row>
    <row r="8264" ht="15" customHeight="1">
      <c r="A8264" t="inlineStr">
        <is>
          <t>A 6595-2024</t>
        </is>
      </c>
      <c r="B8264" s="1" t="n">
        <v>45341</v>
      </c>
      <c r="C8264" s="1" t="n">
        <v>45356</v>
      </c>
      <c r="D8264" t="inlineStr">
        <is>
          <t>NORRBOTTENS LÄN</t>
        </is>
      </c>
      <c r="E8264" t="inlineStr">
        <is>
          <t>LULEÅ</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6596-2024</t>
        </is>
      </c>
      <c r="B8265" s="1" t="n">
        <v>45341</v>
      </c>
      <c r="C8265" s="1" t="n">
        <v>45356</v>
      </c>
      <c r="D8265" t="inlineStr">
        <is>
          <t>NORRBOTTENS LÄN</t>
        </is>
      </c>
      <c r="E8265" t="inlineStr">
        <is>
          <t>LULEÅ</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6621-2024</t>
        </is>
      </c>
      <c r="B8266" s="1" t="n">
        <v>45341</v>
      </c>
      <c r="C8266" s="1" t="n">
        <v>45356</v>
      </c>
      <c r="D8266" t="inlineStr">
        <is>
          <t>NORRBOTTENS LÄN</t>
        </is>
      </c>
      <c r="E8266" t="inlineStr">
        <is>
          <t>GÄLLIVARE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6606-2024</t>
        </is>
      </c>
      <c r="B8267" s="1" t="n">
        <v>45341</v>
      </c>
      <c r="C8267" s="1" t="n">
        <v>45356</v>
      </c>
      <c r="D8267" t="inlineStr">
        <is>
          <t>NORRBOTTENS LÄN</t>
        </is>
      </c>
      <c r="E8267" t="inlineStr">
        <is>
          <t>BODEN</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6552-2024</t>
        </is>
      </c>
      <c r="B8268" s="1" t="n">
        <v>45341</v>
      </c>
      <c r="C8268" s="1" t="n">
        <v>45356</v>
      </c>
      <c r="D8268" t="inlineStr">
        <is>
          <t>NORRBOTTENS LÄN</t>
        </is>
      </c>
      <c r="E8268" t="inlineStr">
        <is>
          <t>LULEÅ</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6841-2024</t>
        </is>
      </c>
      <c r="B8269" s="1" t="n">
        <v>45342</v>
      </c>
      <c r="C8269" s="1" t="n">
        <v>45356</v>
      </c>
      <c r="D8269" t="inlineStr">
        <is>
          <t>NORRBOTTENS LÄN</t>
        </is>
      </c>
      <c r="E8269" t="inlineStr">
        <is>
          <t>LULEÅ</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6862-2024</t>
        </is>
      </c>
      <c r="B8270" s="1" t="n">
        <v>45342</v>
      </c>
      <c r="C8270" s="1" t="n">
        <v>45356</v>
      </c>
      <c r="D8270" t="inlineStr">
        <is>
          <t>NORRBOTTENS LÄN</t>
        </is>
      </c>
      <c r="E8270" t="inlineStr">
        <is>
          <t>ARVIDSJAUR</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6866-2024</t>
        </is>
      </c>
      <c r="B8271" s="1" t="n">
        <v>45342</v>
      </c>
      <c r="C8271" s="1" t="n">
        <v>45356</v>
      </c>
      <c r="D8271" t="inlineStr">
        <is>
          <t>NORRBOTTENS LÄN</t>
        </is>
      </c>
      <c r="E8271" t="inlineStr">
        <is>
          <t>ÄLVSBYN</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6899-2024</t>
        </is>
      </c>
      <c r="B8272" s="1" t="n">
        <v>45342</v>
      </c>
      <c r="C8272" s="1" t="n">
        <v>45356</v>
      </c>
      <c r="D8272" t="inlineStr">
        <is>
          <t>NORRBOTTENS LÄN</t>
        </is>
      </c>
      <c r="E8272" t="inlineStr">
        <is>
          <t>ÄLVSBYN</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6718-2024</t>
        </is>
      </c>
      <c r="B8273" s="1" t="n">
        <v>45342</v>
      </c>
      <c r="C8273" s="1" t="n">
        <v>45356</v>
      </c>
      <c r="D8273" t="inlineStr">
        <is>
          <t>NORRBOTTENS LÄN</t>
        </is>
      </c>
      <c r="E8273" t="inlineStr">
        <is>
          <t>LULEÅ</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6864-2024</t>
        </is>
      </c>
      <c r="B8274" s="1" t="n">
        <v>45342</v>
      </c>
      <c r="C8274" s="1" t="n">
        <v>45356</v>
      </c>
      <c r="D8274" t="inlineStr">
        <is>
          <t>NORRBOTTENS LÄN</t>
        </is>
      </c>
      <c r="E8274" t="inlineStr">
        <is>
          <t>ÄLVSBYN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6739-2024</t>
        </is>
      </c>
      <c r="B8275" s="1" t="n">
        <v>45342</v>
      </c>
      <c r="C8275" s="1" t="n">
        <v>45356</v>
      </c>
      <c r="D8275" t="inlineStr">
        <is>
          <t>NORRBOTTENS LÄN</t>
        </is>
      </c>
      <c r="E8275" t="inlineStr">
        <is>
          <t>LULEÅ</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6890-2024</t>
        </is>
      </c>
      <c r="B8276" s="1" t="n">
        <v>45342</v>
      </c>
      <c r="C8276" s="1" t="n">
        <v>45356</v>
      </c>
      <c r="D8276" t="inlineStr">
        <is>
          <t>NORRBOTTENS LÄN</t>
        </is>
      </c>
      <c r="E8276" t="inlineStr">
        <is>
          <t>PITEÅ</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6988-2024</t>
        </is>
      </c>
      <c r="B8277" s="1" t="n">
        <v>45343</v>
      </c>
      <c r="C8277" s="1" t="n">
        <v>45356</v>
      </c>
      <c r="D8277" t="inlineStr">
        <is>
          <t>NORRBOTTENS LÄN</t>
        </is>
      </c>
      <c r="E8277" t="inlineStr">
        <is>
          <t>PITEÅ</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7115-2024</t>
        </is>
      </c>
      <c r="B8278" s="1" t="n">
        <v>45343</v>
      </c>
      <c r="C8278" s="1" t="n">
        <v>45356</v>
      </c>
      <c r="D8278" t="inlineStr">
        <is>
          <t>NORRBOTTENS LÄN</t>
        </is>
      </c>
      <c r="E8278" t="inlineStr">
        <is>
          <t>ÄLVSBYN</t>
        </is>
      </c>
      <c r="F8278" t="inlineStr">
        <is>
          <t>SCA</t>
        </is>
      </c>
      <c r="G8278" t="n">
        <v>15.1</v>
      </c>
      <c r="H8278" t="n">
        <v>0</v>
      </c>
      <c r="I8278" t="n">
        <v>0</v>
      </c>
      <c r="J8278" t="n">
        <v>0</v>
      </c>
      <c r="K8278" t="n">
        <v>0</v>
      </c>
      <c r="L8278" t="n">
        <v>0</v>
      </c>
      <c r="M8278" t="n">
        <v>0</v>
      </c>
      <c r="N8278" t="n">
        <v>0</v>
      </c>
      <c r="O8278" t="n">
        <v>0</v>
      </c>
      <c r="P8278" t="n">
        <v>0</v>
      </c>
      <c r="Q8278" t="n">
        <v>0</v>
      </c>
      <c r="R8278" s="2" t="inlineStr"/>
    </row>
    <row r="8279" ht="15" customHeight="1">
      <c r="A8279" t="inlineStr">
        <is>
          <t>A 6920-2024</t>
        </is>
      </c>
      <c r="B8279" s="1" t="n">
        <v>45343</v>
      </c>
      <c r="C8279" s="1" t="n">
        <v>45356</v>
      </c>
      <c r="D8279" t="inlineStr">
        <is>
          <t>NORRBOTTENS LÄN</t>
        </is>
      </c>
      <c r="E8279" t="inlineStr">
        <is>
          <t>PITEÅ</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7197-2024</t>
        </is>
      </c>
      <c r="B8280" s="1" t="n">
        <v>45344</v>
      </c>
      <c r="C8280" s="1" t="n">
        <v>45356</v>
      </c>
      <c r="D8280" t="inlineStr">
        <is>
          <t>NORRBOTTENS LÄN</t>
        </is>
      </c>
      <c r="E8280" t="inlineStr">
        <is>
          <t>GÄLLIVARE</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7242-2024</t>
        </is>
      </c>
      <c r="B8281" s="1" t="n">
        <v>45344</v>
      </c>
      <c r="C8281" s="1" t="n">
        <v>45356</v>
      </c>
      <c r="D8281" t="inlineStr">
        <is>
          <t>NORRBOTTENS LÄN</t>
        </is>
      </c>
      <c r="E8281" t="inlineStr">
        <is>
          <t>GÄLLIVARE</t>
        </is>
      </c>
      <c r="G8281" t="n">
        <v>11.7</v>
      </c>
      <c r="H8281" t="n">
        <v>0</v>
      </c>
      <c r="I8281" t="n">
        <v>0</v>
      </c>
      <c r="J8281" t="n">
        <v>0</v>
      </c>
      <c r="K8281" t="n">
        <v>0</v>
      </c>
      <c r="L8281" t="n">
        <v>0</v>
      </c>
      <c r="M8281" t="n">
        <v>0</v>
      </c>
      <c r="N8281" t="n">
        <v>0</v>
      </c>
      <c r="O8281" t="n">
        <v>0</v>
      </c>
      <c r="P8281" t="n">
        <v>0</v>
      </c>
      <c r="Q8281" t="n">
        <v>0</v>
      </c>
      <c r="R8281" s="2" t="inlineStr"/>
    </row>
    <row r="8282" ht="15" customHeight="1">
      <c r="A8282" t="inlineStr">
        <is>
          <t>A 7266-2024</t>
        </is>
      </c>
      <c r="B8282" s="1" t="n">
        <v>45344</v>
      </c>
      <c r="C8282" s="1" t="n">
        <v>45356</v>
      </c>
      <c r="D8282" t="inlineStr">
        <is>
          <t>NORRBOTTENS LÄN</t>
        </is>
      </c>
      <c r="E8282" t="inlineStr">
        <is>
          <t>ÄLVSBYN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7289-2024</t>
        </is>
      </c>
      <c r="B8283" s="1" t="n">
        <v>45344</v>
      </c>
      <c r="C8283" s="1" t="n">
        <v>45356</v>
      </c>
      <c r="D8283" t="inlineStr">
        <is>
          <t>NORRBOTTENS LÄN</t>
        </is>
      </c>
      <c r="E8283" t="inlineStr">
        <is>
          <t>ÄLVSBYN</t>
        </is>
      </c>
      <c r="F8283" t="inlineStr">
        <is>
          <t>SCA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7306-2024</t>
        </is>
      </c>
      <c r="B8284" s="1" t="n">
        <v>45344</v>
      </c>
      <c r="C8284" s="1" t="n">
        <v>45356</v>
      </c>
      <c r="D8284" t="inlineStr">
        <is>
          <t>NORRBOTTENS LÄN</t>
        </is>
      </c>
      <c r="E8284" t="inlineStr">
        <is>
          <t>LULEÅ</t>
        </is>
      </c>
      <c r="G8284" t="n">
        <v>29.2</v>
      </c>
      <c r="H8284" t="n">
        <v>0</v>
      </c>
      <c r="I8284" t="n">
        <v>0</v>
      </c>
      <c r="J8284" t="n">
        <v>0</v>
      </c>
      <c r="K8284" t="n">
        <v>0</v>
      </c>
      <c r="L8284" t="n">
        <v>0</v>
      </c>
      <c r="M8284" t="n">
        <v>0</v>
      </c>
      <c r="N8284" t="n">
        <v>0</v>
      </c>
      <c r="O8284" t="n">
        <v>0</v>
      </c>
      <c r="P8284" t="n">
        <v>0</v>
      </c>
      <c r="Q8284" t="n">
        <v>0</v>
      </c>
      <c r="R8284" s="2" t="inlineStr"/>
    </row>
    <row r="8285" ht="15" customHeight="1">
      <c r="A8285" t="inlineStr">
        <is>
          <t>A 7452-2024</t>
        </is>
      </c>
      <c r="B8285" s="1" t="n">
        <v>45345</v>
      </c>
      <c r="C8285" s="1" t="n">
        <v>45356</v>
      </c>
      <c r="D8285" t="inlineStr">
        <is>
          <t>NORRBOTTENS LÄN</t>
        </is>
      </c>
      <c r="E8285" t="inlineStr">
        <is>
          <t>ARVIDSJAUR</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7451-2024</t>
        </is>
      </c>
      <c r="B8286" s="1" t="n">
        <v>45345</v>
      </c>
      <c r="C8286" s="1" t="n">
        <v>45356</v>
      </c>
      <c r="D8286" t="inlineStr">
        <is>
          <t>NORRBOTTENS LÄN</t>
        </is>
      </c>
      <c r="E8286" t="inlineStr">
        <is>
          <t>ARVIDSJAUR</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7459-2024</t>
        </is>
      </c>
      <c r="B8287" s="1" t="n">
        <v>45345</v>
      </c>
      <c r="C8287" s="1" t="n">
        <v>45356</v>
      </c>
      <c r="D8287" t="inlineStr">
        <is>
          <t>NORRBOTTENS LÄN</t>
        </is>
      </c>
      <c r="E8287" t="inlineStr">
        <is>
          <t>PITEÅ</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7382-2024</t>
        </is>
      </c>
      <c r="B8288" s="1" t="n">
        <v>45345</v>
      </c>
      <c r="C8288" s="1" t="n">
        <v>45356</v>
      </c>
      <c r="D8288" t="inlineStr">
        <is>
          <t>NORRBOTTENS LÄN</t>
        </is>
      </c>
      <c r="E8288" t="inlineStr">
        <is>
          <t>LULEÅ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7457-2024</t>
        </is>
      </c>
      <c r="B8289" s="1" t="n">
        <v>45345</v>
      </c>
      <c r="C8289" s="1" t="n">
        <v>45356</v>
      </c>
      <c r="D8289" t="inlineStr">
        <is>
          <t>NORRBOTTENS LÄN</t>
        </is>
      </c>
      <c r="E8289" t="inlineStr">
        <is>
          <t>PITEÅ</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7461-2024</t>
        </is>
      </c>
      <c r="B8290" s="1" t="n">
        <v>45345</v>
      </c>
      <c r="C8290" s="1" t="n">
        <v>45356</v>
      </c>
      <c r="D8290" t="inlineStr">
        <is>
          <t>NORRBOTTENS LÄN</t>
        </is>
      </c>
      <c r="E8290" t="inlineStr">
        <is>
          <t>PITEÅ</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7442-2024</t>
        </is>
      </c>
      <c r="B8291" s="1" t="n">
        <v>45345</v>
      </c>
      <c r="C8291" s="1" t="n">
        <v>45356</v>
      </c>
      <c r="D8291" t="inlineStr">
        <is>
          <t>NORRBOTTENS LÄN</t>
        </is>
      </c>
      <c r="E8291" t="inlineStr">
        <is>
          <t>BODEN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7458-2024</t>
        </is>
      </c>
      <c r="B8292" s="1" t="n">
        <v>45345</v>
      </c>
      <c r="C8292" s="1" t="n">
        <v>45356</v>
      </c>
      <c r="D8292" t="inlineStr">
        <is>
          <t>NORRBOTTENS LÄN</t>
        </is>
      </c>
      <c r="E8292" t="inlineStr">
        <is>
          <t>PITEÅ</t>
        </is>
      </c>
      <c r="G8292" t="n">
        <v>9.5</v>
      </c>
      <c r="H8292" t="n">
        <v>0</v>
      </c>
      <c r="I8292" t="n">
        <v>0</v>
      </c>
      <c r="J8292" t="n">
        <v>0</v>
      </c>
      <c r="K8292" t="n">
        <v>0</v>
      </c>
      <c r="L8292" t="n">
        <v>0</v>
      </c>
      <c r="M8292" t="n">
        <v>0</v>
      </c>
      <c r="N8292" t="n">
        <v>0</v>
      </c>
      <c r="O8292" t="n">
        <v>0</v>
      </c>
      <c r="P8292" t="n">
        <v>0</v>
      </c>
      <c r="Q8292" t="n">
        <v>0</v>
      </c>
      <c r="R8292" s="2" t="inlineStr"/>
    </row>
    <row r="8293" ht="15" customHeight="1">
      <c r="A8293" t="inlineStr">
        <is>
          <t>A 7479-2024</t>
        </is>
      </c>
      <c r="B8293" s="1" t="n">
        <v>45345</v>
      </c>
      <c r="C8293" s="1" t="n">
        <v>45356</v>
      </c>
      <c r="D8293" t="inlineStr">
        <is>
          <t>NORRBOTTENS LÄN</t>
        </is>
      </c>
      <c r="E8293" t="inlineStr">
        <is>
          <t>ÄLVSBYN</t>
        </is>
      </c>
      <c r="F8293" t="inlineStr">
        <is>
          <t>SCA</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7486-2024</t>
        </is>
      </c>
      <c r="B8294" s="1" t="n">
        <v>45346</v>
      </c>
      <c r="C8294" s="1" t="n">
        <v>45356</v>
      </c>
      <c r="D8294" t="inlineStr">
        <is>
          <t>NORRBOTTENS LÄN</t>
        </is>
      </c>
      <c r="E8294" t="inlineStr">
        <is>
          <t>GÄLLIVARE</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7502-2024</t>
        </is>
      </c>
      <c r="B8295" s="1" t="n">
        <v>45347</v>
      </c>
      <c r="C8295" s="1" t="n">
        <v>45356</v>
      </c>
      <c r="D8295" t="inlineStr">
        <is>
          <t>NORRBOTTENS LÄN</t>
        </is>
      </c>
      <c r="E8295" t="inlineStr">
        <is>
          <t>PITEÅ</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7504-2024</t>
        </is>
      </c>
      <c r="B8296" s="1" t="n">
        <v>45347</v>
      </c>
      <c r="C8296" s="1" t="n">
        <v>45356</v>
      </c>
      <c r="D8296" t="inlineStr">
        <is>
          <t>NORRBOTTENS LÄN</t>
        </is>
      </c>
      <c r="E8296" t="inlineStr">
        <is>
          <t>PITEÅ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7503-2024</t>
        </is>
      </c>
      <c r="B8297" s="1" t="n">
        <v>45347</v>
      </c>
      <c r="C8297" s="1" t="n">
        <v>45356</v>
      </c>
      <c r="D8297" t="inlineStr">
        <is>
          <t>NORRBOTTENS LÄN</t>
        </is>
      </c>
      <c r="E8297" t="inlineStr">
        <is>
          <t>PITEÅ</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7553-2024</t>
        </is>
      </c>
      <c r="B8298" s="1" t="n">
        <v>45348</v>
      </c>
      <c r="C8298" s="1" t="n">
        <v>45356</v>
      </c>
      <c r="D8298" t="inlineStr">
        <is>
          <t>NORRBOTTENS LÄN</t>
        </is>
      </c>
      <c r="E8298" t="inlineStr">
        <is>
          <t>PITEÅ</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7561-2024</t>
        </is>
      </c>
      <c r="B8299" s="1" t="n">
        <v>45348</v>
      </c>
      <c r="C8299" s="1" t="n">
        <v>45356</v>
      </c>
      <c r="D8299" t="inlineStr">
        <is>
          <t>NORRBOTTENS LÄN</t>
        </is>
      </c>
      <c r="E8299" t="inlineStr">
        <is>
          <t>ÖVERTORNEÅ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7552-2024</t>
        </is>
      </c>
      <c r="B8300" s="1" t="n">
        <v>45348</v>
      </c>
      <c r="C8300" s="1" t="n">
        <v>45356</v>
      </c>
      <c r="D8300" t="inlineStr">
        <is>
          <t>NORRBOTTENS LÄN</t>
        </is>
      </c>
      <c r="E8300" t="inlineStr">
        <is>
          <t>PITEÅ</t>
        </is>
      </c>
      <c r="F8300" t="inlineStr">
        <is>
          <t>Sveaskog</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7555-2024</t>
        </is>
      </c>
      <c r="B8301" s="1" t="n">
        <v>45348</v>
      </c>
      <c r="C8301" s="1" t="n">
        <v>45356</v>
      </c>
      <c r="D8301" t="inlineStr">
        <is>
          <t>NORRBOTTENS LÄN</t>
        </is>
      </c>
      <c r="E8301" t="inlineStr">
        <is>
          <t>PITEÅ</t>
        </is>
      </c>
      <c r="F8301" t="inlineStr">
        <is>
          <t>Sveaskog</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7790-2024</t>
        </is>
      </c>
      <c r="B8302" s="1" t="n">
        <v>45348</v>
      </c>
      <c r="C8302" s="1" t="n">
        <v>45356</v>
      </c>
      <c r="D8302" t="inlineStr">
        <is>
          <t>NORRBOTTENS LÄN</t>
        </is>
      </c>
      <c r="E8302" t="inlineStr">
        <is>
          <t>ARVIDSJAUR</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7799-2024</t>
        </is>
      </c>
      <c r="B8303" s="1" t="n">
        <v>45348</v>
      </c>
      <c r="C8303" s="1" t="n">
        <v>45356</v>
      </c>
      <c r="D8303" t="inlineStr">
        <is>
          <t>NORRBOTTENS LÄN</t>
        </is>
      </c>
      <c r="E8303" t="inlineStr">
        <is>
          <t>PITEÅ</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7785-2024</t>
        </is>
      </c>
      <c r="B8304" s="1" t="n">
        <v>45348</v>
      </c>
      <c r="C8304" s="1" t="n">
        <v>45356</v>
      </c>
      <c r="D8304" t="inlineStr">
        <is>
          <t>NORRBOTTENS LÄN</t>
        </is>
      </c>
      <c r="E8304" t="inlineStr">
        <is>
          <t>ARJEPLOG</t>
        </is>
      </c>
      <c r="G8304" t="n">
        <v>26.7</v>
      </c>
      <c r="H8304" t="n">
        <v>0</v>
      </c>
      <c r="I8304" t="n">
        <v>0</v>
      </c>
      <c r="J8304" t="n">
        <v>0</v>
      </c>
      <c r="K8304" t="n">
        <v>0</v>
      </c>
      <c r="L8304" t="n">
        <v>0</v>
      </c>
      <c r="M8304" t="n">
        <v>0</v>
      </c>
      <c r="N8304" t="n">
        <v>0</v>
      </c>
      <c r="O8304" t="n">
        <v>0</v>
      </c>
      <c r="P8304" t="n">
        <v>0</v>
      </c>
      <c r="Q8304" t="n">
        <v>0</v>
      </c>
      <c r="R8304" s="2" t="inlineStr"/>
    </row>
    <row r="8305" ht="15" customHeight="1">
      <c r="A8305" t="inlineStr">
        <is>
          <t>A 7845-2024</t>
        </is>
      </c>
      <c r="B8305" s="1" t="n">
        <v>45349</v>
      </c>
      <c r="C8305" s="1" t="n">
        <v>45356</v>
      </c>
      <c r="D8305" t="inlineStr">
        <is>
          <t>NORRBOTTENS LÄN</t>
        </is>
      </c>
      <c r="E8305" t="inlineStr">
        <is>
          <t>JOKKMOKK</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7958-2024</t>
        </is>
      </c>
      <c r="B8306" s="1" t="n">
        <v>45349</v>
      </c>
      <c r="C8306" s="1" t="n">
        <v>45356</v>
      </c>
      <c r="D8306" t="inlineStr">
        <is>
          <t>NORRBOTTENS LÄN</t>
        </is>
      </c>
      <c r="E8306" t="inlineStr">
        <is>
          <t>PITEÅ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8171-2024</t>
        </is>
      </c>
      <c r="B8307" s="1" t="n">
        <v>45349</v>
      </c>
      <c r="C8307" s="1" t="n">
        <v>45356</v>
      </c>
      <c r="D8307" t="inlineStr">
        <is>
          <t>NORRBOTTENS LÄN</t>
        </is>
      </c>
      <c r="E8307" t="inlineStr">
        <is>
          <t>BODEN</t>
        </is>
      </c>
      <c r="G8307" t="n">
        <v>10.7</v>
      </c>
      <c r="H8307" t="n">
        <v>0</v>
      </c>
      <c r="I8307" t="n">
        <v>0</v>
      </c>
      <c r="J8307" t="n">
        <v>0</v>
      </c>
      <c r="K8307" t="n">
        <v>0</v>
      </c>
      <c r="L8307" t="n">
        <v>0</v>
      </c>
      <c r="M8307" t="n">
        <v>0</v>
      </c>
      <c r="N8307" t="n">
        <v>0</v>
      </c>
      <c r="O8307" t="n">
        <v>0</v>
      </c>
      <c r="P8307" t="n">
        <v>0</v>
      </c>
      <c r="Q8307" t="n">
        <v>0</v>
      </c>
      <c r="R8307" s="2" t="inlineStr"/>
    </row>
    <row r="8308" ht="15" customHeight="1">
      <c r="A8308" t="inlineStr">
        <is>
          <t>A 7715-2024</t>
        </is>
      </c>
      <c r="B8308" s="1" t="n">
        <v>45349</v>
      </c>
      <c r="C8308" s="1" t="n">
        <v>45356</v>
      </c>
      <c r="D8308" t="inlineStr">
        <is>
          <t>NORRBOTTENS LÄN</t>
        </is>
      </c>
      <c r="E8308" t="inlineStr">
        <is>
          <t>JOKKMOKK</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7964-2024</t>
        </is>
      </c>
      <c r="B8309" s="1" t="n">
        <v>45349</v>
      </c>
      <c r="C8309" s="1" t="n">
        <v>45356</v>
      </c>
      <c r="D8309" t="inlineStr">
        <is>
          <t>NORRBOTTENS LÄN</t>
        </is>
      </c>
      <c r="E8309" t="inlineStr">
        <is>
          <t>PITEÅ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7888-2024</t>
        </is>
      </c>
      <c r="B8310" s="1" t="n">
        <v>45350</v>
      </c>
      <c r="C8310" s="1" t="n">
        <v>45356</v>
      </c>
      <c r="D8310" t="inlineStr">
        <is>
          <t>NORRBOTTENS LÄN</t>
        </is>
      </c>
      <c r="E8310" t="inlineStr">
        <is>
          <t>PITEÅ</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7901-2024</t>
        </is>
      </c>
      <c r="B8311" s="1" t="n">
        <v>45350</v>
      </c>
      <c r="C8311" s="1" t="n">
        <v>45356</v>
      </c>
      <c r="D8311" t="inlineStr">
        <is>
          <t>NORRBOTTENS LÄN</t>
        </is>
      </c>
      <c r="E8311" t="inlineStr">
        <is>
          <t>PITEÅ</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8029-2024</t>
        </is>
      </c>
      <c r="B8312" s="1" t="n">
        <v>45350</v>
      </c>
      <c r="C8312" s="1" t="n">
        <v>45356</v>
      </c>
      <c r="D8312" t="inlineStr">
        <is>
          <t>NORRBOTTENS LÄN</t>
        </is>
      </c>
      <c r="E8312" t="inlineStr">
        <is>
          <t>BODEN</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7913-2024</t>
        </is>
      </c>
      <c r="B8313" s="1" t="n">
        <v>45350</v>
      </c>
      <c r="C8313" s="1" t="n">
        <v>45356</v>
      </c>
      <c r="D8313" t="inlineStr">
        <is>
          <t>NORRBOTTENS LÄN</t>
        </is>
      </c>
      <c r="E8313" t="inlineStr">
        <is>
          <t>PAJALA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7950-2024</t>
        </is>
      </c>
      <c r="B8314" s="1" t="n">
        <v>45350</v>
      </c>
      <c r="C8314" s="1" t="n">
        <v>45356</v>
      </c>
      <c r="D8314" t="inlineStr">
        <is>
          <t>NORRBOTTENS LÄN</t>
        </is>
      </c>
      <c r="E8314" t="inlineStr">
        <is>
          <t>PAJALA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8023-2024</t>
        </is>
      </c>
      <c r="B8315" s="1" t="n">
        <v>45350</v>
      </c>
      <c r="C8315" s="1" t="n">
        <v>45356</v>
      </c>
      <c r="D8315" t="inlineStr">
        <is>
          <t>NORRBOTTENS LÄN</t>
        </is>
      </c>
      <c r="E8315" t="inlineStr">
        <is>
          <t>PITEÅ</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7894-2024</t>
        </is>
      </c>
      <c r="B8316" s="1" t="n">
        <v>45350</v>
      </c>
      <c r="C8316" s="1" t="n">
        <v>45356</v>
      </c>
      <c r="D8316" t="inlineStr">
        <is>
          <t>NORRBOTTENS LÄN</t>
        </is>
      </c>
      <c r="E8316" t="inlineStr">
        <is>
          <t>PITEÅ</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8022-2024</t>
        </is>
      </c>
      <c r="B8317" s="1" t="n">
        <v>45350</v>
      </c>
      <c r="C8317" s="1" t="n">
        <v>45356</v>
      </c>
      <c r="D8317" t="inlineStr">
        <is>
          <t>NORRBOTTENS LÄN</t>
        </is>
      </c>
      <c r="E8317" t="inlineStr">
        <is>
          <t>LULEÅ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8026-2024</t>
        </is>
      </c>
      <c r="B8318" s="1" t="n">
        <v>45350</v>
      </c>
      <c r="C8318" s="1" t="n">
        <v>45356</v>
      </c>
      <c r="D8318" t="inlineStr">
        <is>
          <t>NORRBOTTENS LÄN</t>
        </is>
      </c>
      <c r="E8318" t="inlineStr">
        <is>
          <t>PITEÅ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7905-2024</t>
        </is>
      </c>
      <c r="B8319" s="1" t="n">
        <v>45350</v>
      </c>
      <c r="C8319" s="1" t="n">
        <v>45356</v>
      </c>
      <c r="D8319" t="inlineStr">
        <is>
          <t>NORRBOTTENS LÄN</t>
        </is>
      </c>
      <c r="E8319" t="inlineStr">
        <is>
          <t>PITEÅ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8028-2024</t>
        </is>
      </c>
      <c r="B8320" s="1" t="n">
        <v>45350</v>
      </c>
      <c r="C8320" s="1" t="n">
        <v>45356</v>
      </c>
      <c r="D8320" t="inlineStr">
        <is>
          <t>NORRBOTTENS LÄN</t>
        </is>
      </c>
      <c r="E8320" t="inlineStr">
        <is>
          <t>BODEN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8073-2024</t>
        </is>
      </c>
      <c r="B8321" s="1" t="n">
        <v>45351</v>
      </c>
      <c r="C8321" s="1" t="n">
        <v>45356</v>
      </c>
      <c r="D8321" t="inlineStr">
        <is>
          <t>NORRBOTTENS LÄN</t>
        </is>
      </c>
      <c r="E8321" t="inlineStr">
        <is>
          <t>JOKKMOKK</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8157-2024</t>
        </is>
      </c>
      <c r="B8322" s="1" t="n">
        <v>45351</v>
      </c>
      <c r="C8322" s="1" t="n">
        <v>45356</v>
      </c>
      <c r="D8322" t="inlineStr">
        <is>
          <t>NORRBOTTENS LÄN</t>
        </is>
      </c>
      <c r="E8322" t="inlineStr">
        <is>
          <t>PITEÅ</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8229-2024</t>
        </is>
      </c>
      <c r="B8323" s="1" t="n">
        <v>45351</v>
      </c>
      <c r="C8323" s="1" t="n">
        <v>45356</v>
      </c>
      <c r="D8323" t="inlineStr">
        <is>
          <t>NORRBOTTENS LÄN</t>
        </is>
      </c>
      <c r="E8323" t="inlineStr">
        <is>
          <t>LULEÅ</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8359-2024</t>
        </is>
      </c>
      <c r="B8324" s="1" t="n">
        <v>45351</v>
      </c>
      <c r="C8324" s="1" t="n">
        <v>45356</v>
      </c>
      <c r="D8324" t="inlineStr">
        <is>
          <t>NORRBOTTENS LÄN</t>
        </is>
      </c>
      <c r="E8324" t="inlineStr">
        <is>
          <t>GÄLLIVARE</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8476-2024</t>
        </is>
      </c>
      <c r="B8325" s="1" t="n">
        <v>45351</v>
      </c>
      <c r="C8325" s="1" t="n">
        <v>45356</v>
      </c>
      <c r="D8325" t="inlineStr">
        <is>
          <t>NORRBOTTENS LÄN</t>
        </is>
      </c>
      <c r="E8325" t="inlineStr">
        <is>
          <t>ÖVERTORNEÅ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8517-2024</t>
        </is>
      </c>
      <c r="B8326" s="1" t="n">
        <v>45351</v>
      </c>
      <c r="C8326" s="1" t="n">
        <v>45356</v>
      </c>
      <c r="D8326" t="inlineStr">
        <is>
          <t>NORRBOTTENS LÄN</t>
        </is>
      </c>
      <c r="E8326" t="inlineStr">
        <is>
          <t>ÄLVSBYN</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8508-2024</t>
        </is>
      </c>
      <c r="B8327" s="1" t="n">
        <v>45351</v>
      </c>
      <c r="C8327" s="1" t="n">
        <v>45356</v>
      </c>
      <c r="D8327" t="inlineStr">
        <is>
          <t>NORRBOTTENS LÄN</t>
        </is>
      </c>
      <c r="E8327" t="inlineStr">
        <is>
          <t>ÄLVSBYN</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8509-2024</t>
        </is>
      </c>
      <c r="B8328" s="1" t="n">
        <v>45351</v>
      </c>
      <c r="C8328" s="1" t="n">
        <v>45356</v>
      </c>
      <c r="D8328" t="inlineStr">
        <is>
          <t>NORRBOTTENS LÄN</t>
        </is>
      </c>
      <c r="E8328" t="inlineStr">
        <is>
          <t>ÖVERTORNEÅ</t>
        </is>
      </c>
      <c r="G8328" t="n">
        <v>7</v>
      </c>
      <c r="H8328" t="n">
        <v>0</v>
      </c>
      <c r="I8328" t="n">
        <v>0</v>
      </c>
      <c r="J8328" t="n">
        <v>0</v>
      </c>
      <c r="K8328" t="n">
        <v>0</v>
      </c>
      <c r="L8328" t="n">
        <v>0</v>
      </c>
      <c r="M8328" t="n">
        <v>0</v>
      </c>
      <c r="N8328" t="n">
        <v>0</v>
      </c>
      <c r="O8328" t="n">
        <v>0</v>
      </c>
      <c r="P8328" t="n">
        <v>0</v>
      </c>
      <c r="Q8328" t="n">
        <v>0</v>
      </c>
      <c r="R8328" s="2" t="inlineStr"/>
    </row>
    <row r="8329" ht="15" customHeight="1">
      <c r="A8329" t="inlineStr">
        <is>
          <t>A 8530-2024</t>
        </is>
      </c>
      <c r="B8329" s="1" t="n">
        <v>45351</v>
      </c>
      <c r="C8329" s="1" t="n">
        <v>45356</v>
      </c>
      <c r="D8329" t="inlineStr">
        <is>
          <t>NORRBOTTENS LÄN</t>
        </is>
      </c>
      <c r="E8329" t="inlineStr">
        <is>
          <t>PAJALA</t>
        </is>
      </c>
      <c r="G8329" t="n">
        <v>37.9</v>
      </c>
      <c r="H8329" t="n">
        <v>0</v>
      </c>
      <c r="I8329" t="n">
        <v>0</v>
      </c>
      <c r="J8329" t="n">
        <v>0</v>
      </c>
      <c r="K8329" t="n">
        <v>0</v>
      </c>
      <c r="L8329" t="n">
        <v>0</v>
      </c>
      <c r="M8329" t="n">
        <v>0</v>
      </c>
      <c r="N8329" t="n">
        <v>0</v>
      </c>
      <c r="O8329" t="n">
        <v>0</v>
      </c>
      <c r="P8329" t="n">
        <v>0</v>
      </c>
      <c r="Q8329" t="n">
        <v>0</v>
      </c>
      <c r="R8329" s="2" t="inlineStr"/>
    </row>
    <row r="8330" ht="15" customHeight="1">
      <c r="A8330" t="inlineStr">
        <is>
          <t>A 8348-2024</t>
        </is>
      </c>
      <c r="B8330" s="1" t="n">
        <v>45351</v>
      </c>
      <c r="C8330" s="1" t="n">
        <v>45356</v>
      </c>
      <c r="D8330" t="inlineStr">
        <is>
          <t>NORRBOTTENS LÄN</t>
        </is>
      </c>
      <c r="E8330" t="inlineStr">
        <is>
          <t>GÄLLIVARE</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8154-2024</t>
        </is>
      </c>
      <c r="B8331" s="1" t="n">
        <v>45351</v>
      </c>
      <c r="C8331" s="1" t="n">
        <v>45356</v>
      </c>
      <c r="D8331" t="inlineStr">
        <is>
          <t>NORRBOTTENS LÄN</t>
        </is>
      </c>
      <c r="E8331" t="inlineStr">
        <is>
          <t>PITEÅ</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8212-2024</t>
        </is>
      </c>
      <c r="B8332" s="1" t="n">
        <v>45351</v>
      </c>
      <c r="C8332" s="1" t="n">
        <v>45356</v>
      </c>
      <c r="D8332" t="inlineStr">
        <is>
          <t>NORRBOTTENS LÄN</t>
        </is>
      </c>
      <c r="E8332" t="inlineStr">
        <is>
          <t>PAJALA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8228-2024</t>
        </is>
      </c>
      <c r="B8333" s="1" t="n">
        <v>45351</v>
      </c>
      <c r="C8333" s="1" t="n">
        <v>45356</v>
      </c>
      <c r="D8333" t="inlineStr">
        <is>
          <t>NORRBOTTENS LÄN</t>
        </is>
      </c>
      <c r="E8333" t="inlineStr">
        <is>
          <t>LULEÅ</t>
        </is>
      </c>
      <c r="G8333" t="n">
        <v>10.1</v>
      </c>
      <c r="H8333" t="n">
        <v>0</v>
      </c>
      <c r="I8333" t="n">
        <v>0</v>
      </c>
      <c r="J8333" t="n">
        <v>0</v>
      </c>
      <c r="K8333" t="n">
        <v>0</v>
      </c>
      <c r="L8333" t="n">
        <v>0</v>
      </c>
      <c r="M8333" t="n">
        <v>0</v>
      </c>
      <c r="N8333" t="n">
        <v>0</v>
      </c>
      <c r="O8333" t="n">
        <v>0</v>
      </c>
      <c r="P8333" t="n">
        <v>0</v>
      </c>
      <c r="Q8333" t="n">
        <v>0</v>
      </c>
      <c r="R8333" s="2" t="inlineStr"/>
    </row>
    <row r="8334" ht="15" customHeight="1">
      <c r="A8334" t="inlineStr">
        <is>
          <t>A 8232-2024</t>
        </is>
      </c>
      <c r="B8334" s="1" t="n">
        <v>45351</v>
      </c>
      <c r="C8334" s="1" t="n">
        <v>45356</v>
      </c>
      <c r="D8334" t="inlineStr">
        <is>
          <t>NORRBOTTENS LÄN</t>
        </is>
      </c>
      <c r="E8334" t="inlineStr">
        <is>
          <t>BODEN</t>
        </is>
      </c>
      <c r="G8334" t="n">
        <v>16.8</v>
      </c>
      <c r="H8334" t="n">
        <v>0</v>
      </c>
      <c r="I8334" t="n">
        <v>0</v>
      </c>
      <c r="J8334" t="n">
        <v>0</v>
      </c>
      <c r="K8334" t="n">
        <v>0</v>
      </c>
      <c r="L8334" t="n">
        <v>0</v>
      </c>
      <c r="M8334" t="n">
        <v>0</v>
      </c>
      <c r="N8334" t="n">
        <v>0</v>
      </c>
      <c r="O8334" t="n">
        <v>0</v>
      </c>
      <c r="P8334" t="n">
        <v>0</v>
      </c>
      <c r="Q8334" t="n">
        <v>0</v>
      </c>
      <c r="R8334" s="2" t="inlineStr"/>
    </row>
    <row r="8335" ht="15" customHeight="1">
      <c r="A8335" t="inlineStr">
        <is>
          <t>A 8352-2024</t>
        </is>
      </c>
      <c r="B8335" s="1" t="n">
        <v>45351</v>
      </c>
      <c r="C8335" s="1" t="n">
        <v>45356</v>
      </c>
      <c r="D8335" t="inlineStr">
        <is>
          <t>NORRBOTTENS LÄN</t>
        </is>
      </c>
      <c r="E8335" t="inlineStr">
        <is>
          <t>GÄLLIVARE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8507-2024</t>
        </is>
      </c>
      <c r="B8336" s="1" t="n">
        <v>45351</v>
      </c>
      <c r="C8336" s="1" t="n">
        <v>45356</v>
      </c>
      <c r="D8336" t="inlineStr">
        <is>
          <t>NORRBOTTENS LÄN</t>
        </is>
      </c>
      <c r="E8336" t="inlineStr">
        <is>
          <t>ÖVERTORNEÅ</t>
        </is>
      </c>
      <c r="G8336" t="n">
        <v>15.8</v>
      </c>
      <c r="H8336" t="n">
        <v>0</v>
      </c>
      <c r="I8336" t="n">
        <v>0</v>
      </c>
      <c r="J8336" t="n">
        <v>0</v>
      </c>
      <c r="K8336" t="n">
        <v>0</v>
      </c>
      <c r="L8336" t="n">
        <v>0</v>
      </c>
      <c r="M8336" t="n">
        <v>0</v>
      </c>
      <c r="N8336" t="n">
        <v>0</v>
      </c>
      <c r="O8336" t="n">
        <v>0</v>
      </c>
      <c r="P8336" t="n">
        <v>0</v>
      </c>
      <c r="Q8336" t="n">
        <v>0</v>
      </c>
      <c r="R8336" s="2" t="inlineStr"/>
    </row>
    <row r="8337" ht="15" customHeight="1">
      <c r="A8337" t="inlineStr">
        <is>
          <t>A 8553-2024</t>
        </is>
      </c>
      <c r="B8337" s="1" t="n">
        <v>45351</v>
      </c>
      <c r="C8337" s="1" t="n">
        <v>45356</v>
      </c>
      <c r="D8337" t="inlineStr">
        <is>
          <t>NORRBOTTENS LÄN</t>
        </is>
      </c>
      <c r="E8337" t="inlineStr">
        <is>
          <t>PAJALA</t>
        </is>
      </c>
      <c r="G8337" t="n">
        <v>9</v>
      </c>
      <c r="H8337" t="n">
        <v>0</v>
      </c>
      <c r="I8337" t="n">
        <v>0</v>
      </c>
      <c r="J8337" t="n">
        <v>0</v>
      </c>
      <c r="K8337" t="n">
        <v>0</v>
      </c>
      <c r="L8337" t="n">
        <v>0</v>
      </c>
      <c r="M8337" t="n">
        <v>0</v>
      </c>
      <c r="N8337" t="n">
        <v>0</v>
      </c>
      <c r="O8337" t="n">
        <v>0</v>
      </c>
      <c r="P8337" t="n">
        <v>0</v>
      </c>
      <c r="Q8337" t="n">
        <v>0</v>
      </c>
      <c r="R8337" s="2" t="inlineStr"/>
    </row>
    <row r="8338" ht="15" customHeight="1">
      <c r="A8338" t="inlineStr">
        <is>
          <t>A 8514-2024</t>
        </is>
      </c>
      <c r="B8338" s="1" t="n">
        <v>45351</v>
      </c>
      <c r="C8338" s="1" t="n">
        <v>45356</v>
      </c>
      <c r="D8338" t="inlineStr">
        <is>
          <t>NORRBOTTENS LÄN</t>
        </is>
      </c>
      <c r="E8338" t="inlineStr">
        <is>
          <t>ÖVERTORNEÅ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8296-2024</t>
        </is>
      </c>
      <c r="B8339" s="1" t="n">
        <v>45352</v>
      </c>
      <c r="C8339" s="1" t="n">
        <v>45356</v>
      </c>
      <c r="D8339" t="inlineStr">
        <is>
          <t>NORRBOTTENS LÄN</t>
        </is>
      </c>
      <c r="E8339" t="inlineStr">
        <is>
          <t>PAJALA</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8313-2024</t>
        </is>
      </c>
      <c r="B8340" s="1" t="n">
        <v>45352</v>
      </c>
      <c r="C8340" s="1" t="n">
        <v>45356</v>
      </c>
      <c r="D8340" t="inlineStr">
        <is>
          <t>NORRBOTTENS LÄN</t>
        </is>
      </c>
      <c r="E8340" t="inlineStr">
        <is>
          <t>KALIX</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8567-2024</t>
        </is>
      </c>
      <c r="B8341" s="1" t="n">
        <v>45355</v>
      </c>
      <c r="C8341" s="1" t="n">
        <v>45356</v>
      </c>
      <c r="D8341" t="inlineStr">
        <is>
          <t>NORRBOTTENS LÄN</t>
        </is>
      </c>
      <c r="E8341" t="inlineStr">
        <is>
          <t>KALIX</t>
        </is>
      </c>
      <c r="G8341" t="n">
        <v>9.1</v>
      </c>
      <c r="H8341" t="n">
        <v>0</v>
      </c>
      <c r="I8341" t="n">
        <v>0</v>
      </c>
      <c r="J8341" t="n">
        <v>0</v>
      </c>
      <c r="K8341" t="n">
        <v>0</v>
      </c>
      <c r="L8341" t="n">
        <v>0</v>
      </c>
      <c r="M8341" t="n">
        <v>0</v>
      </c>
      <c r="N8341" t="n">
        <v>0</v>
      </c>
      <c r="O8341" t="n">
        <v>0</v>
      </c>
      <c r="P8341" t="n">
        <v>0</v>
      </c>
      <c r="Q8341" t="n">
        <v>0</v>
      </c>
      <c r="R8341" s="2" t="inlineStr"/>
    </row>
    <row r="8342">
      <c r="A8342" t="inlineStr">
        <is>
          <t>A 8634-2024</t>
        </is>
      </c>
      <c r="B8342" s="1" t="n">
        <v>45356</v>
      </c>
      <c r="C8342" s="1" t="n">
        <v>45356</v>
      </c>
      <c r="D8342" t="inlineStr">
        <is>
          <t>NORRBOTTENS LÄN</t>
        </is>
      </c>
      <c r="E8342" t="inlineStr">
        <is>
          <t>JOKKMOKK</t>
        </is>
      </c>
      <c r="G8342" t="n">
        <v>17.1</v>
      </c>
      <c r="H8342" t="n">
        <v>0</v>
      </c>
      <c r="I8342" t="n">
        <v>0</v>
      </c>
      <c r="J8342" t="n">
        <v>0</v>
      </c>
      <c r="K8342" t="n">
        <v>0</v>
      </c>
      <c r="L8342" t="n">
        <v>0</v>
      </c>
      <c r="M8342" t="n">
        <v>0</v>
      </c>
      <c r="N8342" t="n">
        <v>0</v>
      </c>
      <c r="O8342" t="n">
        <v>0</v>
      </c>
      <c r="P8342" t="n">
        <v>0</v>
      </c>
      <c r="Q8342" t="n">
        <v>0</v>
      </c>
      <c r="R83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2024-03-05T13:17:07Z</dcterms:created>
  <dcterms:modified xmlns:dcterms="http://purl.org/dc/terms/" xmlns:xsi="http://www.w3.org/2001/XMLSchema-instance" xsi:type="dcterms:W3CDTF">2024-03-05T13:17:14Z</dcterms:modified>
</cp:coreProperties>
</file>