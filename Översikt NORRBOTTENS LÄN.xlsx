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45758</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45758</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45758</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45758</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45758</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45758</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45758</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45758</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45758</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45758</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45758</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45758</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45758</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45758</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45758</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45758</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45758</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45758</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45758</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45758</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45758</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45758</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45758</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45758</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45758</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45758</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45758</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45758</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45758</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45758</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45758</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45758</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45758</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45758</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45758</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45758</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45758</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45758</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45758</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45758</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45758</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45758</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45758</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45758</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45758</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45758</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45758</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45758</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45758</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45758</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45758</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45758</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45758</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45758</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45758</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45758</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45758</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45758</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45758</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45758</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45758</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45758</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45758</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45758</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45758</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45758</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45758</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45758</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45758</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45758</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45758</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45758</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45758</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45758</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45758</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45758</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45758</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45758</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45758</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45758</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45758</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45758</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45758</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45758</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45758</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45758</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45758</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45758</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45758</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45758</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45758</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45758</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45758</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45758</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45758</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45758</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45758</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45758</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45758</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45758</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45758</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45758</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45758</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45758</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45758</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45758</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45758</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45758</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45758</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45758</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45758</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45758</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45758</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45758</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45758</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45758</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45758</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45758</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45758</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45758</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45758</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45758</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45758</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45758</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45758</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45758</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45758</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45758</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45758</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45758</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45758</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45758</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45758</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45758</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45758</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45758</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45758</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45758</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45758</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45758</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45758</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45758</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45758</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45758</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45758</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45758</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45758</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45758</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45758</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45758</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45758</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45758</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45758</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45758</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45758</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45758</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45758</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45758</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45758</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45758</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45758</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45758</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45758</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45758</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45758</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45758</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45758</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45758</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45758</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45758</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45758</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45758</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45758</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45758</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45758</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45758</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45758</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45758</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45758</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45758</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45758</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45758</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45758</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45758</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45758</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45758</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45758</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45758</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45758</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45758</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45758</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45758</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45758</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45758</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45758</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45758</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45758</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45758</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45758</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45758</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45758</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45758</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45758</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45758</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45758</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45758</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45758</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45758</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45758</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45758</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45758</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45758</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45758</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45758</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45758</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45758</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45758</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45758</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45758</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45758</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45758</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45758</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45758</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45758</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45758</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45758</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45758</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45758</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45758</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45758</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45758</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45758</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45758</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45758</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45758</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45758</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45758</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45758</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45758</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45758</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45758</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45758</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45758</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45758</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45758</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45758</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45758</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45758</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45758</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45758</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45758</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45758</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45758</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45758</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45758</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45758</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45758</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45758</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45758</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45758</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45758</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45758</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45758</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45758</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45758</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45758</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45758</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45758</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45758</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45758</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45758</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45758</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45758</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45758</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45758</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45758</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45758</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45758</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45758</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45758</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45758</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45758</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45758</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45758</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45758</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45758</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45758</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45758</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45758</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45758</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45758</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45758</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45758</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45758</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45758</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45758</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45758</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45758</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45758</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45758</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45758</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45758</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45758</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45758</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45758</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45758</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45758</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45758</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45758</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45758</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45758</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45758</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45758</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45758</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45758</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45758</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45758</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45758</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45758</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45758</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45758</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45758</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45758</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45758</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45758</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45758</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45758</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45758</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45758</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45758</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45758</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45758</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45758</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45758</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45758</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45758</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45758</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45758</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45758</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45758</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45758</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45758</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45758</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45758</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45758</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45758</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45758</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45758</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45758</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45758</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45758</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45758</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45758</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45758</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45758</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45758</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45758</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45758</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45758</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45758</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45758</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45758</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45758</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45758</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45758</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45758</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45758</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45758</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45758</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45758</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45758</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45758</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45758</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45758</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45758</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45758</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45758</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45758</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45758</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45758</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45758</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45758</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45758</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45758</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45758</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45758</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45758</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45758</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45758</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45758</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45758</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45758</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45758</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45758</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45758</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45758</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45758</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45758</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45758</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45758</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45758</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45758</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45758</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45758</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45758</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45758</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45758</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45758</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45758</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45758</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45758</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45758</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45758</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45758</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45758</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45758</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45758</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45758</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45758</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45758</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45758</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45758</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45758</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45758</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45758</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45758</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45758</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45758</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45758</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45758</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45758</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45758</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45758</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45758</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45758</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45758</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45758</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45758</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45758</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45758</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45758</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45758</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45758</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45758</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45758</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45758</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45758</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45758</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45758</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45758</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45758</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45758</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45758</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45758</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45758</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45758</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45758</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45758</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45758</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45758</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45758</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45758</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45758</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45758</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45758</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45758</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45758</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45758</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45758</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45758</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45758</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45758</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45758</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45758</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45758</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45758</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45758</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45758</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45758</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45758</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45758</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45758</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45758</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45758</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45758</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45758</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45758</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45758</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45758</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45758</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45758</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45758</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45758</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45758</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45758</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45758</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45758</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45758</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45758</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45758</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45758</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45758</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45758</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45758</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45758</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45758</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45758</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45758</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45758</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45758</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45758</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45758</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45758</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45758</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45758</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45758</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45758</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45758</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45758</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45758</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45758</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45758</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45758</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45758</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45758</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45758</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45758</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45758</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45758</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45758</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45758</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45758</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45758</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45758</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45758</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45758</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45758</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45758</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45758</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45758</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45758</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45758</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45758</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45758</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45758</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45758</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45758</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45758</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45758</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45758</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45758</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45758</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45758</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45758</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45758</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45758</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45758</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45758</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45758</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45758</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45758</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45758</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45758</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45758</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45758</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45758</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45758</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45758</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45758</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45758</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45758</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45758</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45758</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45758</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45758</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45758</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45758</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45758</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45758</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45758</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45758</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45758</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45758</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45758</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45758</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45758</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45758</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45758</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45758</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45758</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45758</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45758</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45758</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45758</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18136-2019</t>
        </is>
      </c>
      <c r="B667" s="1" t="n">
        <v>43556</v>
      </c>
      <c r="C667" s="1" t="n">
        <v>45758</v>
      </c>
      <c r="D667" t="inlineStr">
        <is>
          <t>NORRBOTTENS LÄN</t>
        </is>
      </c>
      <c r="E667" t="inlineStr">
        <is>
          <t>ARVIDSJAUR</t>
        </is>
      </c>
      <c r="G667" t="n">
        <v>4.8</v>
      </c>
      <c r="H667" t="n">
        <v>1</v>
      </c>
      <c r="I667" t="n">
        <v>0</v>
      </c>
      <c r="J667" t="n">
        <v>0</v>
      </c>
      <c r="K667" t="n">
        <v>0</v>
      </c>
      <c r="L667" t="n">
        <v>0</v>
      </c>
      <c r="M667" t="n">
        <v>1</v>
      </c>
      <c r="N667" t="n">
        <v>0</v>
      </c>
      <c r="O667" t="n">
        <v>1</v>
      </c>
      <c r="P667" t="n">
        <v>1</v>
      </c>
      <c r="Q667" t="n">
        <v>1</v>
      </c>
      <c r="R667" s="2" t="inlineStr">
        <is>
          <t>Ortolansparv</t>
        </is>
      </c>
      <c r="S667">
        <f>HYPERLINK("https://klasma.github.io/Logging_2505/artfynd/A 18136-2019 artfynd.xlsx", "A 18136-2019")</f>
        <v/>
      </c>
      <c r="T667">
        <f>HYPERLINK("https://klasma.github.io/Logging_2505/kartor/A 18136-2019 karta.png", "A 18136-2019")</f>
        <v/>
      </c>
      <c r="V667">
        <f>HYPERLINK("https://klasma.github.io/Logging_2505/klagomål/A 18136-2019 FSC-klagomål.docx", "A 18136-2019")</f>
        <v/>
      </c>
      <c r="W667">
        <f>HYPERLINK("https://klasma.github.io/Logging_2505/klagomålsmail/A 18136-2019 FSC-klagomål mail.docx", "A 18136-2019")</f>
        <v/>
      </c>
      <c r="X667">
        <f>HYPERLINK("https://klasma.github.io/Logging_2505/tillsyn/A 18136-2019 tillsynsbegäran.docx", "A 18136-2019")</f>
        <v/>
      </c>
      <c r="Y667">
        <f>HYPERLINK("https://klasma.github.io/Logging_2505/tillsynsmail/A 18136-2019 tillsynsbegäran mail.docx", "A 18136-2019")</f>
        <v/>
      </c>
      <c r="Z667">
        <f>HYPERLINK("https://klasma.github.io/Logging_2505/fåglar/A 18136-2019 prioriterade fågelarter.docx", "A 18136-2019")</f>
        <v/>
      </c>
    </row>
    <row r="668" ht="15" customHeight="1">
      <c r="A668" t="inlineStr">
        <is>
          <t>A 22812-2019</t>
        </is>
      </c>
      <c r="B668" s="1" t="n">
        <v>43590</v>
      </c>
      <c r="C668" s="1" t="n">
        <v>45758</v>
      </c>
      <c r="D668" t="inlineStr">
        <is>
          <t>NORRBOTTENS LÄN</t>
        </is>
      </c>
      <c r="E668" t="inlineStr">
        <is>
          <t>KIRUNA</t>
        </is>
      </c>
      <c r="G668" t="n">
        <v>22.6</v>
      </c>
      <c r="H668" t="n">
        <v>0</v>
      </c>
      <c r="I668" t="n">
        <v>0</v>
      </c>
      <c r="J668" t="n">
        <v>1</v>
      </c>
      <c r="K668" t="n">
        <v>0</v>
      </c>
      <c r="L668" t="n">
        <v>0</v>
      </c>
      <c r="M668" t="n">
        <v>0</v>
      </c>
      <c r="N668" t="n">
        <v>0</v>
      </c>
      <c r="O668" t="n">
        <v>1</v>
      </c>
      <c r="P668" t="n">
        <v>0</v>
      </c>
      <c r="Q668" t="n">
        <v>1</v>
      </c>
      <c r="R668" s="2" t="inlineStr">
        <is>
          <t>Garnlav</t>
        </is>
      </c>
      <c r="S668">
        <f>HYPERLINK("https://klasma.github.io/Logging_2584/artfynd/A 22812-2019 artfynd.xlsx", "A 22812-2019")</f>
        <v/>
      </c>
      <c r="T668">
        <f>HYPERLINK("https://klasma.github.io/Logging_2584/kartor/A 22812-2019 karta.png", "A 22812-2019")</f>
        <v/>
      </c>
      <c r="V668">
        <f>HYPERLINK("https://klasma.github.io/Logging_2584/klagomål/A 22812-2019 FSC-klagomål.docx", "A 22812-2019")</f>
        <v/>
      </c>
      <c r="W668">
        <f>HYPERLINK("https://klasma.github.io/Logging_2584/klagomålsmail/A 22812-2019 FSC-klagomål mail.docx", "A 22812-2019")</f>
        <v/>
      </c>
      <c r="X668">
        <f>HYPERLINK("https://klasma.github.io/Logging_2584/tillsyn/A 22812-2019 tillsynsbegäran.docx", "A 22812-2019")</f>
        <v/>
      </c>
      <c r="Y668">
        <f>HYPERLINK("https://klasma.github.io/Logging_2584/tillsynsmail/A 22812-2019 tillsynsbegäran mail.docx", "A 22812-2019")</f>
        <v/>
      </c>
    </row>
    <row r="669" ht="15" customHeight="1">
      <c r="A669" t="inlineStr">
        <is>
          <t>A 28204-2019</t>
        </is>
      </c>
      <c r="B669" s="1" t="n">
        <v>43621</v>
      </c>
      <c r="C669" s="1" t="n">
        <v>45758</v>
      </c>
      <c r="D669" t="inlineStr">
        <is>
          <t>NORRBOTTENS LÄN</t>
        </is>
      </c>
      <c r="E669" t="inlineStr">
        <is>
          <t>GÄLLIVARE</t>
        </is>
      </c>
      <c r="F669" t="inlineStr">
        <is>
          <t>SCA</t>
        </is>
      </c>
      <c r="G669" t="n">
        <v>2.6</v>
      </c>
      <c r="H669" t="n">
        <v>0</v>
      </c>
      <c r="I669" t="n">
        <v>1</v>
      </c>
      <c r="J669" t="n">
        <v>0</v>
      </c>
      <c r="K669" t="n">
        <v>0</v>
      </c>
      <c r="L669" t="n">
        <v>0</v>
      </c>
      <c r="M669" t="n">
        <v>0</v>
      </c>
      <c r="N669" t="n">
        <v>0</v>
      </c>
      <c r="O669" t="n">
        <v>0</v>
      </c>
      <c r="P669" t="n">
        <v>0</v>
      </c>
      <c r="Q669" t="n">
        <v>1</v>
      </c>
      <c r="R669" s="2" t="inlineStr">
        <is>
          <t>Bollvitmossa</t>
        </is>
      </c>
      <c r="S669">
        <f>HYPERLINK("https://klasma.github.io/Logging_2523/artfynd/A 28204-2019 artfynd.xlsx", "A 28204-2019")</f>
        <v/>
      </c>
      <c r="T669">
        <f>HYPERLINK("https://klasma.github.io/Logging_2523/kartor/A 28204-2019 karta.png", "A 28204-2019")</f>
        <v/>
      </c>
      <c r="V669">
        <f>HYPERLINK("https://klasma.github.io/Logging_2523/klagomål/A 28204-2019 FSC-klagomål.docx", "A 28204-2019")</f>
        <v/>
      </c>
      <c r="W669">
        <f>HYPERLINK("https://klasma.github.io/Logging_2523/klagomålsmail/A 28204-2019 FSC-klagomål mail.docx", "A 28204-2019")</f>
        <v/>
      </c>
      <c r="X669">
        <f>HYPERLINK("https://klasma.github.io/Logging_2523/tillsyn/A 28204-2019 tillsynsbegäran.docx", "A 28204-2019")</f>
        <v/>
      </c>
      <c r="Y669">
        <f>HYPERLINK("https://klasma.github.io/Logging_2523/tillsynsmail/A 28204-2019 tillsynsbegäran mail.docx", "A 28204-2019")</f>
        <v/>
      </c>
    </row>
    <row r="670" ht="15" customHeight="1">
      <c r="A670" t="inlineStr">
        <is>
          <t>A 29381-2019</t>
        </is>
      </c>
      <c r="B670" s="1" t="n">
        <v>43629</v>
      </c>
      <c r="C670" s="1" t="n">
        <v>45758</v>
      </c>
      <c r="D670" t="inlineStr">
        <is>
          <t>NORRBOTTENS LÄN</t>
        </is>
      </c>
      <c r="E670" t="inlineStr">
        <is>
          <t>ÖVERTORNEÅ</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HYPERLINK("https://klasma.github.io/Logging_2518/artfynd/A 29381-2019 artfynd.xlsx", "A 29381-2019")</f>
        <v/>
      </c>
      <c r="T670">
        <f>HYPERLINK("https://klasma.github.io/Logging_2518/kartor/A 29381-2019 karta.png", "A 29381-2019")</f>
        <v/>
      </c>
      <c r="V670">
        <f>HYPERLINK("https://klasma.github.io/Logging_2518/klagomål/A 29381-2019 FSC-klagomål.docx", "A 29381-2019")</f>
        <v/>
      </c>
      <c r="W670">
        <f>HYPERLINK("https://klasma.github.io/Logging_2518/klagomålsmail/A 29381-2019 FSC-klagomål mail.docx", "A 29381-2019")</f>
        <v/>
      </c>
      <c r="X670">
        <f>HYPERLINK("https://klasma.github.io/Logging_2518/tillsyn/A 29381-2019 tillsynsbegäran.docx", "A 29381-2019")</f>
        <v/>
      </c>
      <c r="Y670">
        <f>HYPERLINK("https://klasma.github.io/Logging_2518/tillsynsmail/A 29381-2019 tillsynsbegäran mail.docx", "A 29381-2019")</f>
        <v/>
      </c>
    </row>
    <row r="671" ht="15" customHeight="1">
      <c r="A671" t="inlineStr">
        <is>
          <t>A 30414-2019</t>
        </is>
      </c>
      <c r="B671" s="1" t="n">
        <v>43635</v>
      </c>
      <c r="C671" s="1" t="n">
        <v>45758</v>
      </c>
      <c r="D671" t="inlineStr">
        <is>
          <t>NORRBOTTENS LÄN</t>
        </is>
      </c>
      <c r="E671" t="inlineStr">
        <is>
          <t>ARVIDSJAUR</t>
        </is>
      </c>
      <c r="F671" t="inlineStr">
        <is>
          <t>Sveaskog</t>
        </is>
      </c>
      <c r="G671" t="n">
        <v>4.3</v>
      </c>
      <c r="H671" t="n">
        <v>0</v>
      </c>
      <c r="I671" t="n">
        <v>0</v>
      </c>
      <c r="J671" t="n">
        <v>1</v>
      </c>
      <c r="K671" t="n">
        <v>0</v>
      </c>
      <c r="L671" t="n">
        <v>0</v>
      </c>
      <c r="M671" t="n">
        <v>0</v>
      </c>
      <c r="N671" t="n">
        <v>0</v>
      </c>
      <c r="O671" t="n">
        <v>1</v>
      </c>
      <c r="P671" t="n">
        <v>0</v>
      </c>
      <c r="Q671" t="n">
        <v>1</v>
      </c>
      <c r="R671" s="2" t="inlineStr">
        <is>
          <t>Motaggsvamp</t>
        </is>
      </c>
      <c r="S671">
        <f>HYPERLINK("https://klasma.github.io/Logging_2505/artfynd/A 30414-2019 artfynd.xlsx", "A 30414-2019")</f>
        <v/>
      </c>
      <c r="T671">
        <f>HYPERLINK("https://klasma.github.io/Logging_2505/kartor/A 30414-2019 karta.png", "A 30414-2019")</f>
        <v/>
      </c>
      <c r="V671">
        <f>HYPERLINK("https://klasma.github.io/Logging_2505/klagomål/A 30414-2019 FSC-klagomål.docx", "A 30414-2019")</f>
        <v/>
      </c>
      <c r="W671">
        <f>HYPERLINK("https://klasma.github.io/Logging_2505/klagomålsmail/A 30414-2019 FSC-klagomål mail.docx", "A 30414-2019")</f>
        <v/>
      </c>
      <c r="X671">
        <f>HYPERLINK("https://klasma.github.io/Logging_2505/tillsyn/A 30414-2019 tillsynsbegäran.docx", "A 30414-2019")</f>
        <v/>
      </c>
      <c r="Y671">
        <f>HYPERLINK("https://klasma.github.io/Logging_2505/tillsynsmail/A 30414-2019 tillsynsbegäran mail.docx", "A 30414-2019")</f>
        <v/>
      </c>
    </row>
    <row r="672" ht="15" customHeight="1">
      <c r="A672" t="inlineStr">
        <is>
          <t>A 30693-2019</t>
        </is>
      </c>
      <c r="B672" s="1" t="n">
        <v>43636</v>
      </c>
      <c r="C672" s="1" t="n">
        <v>45758</v>
      </c>
      <c r="D672" t="inlineStr">
        <is>
          <t>NORRBOTTENS LÄN</t>
        </is>
      </c>
      <c r="E672" t="inlineStr">
        <is>
          <t>GÄLLIVARE</t>
        </is>
      </c>
      <c r="F672" t="inlineStr">
        <is>
          <t>Sveaskog</t>
        </is>
      </c>
      <c r="G672" t="n">
        <v>7.3</v>
      </c>
      <c r="H672" t="n">
        <v>1</v>
      </c>
      <c r="I672" t="n">
        <v>1</v>
      </c>
      <c r="J672" t="n">
        <v>0</v>
      </c>
      <c r="K672" t="n">
        <v>0</v>
      </c>
      <c r="L672" t="n">
        <v>0</v>
      </c>
      <c r="M672" t="n">
        <v>0</v>
      </c>
      <c r="N672" t="n">
        <v>0</v>
      </c>
      <c r="O672" t="n">
        <v>0</v>
      </c>
      <c r="P672" t="n">
        <v>0</v>
      </c>
      <c r="Q672" t="n">
        <v>1</v>
      </c>
      <c r="R672" s="2" t="inlineStr">
        <is>
          <t>Spindelblomster</t>
        </is>
      </c>
      <c r="S672">
        <f>HYPERLINK("https://klasma.github.io/Logging_2523/artfynd/A 30693-2019 artfynd.xlsx", "A 30693-2019")</f>
        <v/>
      </c>
      <c r="T672">
        <f>HYPERLINK("https://klasma.github.io/Logging_2523/kartor/A 30693-2019 karta.png", "A 30693-2019")</f>
        <v/>
      </c>
      <c r="V672">
        <f>HYPERLINK("https://klasma.github.io/Logging_2523/klagomål/A 30693-2019 FSC-klagomål.docx", "A 30693-2019")</f>
        <v/>
      </c>
      <c r="W672">
        <f>HYPERLINK("https://klasma.github.io/Logging_2523/klagomålsmail/A 30693-2019 FSC-klagomål mail.docx", "A 30693-2019")</f>
        <v/>
      </c>
      <c r="X672">
        <f>HYPERLINK("https://klasma.github.io/Logging_2523/tillsyn/A 30693-2019 tillsynsbegäran.docx", "A 30693-2019")</f>
        <v/>
      </c>
      <c r="Y672">
        <f>HYPERLINK("https://klasma.github.io/Logging_2523/tillsynsmail/A 30693-2019 tillsynsbegäran mail.docx", "A 30693-2019")</f>
        <v/>
      </c>
    </row>
    <row r="673" ht="15" customHeight="1">
      <c r="A673" t="inlineStr">
        <is>
          <t>A 31611-2019</t>
        </is>
      </c>
      <c r="B673" s="1" t="n">
        <v>43642</v>
      </c>
      <c r="C673" s="1" t="n">
        <v>45758</v>
      </c>
      <c r="D673" t="inlineStr">
        <is>
          <t>NORRBOTTENS LÄN</t>
        </is>
      </c>
      <c r="E673" t="inlineStr">
        <is>
          <t>ARVIDSJAUR</t>
        </is>
      </c>
      <c r="F673" t="inlineStr">
        <is>
          <t>Sveaskog</t>
        </is>
      </c>
      <c r="G673" t="n">
        <v>21.5</v>
      </c>
      <c r="H673" t="n">
        <v>0</v>
      </c>
      <c r="I673" t="n">
        <v>0</v>
      </c>
      <c r="J673" t="n">
        <v>1</v>
      </c>
      <c r="K673" t="n">
        <v>0</v>
      </c>
      <c r="L673" t="n">
        <v>0</v>
      </c>
      <c r="M673" t="n">
        <v>0</v>
      </c>
      <c r="N673" t="n">
        <v>0</v>
      </c>
      <c r="O673" t="n">
        <v>1</v>
      </c>
      <c r="P673" t="n">
        <v>0</v>
      </c>
      <c r="Q673" t="n">
        <v>1</v>
      </c>
      <c r="R673" s="2" t="inlineStr">
        <is>
          <t>Vaddporing</t>
        </is>
      </c>
      <c r="S673">
        <f>HYPERLINK("https://klasma.github.io/Logging_2505/artfynd/A 31611-2019 artfynd.xlsx", "A 31611-2019")</f>
        <v/>
      </c>
      <c r="T673">
        <f>HYPERLINK("https://klasma.github.io/Logging_2505/kartor/A 31611-2019 karta.png", "A 31611-2019")</f>
        <v/>
      </c>
      <c r="V673">
        <f>HYPERLINK("https://klasma.github.io/Logging_2505/klagomål/A 31611-2019 FSC-klagomål.docx", "A 31611-2019")</f>
        <v/>
      </c>
      <c r="W673">
        <f>HYPERLINK("https://klasma.github.io/Logging_2505/klagomålsmail/A 31611-2019 FSC-klagomål mail.docx", "A 31611-2019")</f>
        <v/>
      </c>
      <c r="X673">
        <f>HYPERLINK("https://klasma.github.io/Logging_2505/tillsyn/A 31611-2019 tillsynsbegäran.docx", "A 31611-2019")</f>
        <v/>
      </c>
      <c r="Y673">
        <f>HYPERLINK("https://klasma.github.io/Logging_2505/tillsynsmail/A 31611-2019 tillsynsbegäran mail.docx", "A 31611-2019")</f>
        <v/>
      </c>
    </row>
    <row r="674" ht="15" customHeight="1">
      <c r="A674" t="inlineStr">
        <is>
          <t>A 32173-2019</t>
        </is>
      </c>
      <c r="B674" s="1" t="n">
        <v>43643</v>
      </c>
      <c r="C674" s="1" t="n">
        <v>45758</v>
      </c>
      <c r="D674" t="inlineStr">
        <is>
          <t>NORRBOTTENS LÄN</t>
        </is>
      </c>
      <c r="E674" t="inlineStr">
        <is>
          <t>ARVIDSJAUR</t>
        </is>
      </c>
      <c r="F674" t="inlineStr">
        <is>
          <t>Sveaskog</t>
        </is>
      </c>
      <c r="G674" t="n">
        <v>6.1</v>
      </c>
      <c r="H674" t="n">
        <v>0</v>
      </c>
      <c r="I674" t="n">
        <v>0</v>
      </c>
      <c r="J674" t="n">
        <v>1</v>
      </c>
      <c r="K674" t="n">
        <v>0</v>
      </c>
      <c r="L674" t="n">
        <v>0</v>
      </c>
      <c r="M674" t="n">
        <v>0</v>
      </c>
      <c r="N674" t="n">
        <v>0</v>
      </c>
      <c r="O674" t="n">
        <v>1</v>
      </c>
      <c r="P674" t="n">
        <v>0</v>
      </c>
      <c r="Q674" t="n">
        <v>1</v>
      </c>
      <c r="R674" s="2" t="inlineStr">
        <is>
          <t>Motaggsvamp</t>
        </is>
      </c>
      <c r="S674">
        <f>HYPERLINK("https://klasma.github.io/Logging_2505/artfynd/A 32173-2019 artfynd.xlsx", "A 32173-2019")</f>
        <v/>
      </c>
      <c r="T674">
        <f>HYPERLINK("https://klasma.github.io/Logging_2505/kartor/A 32173-2019 karta.png", "A 32173-2019")</f>
        <v/>
      </c>
      <c r="V674">
        <f>HYPERLINK("https://klasma.github.io/Logging_2505/klagomål/A 32173-2019 FSC-klagomål.docx", "A 32173-2019")</f>
        <v/>
      </c>
      <c r="W674">
        <f>HYPERLINK("https://klasma.github.io/Logging_2505/klagomålsmail/A 32173-2019 FSC-klagomål mail.docx", "A 32173-2019")</f>
        <v/>
      </c>
      <c r="X674">
        <f>HYPERLINK("https://klasma.github.io/Logging_2505/tillsyn/A 32173-2019 tillsynsbegäran.docx", "A 32173-2019")</f>
        <v/>
      </c>
      <c r="Y674">
        <f>HYPERLINK("https://klasma.github.io/Logging_2505/tillsynsmail/A 32173-2019 tillsynsbegäran mail.docx", "A 32173-2019")</f>
        <v/>
      </c>
    </row>
    <row r="675" ht="15" customHeight="1">
      <c r="A675" t="inlineStr">
        <is>
          <t>A 33473-2019</t>
        </is>
      </c>
      <c r="B675" s="1" t="n">
        <v>43650</v>
      </c>
      <c r="C675" s="1" t="n">
        <v>45758</v>
      </c>
      <c r="D675" t="inlineStr">
        <is>
          <t>NORRBOTTENS LÄN</t>
        </is>
      </c>
      <c r="E675" t="inlineStr">
        <is>
          <t>JOKKMOKK</t>
        </is>
      </c>
      <c r="F675" t="inlineStr">
        <is>
          <t>SCA</t>
        </is>
      </c>
      <c r="G675" t="n">
        <v>3.7</v>
      </c>
      <c r="H675" t="n">
        <v>0</v>
      </c>
      <c r="I675" t="n">
        <v>1</v>
      </c>
      <c r="J675" t="n">
        <v>0</v>
      </c>
      <c r="K675" t="n">
        <v>0</v>
      </c>
      <c r="L675" t="n">
        <v>0</v>
      </c>
      <c r="M675" t="n">
        <v>0</v>
      </c>
      <c r="N675" t="n">
        <v>0</v>
      </c>
      <c r="O675" t="n">
        <v>0</v>
      </c>
      <c r="P675" t="n">
        <v>0</v>
      </c>
      <c r="Q675" t="n">
        <v>1</v>
      </c>
      <c r="R675" s="2" t="inlineStr">
        <is>
          <t>Dropptaggsvamp</t>
        </is>
      </c>
      <c r="S675">
        <f>HYPERLINK("https://klasma.github.io/Logging_2510/artfynd/A 33473-2019 artfynd.xlsx", "A 33473-2019")</f>
        <v/>
      </c>
      <c r="T675">
        <f>HYPERLINK("https://klasma.github.io/Logging_2510/kartor/A 33473-2019 karta.png", "A 33473-2019")</f>
        <v/>
      </c>
      <c r="V675">
        <f>HYPERLINK("https://klasma.github.io/Logging_2510/klagomål/A 33473-2019 FSC-klagomål.docx", "A 33473-2019")</f>
        <v/>
      </c>
      <c r="W675">
        <f>HYPERLINK("https://klasma.github.io/Logging_2510/klagomålsmail/A 33473-2019 FSC-klagomål mail.docx", "A 33473-2019")</f>
        <v/>
      </c>
      <c r="X675">
        <f>HYPERLINK("https://klasma.github.io/Logging_2510/tillsyn/A 33473-2019 tillsynsbegäran.docx", "A 33473-2019")</f>
        <v/>
      </c>
      <c r="Y675">
        <f>HYPERLINK("https://klasma.github.io/Logging_2510/tillsynsmail/A 33473-2019 tillsynsbegäran mail.docx", "A 33473-2019")</f>
        <v/>
      </c>
    </row>
    <row r="676" ht="15" customHeight="1">
      <c r="A676" t="inlineStr">
        <is>
          <t>A 33820-2019</t>
        </is>
      </c>
      <c r="B676" s="1" t="n">
        <v>43651</v>
      </c>
      <c r="C676" s="1" t="n">
        <v>45758</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33820-2019 artfynd.xlsx", "A 33820-2019")</f>
        <v/>
      </c>
      <c r="T676">
        <f>HYPERLINK("https://klasma.github.io/Logging_2510/kartor/A 33820-2019 karta.png", "A 33820-2019")</f>
        <v/>
      </c>
      <c r="V676">
        <f>HYPERLINK("https://klasma.github.io/Logging_2510/klagomål/A 33820-2019 FSC-klagomål.docx", "A 33820-2019")</f>
        <v/>
      </c>
      <c r="W676">
        <f>HYPERLINK("https://klasma.github.io/Logging_2510/klagomålsmail/A 33820-2019 FSC-klagomål mail.docx", "A 33820-2019")</f>
        <v/>
      </c>
      <c r="X676">
        <f>HYPERLINK("https://klasma.github.io/Logging_2510/tillsyn/A 33820-2019 tillsynsbegäran.docx", "A 33820-2019")</f>
        <v/>
      </c>
      <c r="Y676">
        <f>HYPERLINK("https://klasma.github.io/Logging_2510/tillsynsmail/A 33820-2019 tillsynsbegäran mail.docx", "A 33820-2019")</f>
        <v/>
      </c>
    </row>
    <row r="677" ht="15" customHeight="1">
      <c r="A677" t="inlineStr">
        <is>
          <t>A 36333-2019</t>
        </is>
      </c>
      <c r="B677" s="1" t="n">
        <v>43661</v>
      </c>
      <c r="C677" s="1" t="n">
        <v>45758</v>
      </c>
      <c r="D677" t="inlineStr">
        <is>
          <t>NORRBOTTENS LÄN</t>
        </is>
      </c>
      <c r="E677" t="inlineStr">
        <is>
          <t>ÖVERKALIX</t>
        </is>
      </c>
      <c r="G677" t="n">
        <v>87.90000000000001</v>
      </c>
      <c r="H677" t="n">
        <v>1</v>
      </c>
      <c r="I677" t="n">
        <v>1</v>
      </c>
      <c r="J677" t="n">
        <v>0</v>
      </c>
      <c r="K677" t="n">
        <v>0</v>
      </c>
      <c r="L677" t="n">
        <v>0</v>
      </c>
      <c r="M677" t="n">
        <v>0</v>
      </c>
      <c r="N677" t="n">
        <v>0</v>
      </c>
      <c r="O677" t="n">
        <v>0</v>
      </c>
      <c r="P677" t="n">
        <v>0</v>
      </c>
      <c r="Q677" t="n">
        <v>1</v>
      </c>
      <c r="R677" s="2" t="inlineStr">
        <is>
          <t>Korallrot</t>
        </is>
      </c>
      <c r="S677">
        <f>HYPERLINK("https://klasma.github.io/Logging_2513/artfynd/A 36333-2019 artfynd.xlsx", "A 36333-2019")</f>
        <v/>
      </c>
      <c r="T677">
        <f>HYPERLINK("https://klasma.github.io/Logging_2513/kartor/A 36333-2019 karta.png", "A 36333-2019")</f>
        <v/>
      </c>
      <c r="V677">
        <f>HYPERLINK("https://klasma.github.io/Logging_2513/klagomål/A 36333-2019 FSC-klagomål.docx", "A 36333-2019")</f>
        <v/>
      </c>
      <c r="W677">
        <f>HYPERLINK("https://klasma.github.io/Logging_2513/klagomålsmail/A 36333-2019 FSC-klagomål mail.docx", "A 36333-2019")</f>
        <v/>
      </c>
      <c r="X677">
        <f>HYPERLINK("https://klasma.github.io/Logging_2513/tillsyn/A 36333-2019 tillsynsbegäran.docx", "A 36333-2019")</f>
        <v/>
      </c>
      <c r="Y677">
        <f>HYPERLINK("https://klasma.github.io/Logging_2513/tillsynsmail/A 36333-2019 tillsynsbegäran mail.docx", "A 36333-2019")</f>
        <v/>
      </c>
    </row>
    <row r="678" ht="15" customHeight="1">
      <c r="A678" t="inlineStr">
        <is>
          <t>A 35824-2019</t>
        </is>
      </c>
      <c r="B678" s="1" t="n">
        <v>43665</v>
      </c>
      <c r="C678" s="1" t="n">
        <v>45758</v>
      </c>
      <c r="D678" t="inlineStr">
        <is>
          <t>NORRBOTTENS LÄN</t>
        </is>
      </c>
      <c r="E678" t="inlineStr">
        <is>
          <t>BODEN</t>
        </is>
      </c>
      <c r="F678" t="inlineStr">
        <is>
          <t>Sveaskog</t>
        </is>
      </c>
      <c r="G678" t="n">
        <v>1.7</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35824-2019 artfynd.xlsx", "A 35824-2019")</f>
        <v/>
      </c>
      <c r="T678">
        <f>HYPERLINK("https://klasma.github.io/Logging_2582/kartor/A 35824-2019 karta.png", "A 35824-2019")</f>
        <v/>
      </c>
      <c r="V678">
        <f>HYPERLINK("https://klasma.github.io/Logging_2582/klagomål/A 35824-2019 FSC-klagomål.docx", "A 35824-2019")</f>
        <v/>
      </c>
      <c r="W678">
        <f>HYPERLINK("https://klasma.github.io/Logging_2582/klagomålsmail/A 35824-2019 FSC-klagomål mail.docx", "A 35824-2019")</f>
        <v/>
      </c>
      <c r="X678">
        <f>HYPERLINK("https://klasma.github.io/Logging_2582/tillsyn/A 35824-2019 tillsynsbegäran.docx", "A 35824-2019")</f>
        <v/>
      </c>
      <c r="Y678">
        <f>HYPERLINK("https://klasma.github.io/Logging_2582/tillsynsmail/A 35824-2019 tillsynsbegäran mail.docx", "A 35824-2019")</f>
        <v/>
      </c>
    </row>
    <row r="679" ht="15" customHeight="1">
      <c r="A679" t="inlineStr">
        <is>
          <t>A 38711-2019</t>
        </is>
      </c>
      <c r="B679" s="1" t="n">
        <v>43686</v>
      </c>
      <c r="C679" s="1" t="n">
        <v>45758</v>
      </c>
      <c r="D679" t="inlineStr">
        <is>
          <t>NORRBOTTENS LÄN</t>
        </is>
      </c>
      <c r="E679" t="inlineStr">
        <is>
          <t>ÖVERTORNEÅ</t>
        </is>
      </c>
      <c r="F679" t="inlineStr">
        <is>
          <t>Sveaskog</t>
        </is>
      </c>
      <c r="G679" t="n">
        <v>9.4</v>
      </c>
      <c r="H679" t="n">
        <v>1</v>
      </c>
      <c r="I679" t="n">
        <v>0</v>
      </c>
      <c r="J679" t="n">
        <v>1</v>
      </c>
      <c r="K679" t="n">
        <v>0</v>
      </c>
      <c r="L679" t="n">
        <v>0</v>
      </c>
      <c r="M679" t="n">
        <v>0</v>
      </c>
      <c r="N679" t="n">
        <v>0</v>
      </c>
      <c r="O679" t="n">
        <v>1</v>
      </c>
      <c r="P679" t="n">
        <v>0</v>
      </c>
      <c r="Q679" t="n">
        <v>1</v>
      </c>
      <c r="R679" s="2" t="inlineStr">
        <is>
          <t>Kungsörn</t>
        </is>
      </c>
      <c r="S679">
        <f>HYPERLINK("https://klasma.github.io/Logging_2518/artfynd/A 38711-2019 artfynd.xlsx", "A 38711-2019")</f>
        <v/>
      </c>
      <c r="T679">
        <f>HYPERLINK("https://klasma.github.io/Logging_2518/kartor/A 38711-2019 karta.png", "A 38711-2019")</f>
        <v/>
      </c>
      <c r="V679">
        <f>HYPERLINK("https://klasma.github.io/Logging_2518/klagomål/A 38711-2019 FSC-klagomål.docx", "A 38711-2019")</f>
        <v/>
      </c>
      <c r="W679">
        <f>HYPERLINK("https://klasma.github.io/Logging_2518/klagomålsmail/A 38711-2019 FSC-klagomål mail.docx", "A 38711-2019")</f>
        <v/>
      </c>
      <c r="X679">
        <f>HYPERLINK("https://klasma.github.io/Logging_2518/tillsyn/A 38711-2019 tillsynsbegäran.docx", "A 38711-2019")</f>
        <v/>
      </c>
      <c r="Y679">
        <f>HYPERLINK("https://klasma.github.io/Logging_2518/tillsynsmail/A 38711-2019 tillsynsbegäran mail.docx", "A 38711-2019")</f>
        <v/>
      </c>
      <c r="Z679">
        <f>HYPERLINK("https://klasma.github.io/Logging_2518/fåglar/A 38711-2019 prioriterade fågelarter.docx", "A 38711-2019")</f>
        <v/>
      </c>
    </row>
    <row r="680" ht="15" customHeight="1">
      <c r="A680" t="inlineStr">
        <is>
          <t>A 40260-2019</t>
        </is>
      </c>
      <c r="B680" s="1" t="n">
        <v>43695</v>
      </c>
      <c r="C680" s="1" t="n">
        <v>45758</v>
      </c>
      <c r="D680" t="inlineStr">
        <is>
          <t>NORRBOTTENS LÄN</t>
        </is>
      </c>
      <c r="E680" t="inlineStr">
        <is>
          <t>ÖVERKALIX</t>
        </is>
      </c>
      <c r="G680" t="n">
        <v>27.4</v>
      </c>
      <c r="H680" t="n">
        <v>0</v>
      </c>
      <c r="I680" t="n">
        <v>1</v>
      </c>
      <c r="J680" t="n">
        <v>0</v>
      </c>
      <c r="K680" t="n">
        <v>0</v>
      </c>
      <c r="L680" t="n">
        <v>0</v>
      </c>
      <c r="M680" t="n">
        <v>0</v>
      </c>
      <c r="N680" t="n">
        <v>0</v>
      </c>
      <c r="O680" t="n">
        <v>0</v>
      </c>
      <c r="P680" t="n">
        <v>0</v>
      </c>
      <c r="Q680" t="n">
        <v>1</v>
      </c>
      <c r="R680" s="2" t="inlineStr">
        <is>
          <t>Ögonpyrola</t>
        </is>
      </c>
      <c r="S680">
        <f>HYPERLINK("https://klasma.github.io/Logging_2513/artfynd/A 40260-2019 artfynd.xlsx", "A 40260-2019")</f>
        <v/>
      </c>
      <c r="T680">
        <f>HYPERLINK("https://klasma.github.io/Logging_2513/kartor/A 40260-2019 karta.png", "A 40260-2019")</f>
        <v/>
      </c>
      <c r="V680">
        <f>HYPERLINK("https://klasma.github.io/Logging_2513/klagomål/A 40260-2019 FSC-klagomål.docx", "A 40260-2019")</f>
        <v/>
      </c>
      <c r="W680">
        <f>HYPERLINK("https://klasma.github.io/Logging_2513/klagomålsmail/A 40260-2019 FSC-klagomål mail.docx", "A 40260-2019")</f>
        <v/>
      </c>
      <c r="X680">
        <f>HYPERLINK("https://klasma.github.io/Logging_2513/tillsyn/A 40260-2019 tillsynsbegäran.docx", "A 40260-2019")</f>
        <v/>
      </c>
      <c r="Y680">
        <f>HYPERLINK("https://klasma.github.io/Logging_2513/tillsynsmail/A 40260-2019 tillsynsbegäran mail.docx", "A 40260-2019")</f>
        <v/>
      </c>
    </row>
    <row r="681" ht="15" customHeight="1">
      <c r="A681" t="inlineStr">
        <is>
          <t>A 41384-2019</t>
        </is>
      </c>
      <c r="B681" s="1" t="n">
        <v>43698</v>
      </c>
      <c r="C681" s="1" t="n">
        <v>45758</v>
      </c>
      <c r="D681" t="inlineStr">
        <is>
          <t>NORRBOTTENS LÄN</t>
        </is>
      </c>
      <c r="E681" t="inlineStr">
        <is>
          <t>GÄLLIVARE</t>
        </is>
      </c>
      <c r="F681" t="inlineStr">
        <is>
          <t>Sveaskog</t>
        </is>
      </c>
      <c r="G681" t="n">
        <v>3</v>
      </c>
      <c r="H681" t="n">
        <v>0</v>
      </c>
      <c r="I681" t="n">
        <v>0</v>
      </c>
      <c r="J681" t="n">
        <v>1</v>
      </c>
      <c r="K681" t="n">
        <v>0</v>
      </c>
      <c r="L681" t="n">
        <v>0</v>
      </c>
      <c r="M681" t="n">
        <v>0</v>
      </c>
      <c r="N681" t="n">
        <v>0</v>
      </c>
      <c r="O681" t="n">
        <v>1</v>
      </c>
      <c r="P681" t="n">
        <v>0</v>
      </c>
      <c r="Q681" t="n">
        <v>1</v>
      </c>
      <c r="R681" s="2" t="inlineStr">
        <is>
          <t>Kolflarnlav</t>
        </is>
      </c>
      <c r="S681">
        <f>HYPERLINK("https://klasma.github.io/Logging_2523/artfynd/A 41384-2019 artfynd.xlsx", "A 41384-2019")</f>
        <v/>
      </c>
      <c r="T681">
        <f>HYPERLINK("https://klasma.github.io/Logging_2523/kartor/A 41384-2019 karta.png", "A 41384-2019")</f>
        <v/>
      </c>
      <c r="V681">
        <f>HYPERLINK("https://klasma.github.io/Logging_2523/klagomål/A 41384-2019 FSC-klagomål.docx", "A 41384-2019")</f>
        <v/>
      </c>
      <c r="W681">
        <f>HYPERLINK("https://klasma.github.io/Logging_2523/klagomålsmail/A 41384-2019 FSC-klagomål mail.docx", "A 41384-2019")</f>
        <v/>
      </c>
      <c r="X681">
        <f>HYPERLINK("https://klasma.github.io/Logging_2523/tillsyn/A 41384-2019 tillsynsbegäran.docx", "A 41384-2019")</f>
        <v/>
      </c>
      <c r="Y681">
        <f>HYPERLINK("https://klasma.github.io/Logging_2523/tillsynsmail/A 41384-2019 tillsynsbegäran mail.docx", "A 41384-2019")</f>
        <v/>
      </c>
    </row>
    <row r="682" ht="15" customHeight="1">
      <c r="A682" t="inlineStr">
        <is>
          <t>A 45656-2019</t>
        </is>
      </c>
      <c r="B682" s="1" t="n">
        <v>43704</v>
      </c>
      <c r="C682" s="1" t="n">
        <v>45758</v>
      </c>
      <c r="D682" t="inlineStr">
        <is>
          <t>NORRBOTTENS LÄN</t>
        </is>
      </c>
      <c r="E682" t="inlineStr">
        <is>
          <t>GÄLLIVARE</t>
        </is>
      </c>
      <c r="G682" t="n">
        <v>1.5</v>
      </c>
      <c r="H682" t="n">
        <v>0</v>
      </c>
      <c r="I682" t="n">
        <v>0</v>
      </c>
      <c r="J682" t="n">
        <v>1</v>
      </c>
      <c r="K682" t="n">
        <v>0</v>
      </c>
      <c r="L682" t="n">
        <v>0</v>
      </c>
      <c r="M682" t="n">
        <v>0</v>
      </c>
      <c r="N682" t="n">
        <v>0</v>
      </c>
      <c r="O682" t="n">
        <v>1</v>
      </c>
      <c r="P682" t="n">
        <v>0</v>
      </c>
      <c r="Q682" t="n">
        <v>1</v>
      </c>
      <c r="R682" s="2" t="inlineStr">
        <is>
          <t>Knottrig blåslav</t>
        </is>
      </c>
      <c r="S682">
        <f>HYPERLINK("https://klasma.github.io/Logging_2523/artfynd/A 45656-2019 artfynd.xlsx", "A 45656-2019")</f>
        <v/>
      </c>
      <c r="T682">
        <f>HYPERLINK("https://klasma.github.io/Logging_2523/kartor/A 45656-2019 karta.png", "A 45656-2019")</f>
        <v/>
      </c>
      <c r="V682">
        <f>HYPERLINK("https://klasma.github.io/Logging_2523/klagomål/A 45656-2019 FSC-klagomål.docx", "A 45656-2019")</f>
        <v/>
      </c>
      <c r="W682">
        <f>HYPERLINK("https://klasma.github.io/Logging_2523/klagomålsmail/A 45656-2019 FSC-klagomål mail.docx", "A 45656-2019")</f>
        <v/>
      </c>
      <c r="X682">
        <f>HYPERLINK("https://klasma.github.io/Logging_2523/tillsyn/A 45656-2019 tillsynsbegäran.docx", "A 45656-2019")</f>
        <v/>
      </c>
      <c r="Y682">
        <f>HYPERLINK("https://klasma.github.io/Logging_2523/tillsynsmail/A 45656-2019 tillsynsbegäran mail.docx", "A 45656-2019")</f>
        <v/>
      </c>
    </row>
    <row r="683" ht="15" customHeight="1">
      <c r="A683" t="inlineStr">
        <is>
          <t>A 45558-2019</t>
        </is>
      </c>
      <c r="B683" s="1" t="n">
        <v>43714</v>
      </c>
      <c r="C683" s="1" t="n">
        <v>45758</v>
      </c>
      <c r="D683" t="inlineStr">
        <is>
          <t>NORRBOTTENS LÄN</t>
        </is>
      </c>
      <c r="E683" t="inlineStr">
        <is>
          <t>PITEÅ</t>
        </is>
      </c>
      <c r="F683" t="inlineStr">
        <is>
          <t>SCA</t>
        </is>
      </c>
      <c r="G683" t="n">
        <v>6.4</v>
      </c>
      <c r="H683" t="n">
        <v>0</v>
      </c>
      <c r="I683" t="n">
        <v>0</v>
      </c>
      <c r="J683" t="n">
        <v>1</v>
      </c>
      <c r="K683" t="n">
        <v>0</v>
      </c>
      <c r="L683" t="n">
        <v>0</v>
      </c>
      <c r="M683" t="n">
        <v>0</v>
      </c>
      <c r="N683" t="n">
        <v>0</v>
      </c>
      <c r="O683" t="n">
        <v>1</v>
      </c>
      <c r="P683" t="n">
        <v>0</v>
      </c>
      <c r="Q683" t="n">
        <v>1</v>
      </c>
      <c r="R683" s="2" t="inlineStr">
        <is>
          <t>Ullticka</t>
        </is>
      </c>
      <c r="S683">
        <f>HYPERLINK("https://klasma.github.io/Logging_2581/artfynd/A 45558-2019 artfynd.xlsx", "A 45558-2019")</f>
        <v/>
      </c>
      <c r="T683">
        <f>HYPERLINK("https://klasma.github.io/Logging_2581/kartor/A 45558-2019 karta.png", "A 45558-2019")</f>
        <v/>
      </c>
      <c r="V683">
        <f>HYPERLINK("https://klasma.github.io/Logging_2581/klagomål/A 45558-2019 FSC-klagomål.docx", "A 45558-2019")</f>
        <v/>
      </c>
      <c r="W683">
        <f>HYPERLINK("https://klasma.github.io/Logging_2581/klagomålsmail/A 45558-2019 FSC-klagomål mail.docx", "A 45558-2019")</f>
        <v/>
      </c>
      <c r="X683">
        <f>HYPERLINK("https://klasma.github.io/Logging_2581/tillsyn/A 45558-2019 tillsynsbegäran.docx", "A 45558-2019")</f>
        <v/>
      </c>
      <c r="Y683">
        <f>HYPERLINK("https://klasma.github.io/Logging_2581/tillsynsmail/A 45558-2019 tillsynsbegäran mail.docx", "A 45558-2019")</f>
        <v/>
      </c>
    </row>
    <row r="684" ht="15" customHeight="1">
      <c r="A684" t="inlineStr">
        <is>
          <t>A 46134-2019</t>
        </is>
      </c>
      <c r="B684" s="1" t="n">
        <v>43718</v>
      </c>
      <c r="C684" s="1" t="n">
        <v>45758</v>
      </c>
      <c r="D684" t="inlineStr">
        <is>
          <t>NORRBOTTENS LÄN</t>
        </is>
      </c>
      <c r="E684" t="inlineStr">
        <is>
          <t>PAJALA</t>
        </is>
      </c>
      <c r="F684" t="inlineStr">
        <is>
          <t>Sveaskog</t>
        </is>
      </c>
      <c r="G684" t="n">
        <v>10.1</v>
      </c>
      <c r="H684" t="n">
        <v>0</v>
      </c>
      <c r="I684" t="n">
        <v>0</v>
      </c>
      <c r="J684" t="n">
        <v>1</v>
      </c>
      <c r="K684" t="n">
        <v>0</v>
      </c>
      <c r="L684" t="n">
        <v>0</v>
      </c>
      <c r="M684" t="n">
        <v>0</v>
      </c>
      <c r="N684" t="n">
        <v>0</v>
      </c>
      <c r="O684" t="n">
        <v>1</v>
      </c>
      <c r="P684" t="n">
        <v>0</v>
      </c>
      <c r="Q684" t="n">
        <v>1</v>
      </c>
      <c r="R684" s="2" t="inlineStr">
        <is>
          <t>Garnlav</t>
        </is>
      </c>
      <c r="S684">
        <f>HYPERLINK("https://klasma.github.io/Logging_2521/artfynd/A 46134-2019 artfynd.xlsx", "A 46134-2019")</f>
        <v/>
      </c>
      <c r="T684">
        <f>HYPERLINK("https://klasma.github.io/Logging_2521/kartor/A 46134-2019 karta.png", "A 46134-2019")</f>
        <v/>
      </c>
      <c r="V684">
        <f>HYPERLINK("https://klasma.github.io/Logging_2521/klagomål/A 46134-2019 FSC-klagomål.docx", "A 46134-2019")</f>
        <v/>
      </c>
      <c r="W684">
        <f>HYPERLINK("https://klasma.github.io/Logging_2521/klagomålsmail/A 46134-2019 FSC-klagomål mail.docx", "A 46134-2019")</f>
        <v/>
      </c>
      <c r="X684">
        <f>HYPERLINK("https://klasma.github.io/Logging_2521/tillsyn/A 46134-2019 tillsynsbegäran.docx", "A 46134-2019")</f>
        <v/>
      </c>
      <c r="Y684">
        <f>HYPERLINK("https://klasma.github.io/Logging_2521/tillsynsmail/A 46134-2019 tillsynsbegäran mail.docx", "A 46134-2019")</f>
        <v/>
      </c>
    </row>
    <row r="685" ht="15" customHeight="1">
      <c r="A685" t="inlineStr">
        <is>
          <t>A 47305-2019</t>
        </is>
      </c>
      <c r="B685" s="1" t="n">
        <v>43721</v>
      </c>
      <c r="C685" s="1" t="n">
        <v>45758</v>
      </c>
      <c r="D685" t="inlineStr">
        <is>
          <t>NORRBOTTENS LÄN</t>
        </is>
      </c>
      <c r="E685" t="inlineStr">
        <is>
          <t>KALIX</t>
        </is>
      </c>
      <c r="G685" t="n">
        <v>2.4</v>
      </c>
      <c r="H685" t="n">
        <v>0</v>
      </c>
      <c r="I685" t="n">
        <v>0</v>
      </c>
      <c r="J685" t="n">
        <v>1</v>
      </c>
      <c r="K685" t="n">
        <v>0</v>
      </c>
      <c r="L685" t="n">
        <v>0</v>
      </c>
      <c r="M685" t="n">
        <v>0</v>
      </c>
      <c r="N685" t="n">
        <v>0</v>
      </c>
      <c r="O685" t="n">
        <v>1</v>
      </c>
      <c r="P685" t="n">
        <v>0</v>
      </c>
      <c r="Q685" t="n">
        <v>1</v>
      </c>
      <c r="R685" s="2" t="inlineStr">
        <is>
          <t>Ullticka</t>
        </is>
      </c>
      <c r="S685">
        <f>HYPERLINK("https://klasma.github.io/Logging_2514/artfynd/A 47305-2019 artfynd.xlsx", "A 47305-2019")</f>
        <v/>
      </c>
      <c r="T685">
        <f>HYPERLINK("https://klasma.github.io/Logging_2514/kartor/A 47305-2019 karta.png", "A 47305-2019")</f>
        <v/>
      </c>
      <c r="V685">
        <f>HYPERLINK("https://klasma.github.io/Logging_2514/klagomål/A 47305-2019 FSC-klagomål.docx", "A 47305-2019")</f>
        <v/>
      </c>
      <c r="W685">
        <f>HYPERLINK("https://klasma.github.io/Logging_2514/klagomålsmail/A 47305-2019 FSC-klagomål mail.docx", "A 47305-2019")</f>
        <v/>
      </c>
      <c r="X685">
        <f>HYPERLINK("https://klasma.github.io/Logging_2514/tillsyn/A 47305-2019 tillsynsbegäran.docx", "A 47305-2019")</f>
        <v/>
      </c>
      <c r="Y685">
        <f>HYPERLINK("https://klasma.github.io/Logging_2514/tillsynsmail/A 47305-2019 tillsynsbegäran mail.docx", "A 47305-2019")</f>
        <v/>
      </c>
    </row>
    <row r="686" ht="15" customHeight="1">
      <c r="A686" t="inlineStr">
        <is>
          <t>A 51078-2019</t>
        </is>
      </c>
      <c r="B686" s="1" t="n">
        <v>43739</v>
      </c>
      <c r="C686" s="1" t="n">
        <v>45758</v>
      </c>
      <c r="D686" t="inlineStr">
        <is>
          <t>NORRBOTTENS LÄN</t>
        </is>
      </c>
      <c r="E686" t="inlineStr">
        <is>
          <t>ÄLVSBYN</t>
        </is>
      </c>
      <c r="F686" t="inlineStr">
        <is>
          <t>Sveaskog</t>
        </is>
      </c>
      <c r="G686" t="n">
        <v>14.8</v>
      </c>
      <c r="H686" t="n">
        <v>1</v>
      </c>
      <c r="I686" t="n">
        <v>0</v>
      </c>
      <c r="J686" t="n">
        <v>1</v>
      </c>
      <c r="K686" t="n">
        <v>0</v>
      </c>
      <c r="L686" t="n">
        <v>0</v>
      </c>
      <c r="M686" t="n">
        <v>0</v>
      </c>
      <c r="N686" t="n">
        <v>0</v>
      </c>
      <c r="O686" t="n">
        <v>1</v>
      </c>
      <c r="P686" t="n">
        <v>0</v>
      </c>
      <c r="Q686" t="n">
        <v>1</v>
      </c>
      <c r="R686" s="2" t="inlineStr">
        <is>
          <t>Tretåig hackspett</t>
        </is>
      </c>
      <c r="S686">
        <f>HYPERLINK("https://klasma.github.io/Logging_2560/artfynd/A 51078-2019 artfynd.xlsx", "A 51078-2019")</f>
        <v/>
      </c>
      <c r="T686">
        <f>HYPERLINK("https://klasma.github.io/Logging_2560/kartor/A 51078-2019 karta.png", "A 51078-2019")</f>
        <v/>
      </c>
      <c r="V686">
        <f>HYPERLINK("https://klasma.github.io/Logging_2560/klagomål/A 51078-2019 FSC-klagomål.docx", "A 51078-2019")</f>
        <v/>
      </c>
      <c r="W686">
        <f>HYPERLINK("https://klasma.github.io/Logging_2560/klagomålsmail/A 51078-2019 FSC-klagomål mail.docx", "A 51078-2019")</f>
        <v/>
      </c>
      <c r="X686">
        <f>HYPERLINK("https://klasma.github.io/Logging_2560/tillsyn/A 51078-2019 tillsynsbegäran.docx", "A 51078-2019")</f>
        <v/>
      </c>
      <c r="Y686">
        <f>HYPERLINK("https://klasma.github.io/Logging_2560/tillsynsmail/A 51078-2019 tillsynsbegäran mail.docx", "A 51078-2019")</f>
        <v/>
      </c>
      <c r="Z686">
        <f>HYPERLINK("https://klasma.github.io/Logging_2560/fåglar/A 51078-2019 prioriterade fågelarter.docx", "A 51078-2019")</f>
        <v/>
      </c>
    </row>
    <row r="687" ht="15" customHeight="1">
      <c r="A687" t="inlineStr">
        <is>
          <t>A 54126-2019</t>
        </is>
      </c>
      <c r="B687" s="1" t="n">
        <v>43752</v>
      </c>
      <c r="C687" s="1" t="n">
        <v>45758</v>
      </c>
      <c r="D687" t="inlineStr">
        <is>
          <t>NORRBOTTENS LÄN</t>
        </is>
      </c>
      <c r="E687" t="inlineStr">
        <is>
          <t>BODEN</t>
        </is>
      </c>
      <c r="F687" t="inlineStr">
        <is>
          <t>SCA</t>
        </is>
      </c>
      <c r="G687" t="n">
        <v>7.6</v>
      </c>
      <c r="H687" t="n">
        <v>1</v>
      </c>
      <c r="I687" t="n">
        <v>0</v>
      </c>
      <c r="J687" t="n">
        <v>0</v>
      </c>
      <c r="K687" t="n">
        <v>1</v>
      </c>
      <c r="L687" t="n">
        <v>0</v>
      </c>
      <c r="M687" t="n">
        <v>0</v>
      </c>
      <c r="N687" t="n">
        <v>0</v>
      </c>
      <c r="O687" t="n">
        <v>1</v>
      </c>
      <c r="P687" t="n">
        <v>1</v>
      </c>
      <c r="Q687" t="n">
        <v>1</v>
      </c>
      <c r="R687" s="2" t="inlineStr">
        <is>
          <t>Knärot</t>
        </is>
      </c>
      <c r="S687">
        <f>HYPERLINK("https://klasma.github.io/Logging_2582/artfynd/A 54126-2019 artfynd.xlsx", "A 54126-2019")</f>
        <v/>
      </c>
      <c r="T687">
        <f>HYPERLINK("https://klasma.github.io/Logging_2582/kartor/A 54126-2019 karta.png", "A 54126-2019")</f>
        <v/>
      </c>
      <c r="U687">
        <f>HYPERLINK("https://klasma.github.io/Logging_2582/knärot/A 54126-2019 karta knärot.png", "A 54126-2019")</f>
        <v/>
      </c>
      <c r="V687">
        <f>HYPERLINK("https://klasma.github.io/Logging_2582/klagomål/A 54126-2019 FSC-klagomål.docx", "A 54126-2019")</f>
        <v/>
      </c>
      <c r="W687">
        <f>HYPERLINK("https://klasma.github.io/Logging_2582/klagomålsmail/A 54126-2019 FSC-klagomål mail.docx", "A 54126-2019")</f>
        <v/>
      </c>
      <c r="X687">
        <f>HYPERLINK("https://klasma.github.io/Logging_2582/tillsyn/A 54126-2019 tillsynsbegäran.docx", "A 54126-2019")</f>
        <v/>
      </c>
      <c r="Y687">
        <f>HYPERLINK("https://klasma.github.io/Logging_2582/tillsynsmail/A 54126-2019 tillsynsbegäran mail.docx", "A 54126-2019")</f>
        <v/>
      </c>
    </row>
    <row r="688" ht="15" customHeight="1">
      <c r="A688" t="inlineStr">
        <is>
          <t>A 56937-2019</t>
        </is>
      </c>
      <c r="B688" s="1" t="n">
        <v>43759</v>
      </c>
      <c r="C688" s="1" t="n">
        <v>45758</v>
      </c>
      <c r="D688" t="inlineStr">
        <is>
          <t>NORRBOTTENS LÄN</t>
        </is>
      </c>
      <c r="E688" t="inlineStr">
        <is>
          <t>BODEN</t>
        </is>
      </c>
      <c r="G688" t="n">
        <v>11.2</v>
      </c>
      <c r="H688" t="n">
        <v>1</v>
      </c>
      <c r="I688" t="n">
        <v>0</v>
      </c>
      <c r="J688" t="n">
        <v>1</v>
      </c>
      <c r="K688" t="n">
        <v>0</v>
      </c>
      <c r="L688" t="n">
        <v>0</v>
      </c>
      <c r="M688" t="n">
        <v>0</v>
      </c>
      <c r="N688" t="n">
        <v>0</v>
      </c>
      <c r="O688" t="n">
        <v>1</v>
      </c>
      <c r="P688" t="n">
        <v>0</v>
      </c>
      <c r="Q688" t="n">
        <v>1</v>
      </c>
      <c r="R688" s="2" t="inlineStr">
        <is>
          <t>Rödvingetrast</t>
        </is>
      </c>
      <c r="S688">
        <f>HYPERLINK("https://klasma.github.io/Logging_2582/artfynd/A 56937-2019 artfynd.xlsx", "A 56937-2019")</f>
        <v/>
      </c>
      <c r="T688">
        <f>HYPERLINK("https://klasma.github.io/Logging_2582/kartor/A 56937-2019 karta.png", "A 56937-2019")</f>
        <v/>
      </c>
      <c r="V688">
        <f>HYPERLINK("https://klasma.github.io/Logging_2582/klagomål/A 56937-2019 FSC-klagomål.docx", "A 56937-2019")</f>
        <v/>
      </c>
      <c r="W688">
        <f>HYPERLINK("https://klasma.github.io/Logging_2582/klagomålsmail/A 56937-2019 FSC-klagomål mail.docx", "A 56937-2019")</f>
        <v/>
      </c>
      <c r="X688">
        <f>HYPERLINK("https://klasma.github.io/Logging_2582/tillsyn/A 56937-2019 tillsynsbegäran.docx", "A 56937-2019")</f>
        <v/>
      </c>
      <c r="Y688">
        <f>HYPERLINK("https://klasma.github.io/Logging_2582/tillsynsmail/A 56937-2019 tillsynsbegäran mail.docx", "A 56937-2019")</f>
        <v/>
      </c>
      <c r="Z688">
        <f>HYPERLINK("https://klasma.github.io/Logging_2582/fåglar/A 56937-2019 prioriterade fågelarter.docx", "A 56937-2019")</f>
        <v/>
      </c>
    </row>
    <row r="689" ht="15" customHeight="1">
      <c r="A689" t="inlineStr">
        <is>
          <t>A 58502-2019</t>
        </is>
      </c>
      <c r="B689" s="1" t="n">
        <v>43766</v>
      </c>
      <c r="C689" s="1" t="n">
        <v>45758</v>
      </c>
      <c r="D689" t="inlineStr">
        <is>
          <t>NORRBOTTENS LÄN</t>
        </is>
      </c>
      <c r="E689" t="inlineStr">
        <is>
          <t>ÖVERKALIX</t>
        </is>
      </c>
      <c r="G689" t="n">
        <v>1</v>
      </c>
      <c r="H689" t="n">
        <v>1</v>
      </c>
      <c r="I689" t="n">
        <v>0</v>
      </c>
      <c r="J689" t="n">
        <v>0</v>
      </c>
      <c r="K689" t="n">
        <v>0</v>
      </c>
      <c r="L689" t="n">
        <v>0</v>
      </c>
      <c r="M689" t="n">
        <v>0</v>
      </c>
      <c r="N689" t="n">
        <v>0</v>
      </c>
      <c r="O689" t="n">
        <v>0</v>
      </c>
      <c r="P689" t="n">
        <v>0</v>
      </c>
      <c r="Q689" t="n">
        <v>1</v>
      </c>
      <c r="R689" s="2" t="inlineStr">
        <is>
          <t>Revlummer</t>
        </is>
      </c>
      <c r="S689">
        <f>HYPERLINK("https://klasma.github.io/Logging_2513/artfynd/A 58502-2019 artfynd.xlsx", "A 58502-2019")</f>
        <v/>
      </c>
      <c r="T689">
        <f>HYPERLINK("https://klasma.github.io/Logging_2513/kartor/A 58502-2019 karta.png", "A 58502-2019")</f>
        <v/>
      </c>
      <c r="V689">
        <f>HYPERLINK("https://klasma.github.io/Logging_2513/klagomål/A 58502-2019 FSC-klagomål.docx", "A 58502-2019")</f>
        <v/>
      </c>
      <c r="W689">
        <f>HYPERLINK("https://klasma.github.io/Logging_2513/klagomålsmail/A 58502-2019 FSC-klagomål mail.docx", "A 58502-2019")</f>
        <v/>
      </c>
      <c r="X689">
        <f>HYPERLINK("https://klasma.github.io/Logging_2513/tillsyn/A 58502-2019 tillsynsbegäran.docx", "A 58502-2019")</f>
        <v/>
      </c>
      <c r="Y689">
        <f>HYPERLINK("https://klasma.github.io/Logging_2513/tillsynsmail/A 58502-2019 tillsynsbegäran mail.docx", "A 58502-2019")</f>
        <v/>
      </c>
    </row>
    <row r="690" ht="15" customHeight="1">
      <c r="A690" t="inlineStr">
        <is>
          <t>A 60760-2019</t>
        </is>
      </c>
      <c r="B690" s="1" t="n">
        <v>43781</v>
      </c>
      <c r="C690" s="1" t="n">
        <v>45758</v>
      </c>
      <c r="D690" t="inlineStr">
        <is>
          <t>NORRBOTTENS LÄN</t>
        </is>
      </c>
      <c r="E690" t="inlineStr">
        <is>
          <t>LULEÅ</t>
        </is>
      </c>
      <c r="F690" t="inlineStr">
        <is>
          <t>Kommuner</t>
        </is>
      </c>
      <c r="G690" t="n">
        <v>6.4</v>
      </c>
      <c r="H690" t="n">
        <v>1</v>
      </c>
      <c r="I690" t="n">
        <v>0</v>
      </c>
      <c r="J690" t="n">
        <v>1</v>
      </c>
      <c r="K690" t="n">
        <v>0</v>
      </c>
      <c r="L690" t="n">
        <v>0</v>
      </c>
      <c r="M690" t="n">
        <v>0</v>
      </c>
      <c r="N690" t="n">
        <v>0</v>
      </c>
      <c r="O690" t="n">
        <v>1</v>
      </c>
      <c r="P690" t="n">
        <v>0</v>
      </c>
      <c r="Q690" t="n">
        <v>1</v>
      </c>
      <c r="R690" s="2" t="inlineStr">
        <is>
          <t>Rosenfink</t>
        </is>
      </c>
      <c r="S690">
        <f>HYPERLINK("https://klasma.github.io/Logging_2580/artfynd/A 60760-2019 artfynd.xlsx", "A 60760-2019")</f>
        <v/>
      </c>
      <c r="T690">
        <f>HYPERLINK("https://klasma.github.io/Logging_2580/kartor/A 60760-2019 karta.png", "A 60760-2019")</f>
        <v/>
      </c>
      <c r="V690">
        <f>HYPERLINK("https://klasma.github.io/Logging_2580/klagomål/A 60760-2019 FSC-klagomål.docx", "A 60760-2019")</f>
        <v/>
      </c>
      <c r="W690">
        <f>HYPERLINK("https://klasma.github.io/Logging_2580/klagomålsmail/A 60760-2019 FSC-klagomål mail.docx", "A 60760-2019")</f>
        <v/>
      </c>
      <c r="X690">
        <f>HYPERLINK("https://klasma.github.io/Logging_2580/tillsyn/A 60760-2019 tillsynsbegäran.docx", "A 60760-2019")</f>
        <v/>
      </c>
      <c r="Y690">
        <f>HYPERLINK("https://klasma.github.io/Logging_2580/tillsynsmail/A 60760-2019 tillsynsbegäran mail.docx", "A 60760-2019")</f>
        <v/>
      </c>
      <c r="Z690">
        <f>HYPERLINK("https://klasma.github.io/Logging_2580/fåglar/A 60760-2019 prioriterade fågelarter.docx", "A 60760-2019")</f>
        <v/>
      </c>
    </row>
    <row r="691" ht="15" customHeight="1">
      <c r="A691" t="inlineStr">
        <is>
          <t>A 62168-2019</t>
        </is>
      </c>
      <c r="B691" s="1" t="n">
        <v>43787</v>
      </c>
      <c r="C691" s="1" t="n">
        <v>45758</v>
      </c>
      <c r="D691" t="inlineStr">
        <is>
          <t>NORRBOTTENS LÄN</t>
        </is>
      </c>
      <c r="E691" t="inlineStr">
        <is>
          <t>BODEN</t>
        </is>
      </c>
      <c r="F691" t="inlineStr">
        <is>
          <t>SCA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HYPERLINK("https://klasma.github.io/Logging_2582/artfynd/A 62168-2019 artfynd.xlsx", "A 62168-2019")</f>
        <v/>
      </c>
      <c r="T691">
        <f>HYPERLINK("https://klasma.github.io/Logging_2582/kartor/A 62168-2019 karta.png", "A 62168-2019")</f>
        <v/>
      </c>
      <c r="U691">
        <f>HYPERLINK("https://klasma.github.io/Logging_2582/knärot/A 62168-2019 karta knärot.png", "A 62168-2019")</f>
        <v/>
      </c>
      <c r="V691">
        <f>HYPERLINK("https://klasma.github.io/Logging_2582/klagomål/A 62168-2019 FSC-klagomål.docx", "A 62168-2019")</f>
        <v/>
      </c>
      <c r="W691">
        <f>HYPERLINK("https://klasma.github.io/Logging_2582/klagomålsmail/A 62168-2019 FSC-klagomål mail.docx", "A 62168-2019")</f>
        <v/>
      </c>
      <c r="X691">
        <f>HYPERLINK("https://klasma.github.io/Logging_2582/tillsyn/A 62168-2019 tillsynsbegäran.docx", "A 62168-2019")</f>
        <v/>
      </c>
      <c r="Y691">
        <f>HYPERLINK("https://klasma.github.io/Logging_2582/tillsynsmail/A 62168-2019 tillsynsbegäran mail.docx", "A 62168-2019")</f>
        <v/>
      </c>
    </row>
    <row r="692" ht="15" customHeight="1">
      <c r="A692" t="inlineStr">
        <is>
          <t>A 64251-2019</t>
        </is>
      </c>
      <c r="B692" s="1" t="n">
        <v>43797</v>
      </c>
      <c r="C692" s="1" t="n">
        <v>45758</v>
      </c>
      <c r="D692" t="inlineStr">
        <is>
          <t>NORRBOTTENS LÄN</t>
        </is>
      </c>
      <c r="E692" t="inlineStr">
        <is>
          <t>BODEN</t>
        </is>
      </c>
      <c r="F692" t="inlineStr">
        <is>
          <t>Övriga Aktiebolag</t>
        </is>
      </c>
      <c r="G692" t="n">
        <v>10.7</v>
      </c>
      <c r="H692" t="n">
        <v>0</v>
      </c>
      <c r="I692" t="n">
        <v>0</v>
      </c>
      <c r="J692" t="n">
        <v>1</v>
      </c>
      <c r="K692" t="n">
        <v>0</v>
      </c>
      <c r="L692" t="n">
        <v>0</v>
      </c>
      <c r="M692" t="n">
        <v>0</v>
      </c>
      <c r="N692" t="n">
        <v>0</v>
      </c>
      <c r="O692" t="n">
        <v>1</v>
      </c>
      <c r="P692" t="n">
        <v>0</v>
      </c>
      <c r="Q692" t="n">
        <v>1</v>
      </c>
      <c r="R692" s="2" t="inlineStr">
        <is>
          <t>Garnlav</t>
        </is>
      </c>
      <c r="S692">
        <f>HYPERLINK("https://klasma.github.io/Logging_2582/artfynd/A 64251-2019 artfynd.xlsx", "A 64251-2019")</f>
        <v/>
      </c>
      <c r="T692">
        <f>HYPERLINK("https://klasma.github.io/Logging_2582/kartor/A 64251-2019 karta.png", "A 64251-2019")</f>
        <v/>
      </c>
      <c r="V692">
        <f>HYPERLINK("https://klasma.github.io/Logging_2582/klagomål/A 64251-2019 FSC-klagomål.docx", "A 64251-2019")</f>
        <v/>
      </c>
      <c r="W692">
        <f>HYPERLINK("https://klasma.github.io/Logging_2582/klagomålsmail/A 64251-2019 FSC-klagomål mail.docx", "A 64251-2019")</f>
        <v/>
      </c>
      <c r="X692">
        <f>HYPERLINK("https://klasma.github.io/Logging_2582/tillsyn/A 64251-2019 tillsynsbegäran.docx", "A 64251-2019")</f>
        <v/>
      </c>
      <c r="Y692">
        <f>HYPERLINK("https://klasma.github.io/Logging_2582/tillsynsmail/A 64251-2019 tillsynsbegäran mail.docx", "A 64251-2019")</f>
        <v/>
      </c>
    </row>
    <row r="693" ht="15" customHeight="1">
      <c r="A693" t="inlineStr">
        <is>
          <t>A 66430-2019</t>
        </is>
      </c>
      <c r="B693" s="1" t="n">
        <v>43802</v>
      </c>
      <c r="C693" s="1" t="n">
        <v>45758</v>
      </c>
      <c r="D693" t="inlineStr">
        <is>
          <t>NORRBOTTENS LÄN</t>
        </is>
      </c>
      <c r="E693" t="inlineStr">
        <is>
          <t>PITEÅ</t>
        </is>
      </c>
      <c r="G693" t="n">
        <v>3</v>
      </c>
      <c r="H693" t="n">
        <v>0</v>
      </c>
      <c r="I693" t="n">
        <v>0</v>
      </c>
      <c r="J693" t="n">
        <v>1</v>
      </c>
      <c r="K693" t="n">
        <v>0</v>
      </c>
      <c r="L693" t="n">
        <v>0</v>
      </c>
      <c r="M693" t="n">
        <v>0</v>
      </c>
      <c r="N693" t="n">
        <v>0</v>
      </c>
      <c r="O693" t="n">
        <v>1</v>
      </c>
      <c r="P693" t="n">
        <v>0</v>
      </c>
      <c r="Q693" t="n">
        <v>1</v>
      </c>
      <c r="R693" s="2" t="inlineStr">
        <is>
          <t>Igelkott</t>
        </is>
      </c>
      <c r="S693">
        <f>HYPERLINK("https://klasma.github.io/Logging_2581/artfynd/A 66430-2019 artfynd.xlsx", "A 66430-2019")</f>
        <v/>
      </c>
      <c r="T693">
        <f>HYPERLINK("https://klasma.github.io/Logging_2581/kartor/A 66430-2019 karta.png", "A 66430-2019")</f>
        <v/>
      </c>
      <c r="V693">
        <f>HYPERLINK("https://klasma.github.io/Logging_2581/klagomål/A 66430-2019 FSC-klagomål.docx", "A 66430-2019")</f>
        <v/>
      </c>
      <c r="W693">
        <f>HYPERLINK("https://klasma.github.io/Logging_2581/klagomålsmail/A 66430-2019 FSC-klagomål mail.docx", "A 66430-2019")</f>
        <v/>
      </c>
      <c r="X693">
        <f>HYPERLINK("https://klasma.github.io/Logging_2581/tillsyn/A 66430-2019 tillsynsbegäran.docx", "A 66430-2019")</f>
        <v/>
      </c>
      <c r="Y693">
        <f>HYPERLINK("https://klasma.github.io/Logging_2581/tillsynsmail/A 66430-2019 tillsynsbegäran mail.docx", "A 66430-2019")</f>
        <v/>
      </c>
    </row>
    <row r="694" ht="15" customHeight="1">
      <c r="A694" t="inlineStr">
        <is>
          <t>A 13869-2020</t>
        </is>
      </c>
      <c r="B694" s="1" t="n">
        <v>43896</v>
      </c>
      <c r="C694" s="1" t="n">
        <v>45758</v>
      </c>
      <c r="D694" t="inlineStr">
        <is>
          <t>NORRBOTTENS LÄN</t>
        </is>
      </c>
      <c r="E694" t="inlineStr">
        <is>
          <t>PITEÅ</t>
        </is>
      </c>
      <c r="G694" t="n">
        <v>2.2</v>
      </c>
      <c r="H694" t="n">
        <v>0</v>
      </c>
      <c r="I694" t="n">
        <v>0</v>
      </c>
      <c r="J694" t="n">
        <v>1</v>
      </c>
      <c r="K694" t="n">
        <v>0</v>
      </c>
      <c r="L694" t="n">
        <v>0</v>
      </c>
      <c r="M694" t="n">
        <v>0</v>
      </c>
      <c r="N694" t="n">
        <v>0</v>
      </c>
      <c r="O694" t="n">
        <v>1</v>
      </c>
      <c r="P694" t="n">
        <v>0</v>
      </c>
      <c r="Q694" t="n">
        <v>1</v>
      </c>
      <c r="R694" s="2" t="inlineStr">
        <is>
          <t>Äggvaxskivling</t>
        </is>
      </c>
      <c r="S694">
        <f>HYPERLINK("https://klasma.github.io/Logging_2581/artfynd/A 13869-2020 artfynd.xlsx", "A 13869-2020")</f>
        <v/>
      </c>
      <c r="T694">
        <f>HYPERLINK("https://klasma.github.io/Logging_2581/kartor/A 13869-2020 karta.png", "A 13869-2020")</f>
        <v/>
      </c>
      <c r="V694">
        <f>HYPERLINK("https://klasma.github.io/Logging_2581/klagomål/A 13869-2020 FSC-klagomål.docx", "A 13869-2020")</f>
        <v/>
      </c>
      <c r="W694">
        <f>HYPERLINK("https://klasma.github.io/Logging_2581/klagomålsmail/A 13869-2020 FSC-klagomål mail.docx", "A 13869-2020")</f>
        <v/>
      </c>
      <c r="X694">
        <f>HYPERLINK("https://klasma.github.io/Logging_2581/tillsyn/A 13869-2020 tillsynsbegäran.docx", "A 13869-2020")</f>
        <v/>
      </c>
      <c r="Y694">
        <f>HYPERLINK("https://klasma.github.io/Logging_2581/tillsynsmail/A 13869-2020 tillsynsbegäran mail.docx", "A 13869-2020")</f>
        <v/>
      </c>
    </row>
    <row r="695" ht="15" customHeight="1">
      <c r="A695" t="inlineStr">
        <is>
          <t>A 16721-2020</t>
        </is>
      </c>
      <c r="B695" s="1" t="n">
        <v>43908</v>
      </c>
      <c r="C695" s="1" t="n">
        <v>45758</v>
      </c>
      <c r="D695" t="inlineStr">
        <is>
          <t>NORRBOTTENS LÄN</t>
        </is>
      </c>
      <c r="E695" t="inlineStr">
        <is>
          <t>LULEÅ</t>
        </is>
      </c>
      <c r="G695" t="n">
        <v>50</v>
      </c>
      <c r="H695" t="n">
        <v>0</v>
      </c>
      <c r="I695" t="n">
        <v>1</v>
      </c>
      <c r="J695" t="n">
        <v>0</v>
      </c>
      <c r="K695" t="n">
        <v>0</v>
      </c>
      <c r="L695" t="n">
        <v>0</v>
      </c>
      <c r="M695" t="n">
        <v>0</v>
      </c>
      <c r="N695" t="n">
        <v>0</v>
      </c>
      <c r="O695" t="n">
        <v>0</v>
      </c>
      <c r="P695" t="n">
        <v>0</v>
      </c>
      <c r="Q695" t="n">
        <v>1</v>
      </c>
      <c r="R695" s="2" t="inlineStr">
        <is>
          <t>Ögonpyrola</t>
        </is>
      </c>
      <c r="S695">
        <f>HYPERLINK("https://klasma.github.io/Logging_2580/artfynd/A 16721-2020 artfynd.xlsx", "A 16721-2020")</f>
        <v/>
      </c>
      <c r="T695">
        <f>HYPERLINK("https://klasma.github.io/Logging_2580/kartor/A 16721-2020 karta.png", "A 16721-2020")</f>
        <v/>
      </c>
      <c r="V695">
        <f>HYPERLINK("https://klasma.github.io/Logging_2580/klagomål/A 16721-2020 FSC-klagomål.docx", "A 16721-2020")</f>
        <v/>
      </c>
      <c r="W695">
        <f>HYPERLINK("https://klasma.github.io/Logging_2580/klagomålsmail/A 16721-2020 FSC-klagomål mail.docx", "A 16721-2020")</f>
        <v/>
      </c>
      <c r="X695">
        <f>HYPERLINK("https://klasma.github.io/Logging_2580/tillsyn/A 16721-2020 tillsynsbegäran.docx", "A 16721-2020")</f>
        <v/>
      </c>
      <c r="Y695">
        <f>HYPERLINK("https://klasma.github.io/Logging_2580/tillsynsmail/A 16721-2020 tillsynsbegäran mail.docx", "A 16721-2020")</f>
        <v/>
      </c>
    </row>
    <row r="696" ht="15" customHeight="1">
      <c r="A696" t="inlineStr">
        <is>
          <t>A 15648-2020</t>
        </is>
      </c>
      <c r="B696" s="1" t="n">
        <v>43914</v>
      </c>
      <c r="C696" s="1" t="n">
        <v>45758</v>
      </c>
      <c r="D696" t="inlineStr">
        <is>
          <t>NORRBOTTENS LÄN</t>
        </is>
      </c>
      <c r="E696" t="inlineStr">
        <is>
          <t>GÄLLIVARE</t>
        </is>
      </c>
      <c r="F696" t="inlineStr">
        <is>
          <t>SCA</t>
        </is>
      </c>
      <c r="G696" t="n">
        <v>7</v>
      </c>
      <c r="H696" t="n">
        <v>1</v>
      </c>
      <c r="I696" t="n">
        <v>0</v>
      </c>
      <c r="J696" t="n">
        <v>1</v>
      </c>
      <c r="K696" t="n">
        <v>0</v>
      </c>
      <c r="L696" t="n">
        <v>0</v>
      </c>
      <c r="M696" t="n">
        <v>0</v>
      </c>
      <c r="N696" t="n">
        <v>0</v>
      </c>
      <c r="O696" t="n">
        <v>1</v>
      </c>
      <c r="P696" t="n">
        <v>0</v>
      </c>
      <c r="Q696" t="n">
        <v>1</v>
      </c>
      <c r="R696" s="2" t="inlineStr">
        <is>
          <t>Utter</t>
        </is>
      </c>
      <c r="S696">
        <f>HYPERLINK("https://klasma.github.io/Logging_2523/artfynd/A 15648-2020 artfynd.xlsx", "A 15648-2020")</f>
        <v/>
      </c>
      <c r="T696">
        <f>HYPERLINK("https://klasma.github.io/Logging_2523/kartor/A 15648-2020 karta.png", "A 15648-2020")</f>
        <v/>
      </c>
      <c r="V696">
        <f>HYPERLINK("https://klasma.github.io/Logging_2523/klagomål/A 15648-2020 FSC-klagomål.docx", "A 15648-2020")</f>
        <v/>
      </c>
      <c r="W696">
        <f>HYPERLINK("https://klasma.github.io/Logging_2523/klagomålsmail/A 15648-2020 FSC-klagomål mail.docx", "A 15648-2020")</f>
        <v/>
      </c>
      <c r="X696">
        <f>HYPERLINK("https://klasma.github.io/Logging_2523/tillsyn/A 15648-2020 tillsynsbegäran.docx", "A 15648-2020")</f>
        <v/>
      </c>
      <c r="Y696">
        <f>HYPERLINK("https://klasma.github.io/Logging_2523/tillsynsmail/A 15648-2020 tillsynsbegäran mail.docx", "A 15648-2020")</f>
        <v/>
      </c>
    </row>
    <row r="697" ht="15" customHeight="1">
      <c r="A697" t="inlineStr">
        <is>
          <t>A 23473-2020</t>
        </is>
      </c>
      <c r="B697" s="1" t="n">
        <v>43966</v>
      </c>
      <c r="C697" s="1" t="n">
        <v>45758</v>
      </c>
      <c r="D697" t="inlineStr">
        <is>
          <t>NORRBOTTENS LÄN</t>
        </is>
      </c>
      <c r="E697" t="inlineStr">
        <is>
          <t>BODEN</t>
        </is>
      </c>
      <c r="G697" t="n">
        <v>24.7</v>
      </c>
      <c r="H697" t="n">
        <v>0</v>
      </c>
      <c r="I697" t="n">
        <v>0</v>
      </c>
      <c r="J697" t="n">
        <v>1</v>
      </c>
      <c r="K697" t="n">
        <v>0</v>
      </c>
      <c r="L697" t="n">
        <v>0</v>
      </c>
      <c r="M697" t="n">
        <v>0</v>
      </c>
      <c r="N697" t="n">
        <v>0</v>
      </c>
      <c r="O697" t="n">
        <v>1</v>
      </c>
      <c r="P697" t="n">
        <v>0</v>
      </c>
      <c r="Q697" t="n">
        <v>1</v>
      </c>
      <c r="R697" s="2" t="inlineStr">
        <is>
          <t>Lunglav</t>
        </is>
      </c>
      <c r="S697">
        <f>HYPERLINK("https://klasma.github.io/Logging_2582/artfynd/A 23473-2020 artfynd.xlsx", "A 23473-2020")</f>
        <v/>
      </c>
      <c r="T697">
        <f>HYPERLINK("https://klasma.github.io/Logging_2582/kartor/A 23473-2020 karta.png", "A 23473-2020")</f>
        <v/>
      </c>
      <c r="V697">
        <f>HYPERLINK("https://klasma.github.io/Logging_2582/klagomål/A 23473-2020 FSC-klagomål.docx", "A 23473-2020")</f>
        <v/>
      </c>
      <c r="W697">
        <f>HYPERLINK("https://klasma.github.io/Logging_2582/klagomålsmail/A 23473-2020 FSC-klagomål mail.docx", "A 23473-2020")</f>
        <v/>
      </c>
      <c r="X697">
        <f>HYPERLINK("https://klasma.github.io/Logging_2582/tillsyn/A 23473-2020 tillsynsbegäran.docx", "A 23473-2020")</f>
        <v/>
      </c>
      <c r="Y697">
        <f>HYPERLINK("https://klasma.github.io/Logging_2582/tillsynsmail/A 23473-2020 tillsynsbegäran mail.docx", "A 23473-2020")</f>
        <v/>
      </c>
    </row>
    <row r="698" ht="15" customHeight="1">
      <c r="A698" t="inlineStr">
        <is>
          <t>A 31905-2020</t>
        </is>
      </c>
      <c r="B698" s="1" t="n">
        <v>44014</v>
      </c>
      <c r="C698" s="1" t="n">
        <v>45758</v>
      </c>
      <c r="D698" t="inlineStr">
        <is>
          <t>NORRBOTTENS LÄN</t>
        </is>
      </c>
      <c r="E698" t="inlineStr">
        <is>
          <t>PITEÅ</t>
        </is>
      </c>
      <c r="G698" t="n">
        <v>6.6</v>
      </c>
      <c r="H698" t="n">
        <v>1</v>
      </c>
      <c r="I698" t="n">
        <v>1</v>
      </c>
      <c r="J698" t="n">
        <v>0</v>
      </c>
      <c r="K698" t="n">
        <v>0</v>
      </c>
      <c r="L698" t="n">
        <v>0</v>
      </c>
      <c r="M698" t="n">
        <v>0</v>
      </c>
      <c r="N698" t="n">
        <v>0</v>
      </c>
      <c r="O698" t="n">
        <v>0</v>
      </c>
      <c r="P698" t="n">
        <v>0</v>
      </c>
      <c r="Q698" t="n">
        <v>1</v>
      </c>
      <c r="R698" s="2" t="inlineStr">
        <is>
          <t>Plattlummer</t>
        </is>
      </c>
      <c r="S698">
        <f>HYPERLINK("https://klasma.github.io/Logging_2581/artfynd/A 31905-2020 artfynd.xlsx", "A 31905-2020")</f>
        <v/>
      </c>
      <c r="T698">
        <f>HYPERLINK("https://klasma.github.io/Logging_2581/kartor/A 31905-2020 karta.png", "A 31905-2020")</f>
        <v/>
      </c>
      <c r="V698">
        <f>HYPERLINK("https://klasma.github.io/Logging_2581/klagomål/A 31905-2020 FSC-klagomål.docx", "A 31905-2020")</f>
        <v/>
      </c>
      <c r="W698">
        <f>HYPERLINK("https://klasma.github.io/Logging_2581/klagomålsmail/A 31905-2020 FSC-klagomål mail.docx", "A 31905-2020")</f>
        <v/>
      </c>
      <c r="X698">
        <f>HYPERLINK("https://klasma.github.io/Logging_2581/tillsyn/A 31905-2020 tillsynsbegäran.docx", "A 31905-2020")</f>
        <v/>
      </c>
      <c r="Y698">
        <f>HYPERLINK("https://klasma.github.io/Logging_2581/tillsynsmail/A 31905-2020 tillsynsbegäran mail.docx", "A 31905-2020")</f>
        <v/>
      </c>
    </row>
    <row r="699" ht="15" customHeight="1">
      <c r="A699" t="inlineStr">
        <is>
          <t>A 34646-2020</t>
        </is>
      </c>
      <c r="B699" s="1" t="n">
        <v>44034</v>
      </c>
      <c r="C699" s="1" t="n">
        <v>45758</v>
      </c>
      <c r="D699" t="inlineStr">
        <is>
          <t>NORRBOTTENS LÄN</t>
        </is>
      </c>
      <c r="E699" t="inlineStr">
        <is>
          <t>PAJALA</t>
        </is>
      </c>
      <c r="F699" t="inlineStr">
        <is>
          <t>Allmännings- och besparingsskogar</t>
        </is>
      </c>
      <c r="G699" t="n">
        <v>7.3</v>
      </c>
      <c r="H699" t="n">
        <v>1</v>
      </c>
      <c r="I699" t="n">
        <v>0</v>
      </c>
      <c r="J699" t="n">
        <v>0</v>
      </c>
      <c r="K699" t="n">
        <v>0</v>
      </c>
      <c r="L699" t="n">
        <v>0</v>
      </c>
      <c r="M699" t="n">
        <v>0</v>
      </c>
      <c r="N699" t="n">
        <v>0</v>
      </c>
      <c r="O699" t="n">
        <v>0</v>
      </c>
      <c r="P699" t="n">
        <v>0</v>
      </c>
      <c r="Q699" t="n">
        <v>1</v>
      </c>
      <c r="R699" s="2" t="inlineStr">
        <is>
          <t>Sångsvan</t>
        </is>
      </c>
      <c r="S699">
        <f>HYPERLINK("https://klasma.github.io/Logging_2521/artfynd/A 34646-2020 artfynd.xlsx", "A 34646-2020")</f>
        <v/>
      </c>
      <c r="T699">
        <f>HYPERLINK("https://klasma.github.io/Logging_2521/kartor/A 34646-2020 karta.png", "A 34646-2020")</f>
        <v/>
      </c>
      <c r="V699">
        <f>HYPERLINK("https://klasma.github.io/Logging_2521/klagomål/A 34646-2020 FSC-klagomål.docx", "A 34646-2020")</f>
        <v/>
      </c>
      <c r="W699">
        <f>HYPERLINK("https://klasma.github.io/Logging_2521/klagomålsmail/A 34646-2020 FSC-klagomål mail.docx", "A 34646-2020")</f>
        <v/>
      </c>
      <c r="X699">
        <f>HYPERLINK("https://klasma.github.io/Logging_2521/tillsyn/A 34646-2020 tillsynsbegäran.docx", "A 34646-2020")</f>
        <v/>
      </c>
      <c r="Y699">
        <f>HYPERLINK("https://klasma.github.io/Logging_2521/tillsynsmail/A 34646-2020 tillsynsbegäran mail.docx", "A 34646-2020")</f>
        <v/>
      </c>
      <c r="Z699">
        <f>HYPERLINK("https://klasma.github.io/Logging_2521/fåglar/A 34646-2020 prioriterade fågelarter.docx", "A 34646-2020")</f>
        <v/>
      </c>
    </row>
    <row r="700" ht="15" customHeight="1">
      <c r="A700" t="inlineStr">
        <is>
          <t>A 39034-2020</t>
        </is>
      </c>
      <c r="B700" s="1" t="n">
        <v>44062</v>
      </c>
      <c r="C700" s="1" t="n">
        <v>45758</v>
      </c>
      <c r="D700" t="inlineStr">
        <is>
          <t>NORRBOTTENS LÄN</t>
        </is>
      </c>
      <c r="E700" t="inlineStr">
        <is>
          <t>BODEN</t>
        </is>
      </c>
      <c r="F700" t="inlineStr">
        <is>
          <t>Sveaskog</t>
        </is>
      </c>
      <c r="G700" t="n">
        <v>17.7</v>
      </c>
      <c r="H700" t="n">
        <v>0</v>
      </c>
      <c r="I700" t="n">
        <v>0</v>
      </c>
      <c r="J700" t="n">
        <v>1</v>
      </c>
      <c r="K700" t="n">
        <v>0</v>
      </c>
      <c r="L700" t="n">
        <v>0</v>
      </c>
      <c r="M700" t="n">
        <v>0</v>
      </c>
      <c r="N700" t="n">
        <v>0</v>
      </c>
      <c r="O700" t="n">
        <v>1</v>
      </c>
      <c r="P700" t="n">
        <v>0</v>
      </c>
      <c r="Q700" t="n">
        <v>1</v>
      </c>
      <c r="R700" s="2" t="inlineStr">
        <is>
          <t>Kolflarnlav</t>
        </is>
      </c>
      <c r="S700">
        <f>HYPERLINK("https://klasma.github.io/Logging_2582/artfynd/A 39034-2020 artfynd.xlsx", "A 39034-2020")</f>
        <v/>
      </c>
      <c r="T700">
        <f>HYPERLINK("https://klasma.github.io/Logging_2582/kartor/A 39034-2020 karta.png", "A 39034-2020")</f>
        <v/>
      </c>
      <c r="V700">
        <f>HYPERLINK("https://klasma.github.io/Logging_2582/klagomål/A 39034-2020 FSC-klagomål.docx", "A 39034-2020")</f>
        <v/>
      </c>
      <c r="W700">
        <f>HYPERLINK("https://klasma.github.io/Logging_2582/klagomålsmail/A 39034-2020 FSC-klagomål mail.docx", "A 39034-2020")</f>
        <v/>
      </c>
      <c r="X700">
        <f>HYPERLINK("https://klasma.github.io/Logging_2582/tillsyn/A 39034-2020 tillsynsbegäran.docx", "A 39034-2020")</f>
        <v/>
      </c>
      <c r="Y700">
        <f>HYPERLINK("https://klasma.github.io/Logging_2582/tillsynsmail/A 39034-2020 tillsynsbegäran mail.docx", "A 39034-2020")</f>
        <v/>
      </c>
    </row>
    <row r="701" ht="15" customHeight="1">
      <c r="A701" t="inlineStr">
        <is>
          <t>A 39599-2020</t>
        </is>
      </c>
      <c r="B701" s="1" t="n">
        <v>44064</v>
      </c>
      <c r="C701" s="1" t="n">
        <v>45758</v>
      </c>
      <c r="D701" t="inlineStr">
        <is>
          <t>NORRBOTTENS LÄN</t>
        </is>
      </c>
      <c r="E701" t="inlineStr">
        <is>
          <t>BODEN</t>
        </is>
      </c>
      <c r="F701" t="inlineStr">
        <is>
          <t>Sveaskog</t>
        </is>
      </c>
      <c r="G701" t="n">
        <v>12.6</v>
      </c>
      <c r="H701" t="n">
        <v>1</v>
      </c>
      <c r="I701" t="n">
        <v>0</v>
      </c>
      <c r="J701" t="n">
        <v>0</v>
      </c>
      <c r="K701" t="n">
        <v>1</v>
      </c>
      <c r="L701" t="n">
        <v>0</v>
      </c>
      <c r="M701" t="n">
        <v>0</v>
      </c>
      <c r="N701" t="n">
        <v>0</v>
      </c>
      <c r="O701" t="n">
        <v>1</v>
      </c>
      <c r="P701" t="n">
        <v>1</v>
      </c>
      <c r="Q701" t="n">
        <v>1</v>
      </c>
      <c r="R701" s="2" t="inlineStr">
        <is>
          <t>Knärot</t>
        </is>
      </c>
      <c r="S701">
        <f>HYPERLINK("https://klasma.github.io/Logging_2582/artfynd/A 39599-2020 artfynd.xlsx", "A 39599-2020")</f>
        <v/>
      </c>
      <c r="T701">
        <f>HYPERLINK("https://klasma.github.io/Logging_2582/kartor/A 39599-2020 karta.png", "A 39599-2020")</f>
        <v/>
      </c>
      <c r="U701">
        <f>HYPERLINK("https://klasma.github.io/Logging_2582/knärot/A 39599-2020 karta knärot.png", "A 39599-2020")</f>
        <v/>
      </c>
      <c r="V701">
        <f>HYPERLINK("https://klasma.github.io/Logging_2582/klagomål/A 39599-2020 FSC-klagomål.docx", "A 39599-2020")</f>
        <v/>
      </c>
      <c r="W701">
        <f>HYPERLINK("https://klasma.github.io/Logging_2582/klagomålsmail/A 39599-2020 FSC-klagomål mail.docx", "A 39599-2020")</f>
        <v/>
      </c>
      <c r="X701">
        <f>HYPERLINK("https://klasma.github.io/Logging_2582/tillsyn/A 39599-2020 tillsynsbegäran.docx", "A 39599-2020")</f>
        <v/>
      </c>
      <c r="Y701">
        <f>HYPERLINK("https://klasma.github.io/Logging_2582/tillsynsmail/A 39599-2020 tillsynsbegäran mail.docx", "A 39599-2020")</f>
        <v/>
      </c>
    </row>
    <row r="702" ht="15" customHeight="1">
      <c r="A702" t="inlineStr">
        <is>
          <t>A 42854-2020</t>
        </is>
      </c>
      <c r="B702" s="1" t="n">
        <v>44078</v>
      </c>
      <c r="C702" s="1" t="n">
        <v>45758</v>
      </c>
      <c r="D702" t="inlineStr">
        <is>
          <t>NORRBOTTENS LÄN</t>
        </is>
      </c>
      <c r="E702" t="inlineStr">
        <is>
          <t>PAJALA</t>
        </is>
      </c>
      <c r="F702" t="inlineStr">
        <is>
          <t>Sveaskog</t>
        </is>
      </c>
      <c r="G702" t="n">
        <v>5.4</v>
      </c>
      <c r="H702" t="n">
        <v>1</v>
      </c>
      <c r="I702" t="n">
        <v>0</v>
      </c>
      <c r="J702" t="n">
        <v>1</v>
      </c>
      <c r="K702" t="n">
        <v>0</v>
      </c>
      <c r="L702" t="n">
        <v>0</v>
      </c>
      <c r="M702" t="n">
        <v>0</v>
      </c>
      <c r="N702" t="n">
        <v>0</v>
      </c>
      <c r="O702" t="n">
        <v>1</v>
      </c>
      <c r="P702" t="n">
        <v>0</v>
      </c>
      <c r="Q702" t="n">
        <v>1</v>
      </c>
      <c r="R702" s="2" t="inlineStr">
        <is>
          <t>Duvhök</t>
        </is>
      </c>
      <c r="S702">
        <f>HYPERLINK("https://klasma.github.io/Logging_2521/artfynd/A 42854-2020 artfynd.xlsx", "A 42854-2020")</f>
        <v/>
      </c>
      <c r="T702">
        <f>HYPERLINK("https://klasma.github.io/Logging_2521/kartor/A 42854-2020 karta.png", "A 42854-2020")</f>
        <v/>
      </c>
      <c r="V702">
        <f>HYPERLINK("https://klasma.github.io/Logging_2521/klagomål/A 42854-2020 FSC-klagomål.docx", "A 42854-2020")</f>
        <v/>
      </c>
      <c r="W702">
        <f>HYPERLINK("https://klasma.github.io/Logging_2521/klagomålsmail/A 42854-2020 FSC-klagomål mail.docx", "A 42854-2020")</f>
        <v/>
      </c>
      <c r="X702">
        <f>HYPERLINK("https://klasma.github.io/Logging_2521/tillsyn/A 42854-2020 tillsynsbegäran.docx", "A 42854-2020")</f>
        <v/>
      </c>
      <c r="Y702">
        <f>HYPERLINK("https://klasma.github.io/Logging_2521/tillsynsmail/A 42854-2020 tillsynsbegäran mail.docx", "A 42854-2020")</f>
        <v/>
      </c>
      <c r="Z702">
        <f>HYPERLINK("https://klasma.github.io/Logging_2521/fåglar/A 42854-2020 prioriterade fågelarter.docx", "A 42854-2020")</f>
        <v/>
      </c>
    </row>
    <row r="703" ht="15" customHeight="1">
      <c r="A703" t="inlineStr">
        <is>
          <t>A 43663-2020</t>
        </is>
      </c>
      <c r="B703" s="1" t="n">
        <v>44082</v>
      </c>
      <c r="C703" s="1" t="n">
        <v>45758</v>
      </c>
      <c r="D703" t="inlineStr">
        <is>
          <t>NORRBOTTENS LÄN</t>
        </is>
      </c>
      <c r="E703" t="inlineStr">
        <is>
          <t>LULEÅ</t>
        </is>
      </c>
      <c r="F703" t="inlineStr">
        <is>
          <t>Sveaskog</t>
        </is>
      </c>
      <c r="G703" t="n">
        <v>2.3</v>
      </c>
      <c r="H703" t="n">
        <v>0</v>
      </c>
      <c r="I703" t="n">
        <v>0</v>
      </c>
      <c r="J703" t="n">
        <v>1</v>
      </c>
      <c r="K703" t="n">
        <v>0</v>
      </c>
      <c r="L703" t="n">
        <v>0</v>
      </c>
      <c r="M703" t="n">
        <v>0</v>
      </c>
      <c r="N703" t="n">
        <v>0</v>
      </c>
      <c r="O703" t="n">
        <v>1</v>
      </c>
      <c r="P703" t="n">
        <v>0</v>
      </c>
      <c r="Q703" t="n">
        <v>1</v>
      </c>
      <c r="R703" s="2" t="inlineStr">
        <is>
          <t>Garnlav</t>
        </is>
      </c>
      <c r="S703">
        <f>HYPERLINK("https://klasma.github.io/Logging_2580/artfynd/A 43663-2020 artfynd.xlsx", "A 43663-2020")</f>
        <v/>
      </c>
      <c r="T703">
        <f>HYPERLINK("https://klasma.github.io/Logging_2580/kartor/A 43663-2020 karta.png", "A 43663-2020")</f>
        <v/>
      </c>
      <c r="V703">
        <f>HYPERLINK("https://klasma.github.io/Logging_2580/klagomål/A 43663-2020 FSC-klagomål.docx", "A 43663-2020")</f>
        <v/>
      </c>
      <c r="W703">
        <f>HYPERLINK("https://klasma.github.io/Logging_2580/klagomålsmail/A 43663-2020 FSC-klagomål mail.docx", "A 43663-2020")</f>
        <v/>
      </c>
      <c r="X703">
        <f>HYPERLINK("https://klasma.github.io/Logging_2580/tillsyn/A 43663-2020 tillsynsbegäran.docx", "A 43663-2020")</f>
        <v/>
      </c>
      <c r="Y703">
        <f>HYPERLINK("https://klasma.github.io/Logging_2580/tillsynsmail/A 43663-2020 tillsynsbegäran mail.docx", "A 43663-2020")</f>
        <v/>
      </c>
    </row>
    <row r="704" ht="15" customHeight="1">
      <c r="A704" t="inlineStr">
        <is>
          <t>A 43643-2020</t>
        </is>
      </c>
      <c r="B704" s="1" t="n">
        <v>44082</v>
      </c>
      <c r="C704" s="1" t="n">
        <v>45758</v>
      </c>
      <c r="D704" t="inlineStr">
        <is>
          <t>NORRBOTTENS LÄN</t>
        </is>
      </c>
      <c r="E704" t="inlineStr">
        <is>
          <t>BODEN</t>
        </is>
      </c>
      <c r="F704" t="inlineStr">
        <is>
          <t>Sveaskog</t>
        </is>
      </c>
      <c r="G704" t="n">
        <v>3.2</v>
      </c>
      <c r="H704" t="n">
        <v>0</v>
      </c>
      <c r="I704" t="n">
        <v>0</v>
      </c>
      <c r="J704" t="n">
        <v>1</v>
      </c>
      <c r="K704" t="n">
        <v>0</v>
      </c>
      <c r="L704" t="n">
        <v>0</v>
      </c>
      <c r="M704" t="n">
        <v>0</v>
      </c>
      <c r="N704" t="n">
        <v>0</v>
      </c>
      <c r="O704" t="n">
        <v>1</v>
      </c>
      <c r="P704" t="n">
        <v>0</v>
      </c>
      <c r="Q704" t="n">
        <v>1</v>
      </c>
      <c r="R704" s="2" t="inlineStr">
        <is>
          <t>Blå taggsvamp</t>
        </is>
      </c>
      <c r="S704">
        <f>HYPERLINK("https://klasma.github.io/Logging_2582/artfynd/A 43643-2020 artfynd.xlsx", "A 43643-2020")</f>
        <v/>
      </c>
      <c r="T704">
        <f>HYPERLINK("https://klasma.github.io/Logging_2582/kartor/A 43643-2020 karta.png", "A 43643-2020")</f>
        <v/>
      </c>
      <c r="V704">
        <f>HYPERLINK("https://klasma.github.io/Logging_2582/klagomål/A 43643-2020 FSC-klagomål.docx", "A 43643-2020")</f>
        <v/>
      </c>
      <c r="W704">
        <f>HYPERLINK("https://klasma.github.io/Logging_2582/klagomålsmail/A 43643-2020 FSC-klagomål mail.docx", "A 43643-2020")</f>
        <v/>
      </c>
      <c r="X704">
        <f>HYPERLINK("https://klasma.github.io/Logging_2582/tillsyn/A 43643-2020 tillsynsbegäran.docx", "A 43643-2020")</f>
        <v/>
      </c>
      <c r="Y704">
        <f>HYPERLINK("https://klasma.github.io/Logging_2582/tillsynsmail/A 43643-2020 tillsynsbegäran mail.docx", "A 43643-2020")</f>
        <v/>
      </c>
    </row>
    <row r="705" ht="15" customHeight="1">
      <c r="A705" t="inlineStr">
        <is>
          <t>A 45184-2020</t>
        </is>
      </c>
      <c r="B705" s="1" t="n">
        <v>44088</v>
      </c>
      <c r="C705" s="1" t="n">
        <v>45758</v>
      </c>
      <c r="D705" t="inlineStr">
        <is>
          <t>NORRBOTTENS LÄN</t>
        </is>
      </c>
      <c r="E705" t="inlineStr">
        <is>
          <t>BODEN</t>
        </is>
      </c>
      <c r="F705" t="inlineStr">
        <is>
          <t>Sveaskog</t>
        </is>
      </c>
      <c r="G705" t="n">
        <v>4.6</v>
      </c>
      <c r="H705" t="n">
        <v>0</v>
      </c>
      <c r="I705" t="n">
        <v>0</v>
      </c>
      <c r="J705" t="n">
        <v>1</v>
      </c>
      <c r="K705" t="n">
        <v>0</v>
      </c>
      <c r="L705" t="n">
        <v>0</v>
      </c>
      <c r="M705" t="n">
        <v>0</v>
      </c>
      <c r="N705" t="n">
        <v>0</v>
      </c>
      <c r="O705" t="n">
        <v>1</v>
      </c>
      <c r="P705" t="n">
        <v>0</v>
      </c>
      <c r="Q705" t="n">
        <v>1</v>
      </c>
      <c r="R705" s="2" t="inlineStr">
        <is>
          <t>Gammelgransskål</t>
        </is>
      </c>
      <c r="S705">
        <f>HYPERLINK("https://klasma.github.io/Logging_2582/artfynd/A 45184-2020 artfynd.xlsx", "A 45184-2020")</f>
        <v/>
      </c>
      <c r="T705">
        <f>HYPERLINK("https://klasma.github.io/Logging_2582/kartor/A 45184-2020 karta.png", "A 45184-2020")</f>
        <v/>
      </c>
      <c r="V705">
        <f>HYPERLINK("https://klasma.github.io/Logging_2582/klagomål/A 45184-2020 FSC-klagomål.docx", "A 45184-2020")</f>
        <v/>
      </c>
      <c r="W705">
        <f>HYPERLINK("https://klasma.github.io/Logging_2582/klagomålsmail/A 45184-2020 FSC-klagomål mail.docx", "A 45184-2020")</f>
        <v/>
      </c>
      <c r="X705">
        <f>HYPERLINK("https://klasma.github.io/Logging_2582/tillsyn/A 45184-2020 tillsynsbegäran.docx", "A 45184-2020")</f>
        <v/>
      </c>
      <c r="Y705">
        <f>HYPERLINK("https://klasma.github.io/Logging_2582/tillsynsmail/A 45184-2020 tillsynsbegäran mail.docx", "A 45184-2020")</f>
        <v/>
      </c>
    </row>
    <row r="706" ht="15" customHeight="1">
      <c r="A706" t="inlineStr">
        <is>
          <t>A 51168-2020</t>
        </is>
      </c>
      <c r="B706" s="1" t="n">
        <v>44106</v>
      </c>
      <c r="C706" s="1" t="n">
        <v>45758</v>
      </c>
      <c r="D706" t="inlineStr">
        <is>
          <t>NORRBOTTENS LÄN</t>
        </is>
      </c>
      <c r="E706" t="inlineStr">
        <is>
          <t>PITEÅ</t>
        </is>
      </c>
      <c r="G706" t="n">
        <v>1.1</v>
      </c>
      <c r="H706" t="n">
        <v>0</v>
      </c>
      <c r="I706" t="n">
        <v>0</v>
      </c>
      <c r="J706" t="n">
        <v>1</v>
      </c>
      <c r="K706" t="n">
        <v>0</v>
      </c>
      <c r="L706" t="n">
        <v>0</v>
      </c>
      <c r="M706" t="n">
        <v>0</v>
      </c>
      <c r="N706" t="n">
        <v>0</v>
      </c>
      <c r="O706" t="n">
        <v>1</v>
      </c>
      <c r="P706" t="n">
        <v>0</v>
      </c>
      <c r="Q706" t="n">
        <v>1</v>
      </c>
      <c r="R706" s="2" t="inlineStr">
        <is>
          <t>Tallticka</t>
        </is>
      </c>
      <c r="S706">
        <f>HYPERLINK("https://klasma.github.io/Logging_2581/artfynd/A 51168-2020 artfynd.xlsx", "A 51168-2020")</f>
        <v/>
      </c>
      <c r="T706">
        <f>HYPERLINK("https://klasma.github.io/Logging_2581/kartor/A 51168-2020 karta.png", "A 51168-2020")</f>
        <v/>
      </c>
      <c r="V706">
        <f>HYPERLINK("https://klasma.github.io/Logging_2581/klagomål/A 51168-2020 FSC-klagomål.docx", "A 51168-2020")</f>
        <v/>
      </c>
      <c r="W706">
        <f>HYPERLINK("https://klasma.github.io/Logging_2581/klagomålsmail/A 51168-2020 FSC-klagomål mail.docx", "A 51168-2020")</f>
        <v/>
      </c>
      <c r="X706">
        <f>HYPERLINK("https://klasma.github.io/Logging_2581/tillsyn/A 51168-2020 tillsynsbegäran.docx", "A 51168-2020")</f>
        <v/>
      </c>
      <c r="Y706">
        <f>HYPERLINK("https://klasma.github.io/Logging_2581/tillsynsmail/A 51168-2020 tillsynsbegäran mail.docx", "A 51168-2020")</f>
        <v/>
      </c>
    </row>
    <row r="707" ht="15" customHeight="1">
      <c r="A707" t="inlineStr">
        <is>
          <t>A 51875-2020</t>
        </is>
      </c>
      <c r="B707" s="1" t="n">
        <v>44109</v>
      </c>
      <c r="C707" s="1" t="n">
        <v>45758</v>
      </c>
      <c r="D707" t="inlineStr">
        <is>
          <t>NORRBOTTENS LÄN</t>
        </is>
      </c>
      <c r="E707" t="inlineStr">
        <is>
          <t>JOKKMOKK</t>
        </is>
      </c>
      <c r="F707" t="inlineStr">
        <is>
          <t>Allmännings- och besparingsskogar</t>
        </is>
      </c>
      <c r="G707" t="n">
        <v>28</v>
      </c>
      <c r="H707" t="n">
        <v>0</v>
      </c>
      <c r="I707" t="n">
        <v>0</v>
      </c>
      <c r="J707" t="n">
        <v>1</v>
      </c>
      <c r="K707" t="n">
        <v>0</v>
      </c>
      <c r="L707" t="n">
        <v>0</v>
      </c>
      <c r="M707" t="n">
        <v>0</v>
      </c>
      <c r="N707" t="n">
        <v>0</v>
      </c>
      <c r="O707" t="n">
        <v>1</v>
      </c>
      <c r="P707" t="n">
        <v>0</v>
      </c>
      <c r="Q707" t="n">
        <v>1</v>
      </c>
      <c r="R707" s="2" t="inlineStr">
        <is>
          <t>Vitplätt</t>
        </is>
      </c>
      <c r="S707">
        <f>HYPERLINK("https://klasma.github.io/Logging_2510/artfynd/A 51875-2020 artfynd.xlsx", "A 51875-2020")</f>
        <v/>
      </c>
      <c r="T707">
        <f>HYPERLINK("https://klasma.github.io/Logging_2510/kartor/A 51875-2020 karta.png", "A 51875-2020")</f>
        <v/>
      </c>
      <c r="V707">
        <f>HYPERLINK("https://klasma.github.io/Logging_2510/klagomål/A 51875-2020 FSC-klagomål.docx", "A 51875-2020")</f>
        <v/>
      </c>
      <c r="W707">
        <f>HYPERLINK("https://klasma.github.io/Logging_2510/klagomålsmail/A 51875-2020 FSC-klagomål mail.docx", "A 51875-2020")</f>
        <v/>
      </c>
      <c r="X707">
        <f>HYPERLINK("https://klasma.github.io/Logging_2510/tillsyn/A 51875-2020 tillsynsbegäran.docx", "A 51875-2020")</f>
        <v/>
      </c>
      <c r="Y707">
        <f>HYPERLINK("https://klasma.github.io/Logging_2510/tillsynsmail/A 51875-2020 tillsynsbegäran mail.docx", "A 51875-2020")</f>
        <v/>
      </c>
    </row>
    <row r="708" ht="15" customHeight="1">
      <c r="A708" t="inlineStr">
        <is>
          <t>A 52060-2020</t>
        </is>
      </c>
      <c r="B708" s="1" t="n">
        <v>44116</v>
      </c>
      <c r="C708" s="1" t="n">
        <v>45758</v>
      </c>
      <c r="D708" t="inlineStr">
        <is>
          <t>NORRBOTTENS LÄN</t>
        </is>
      </c>
      <c r="E708" t="inlineStr">
        <is>
          <t>GÄLLIVARE</t>
        </is>
      </c>
      <c r="F708" t="inlineStr">
        <is>
          <t>SCA</t>
        </is>
      </c>
      <c r="G708" t="n">
        <v>8.5</v>
      </c>
      <c r="H708" t="n">
        <v>0</v>
      </c>
      <c r="I708" t="n">
        <v>0</v>
      </c>
      <c r="J708" t="n">
        <v>0</v>
      </c>
      <c r="K708" t="n">
        <v>1</v>
      </c>
      <c r="L708" t="n">
        <v>0</v>
      </c>
      <c r="M708" t="n">
        <v>0</v>
      </c>
      <c r="N708" t="n">
        <v>0</v>
      </c>
      <c r="O708" t="n">
        <v>1</v>
      </c>
      <c r="P708" t="n">
        <v>1</v>
      </c>
      <c r="Q708" t="n">
        <v>1</v>
      </c>
      <c r="R708" s="2" t="inlineStr">
        <is>
          <t>Gräddporing</t>
        </is>
      </c>
      <c r="S708">
        <f>HYPERLINK("https://klasma.github.io/Logging_2523/artfynd/A 52060-2020 artfynd.xlsx", "A 52060-2020")</f>
        <v/>
      </c>
      <c r="T708">
        <f>HYPERLINK("https://klasma.github.io/Logging_2523/kartor/A 52060-2020 karta.png", "A 52060-2020")</f>
        <v/>
      </c>
      <c r="V708">
        <f>HYPERLINK("https://klasma.github.io/Logging_2523/klagomål/A 52060-2020 FSC-klagomål.docx", "A 52060-2020")</f>
        <v/>
      </c>
      <c r="W708">
        <f>HYPERLINK("https://klasma.github.io/Logging_2523/klagomålsmail/A 52060-2020 FSC-klagomål mail.docx", "A 52060-2020")</f>
        <v/>
      </c>
      <c r="X708">
        <f>HYPERLINK("https://klasma.github.io/Logging_2523/tillsyn/A 52060-2020 tillsynsbegäran.docx", "A 52060-2020")</f>
        <v/>
      </c>
      <c r="Y708">
        <f>HYPERLINK("https://klasma.github.io/Logging_2523/tillsynsmail/A 52060-2020 tillsynsbegäran mail.docx", "A 52060-2020")</f>
        <v/>
      </c>
    </row>
    <row r="709" ht="15" customHeight="1">
      <c r="A709" t="inlineStr">
        <is>
          <t>A 67324-2020</t>
        </is>
      </c>
      <c r="B709" s="1" t="n">
        <v>44181</v>
      </c>
      <c r="C709" s="1" t="n">
        <v>45758</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67324-2020 artfynd.xlsx", "A 67324-2020")</f>
        <v/>
      </c>
      <c r="T709">
        <f>HYPERLINK("https://klasma.github.io/Logging_2514/kartor/A 67324-2020 karta.png", "A 67324-2020")</f>
        <v/>
      </c>
      <c r="V709">
        <f>HYPERLINK("https://klasma.github.io/Logging_2514/klagomål/A 67324-2020 FSC-klagomål.docx", "A 67324-2020")</f>
        <v/>
      </c>
      <c r="W709">
        <f>HYPERLINK("https://klasma.github.io/Logging_2514/klagomålsmail/A 67324-2020 FSC-klagomål mail.docx", "A 67324-2020")</f>
        <v/>
      </c>
      <c r="X709">
        <f>HYPERLINK("https://klasma.github.io/Logging_2514/tillsyn/A 67324-2020 tillsynsbegäran.docx", "A 67324-2020")</f>
        <v/>
      </c>
      <c r="Y709">
        <f>HYPERLINK("https://klasma.github.io/Logging_2514/tillsynsmail/A 67324-2020 tillsynsbegäran mail.docx", "A 67324-2020")</f>
        <v/>
      </c>
    </row>
    <row r="710" ht="15" customHeight="1">
      <c r="A710" t="inlineStr">
        <is>
          <t>A 69535-2020</t>
        </is>
      </c>
      <c r="B710" s="1" t="n">
        <v>44194</v>
      </c>
      <c r="C710" s="1" t="n">
        <v>45758</v>
      </c>
      <c r="D710" t="inlineStr">
        <is>
          <t>NORRBOTTENS LÄN</t>
        </is>
      </c>
      <c r="E710" t="inlineStr">
        <is>
          <t>ÖVERTORNEÅ</t>
        </is>
      </c>
      <c r="F710" t="inlineStr">
        <is>
          <t>Sveaskog</t>
        </is>
      </c>
      <c r="G710" t="n">
        <v>1.2</v>
      </c>
      <c r="H710" t="n">
        <v>0</v>
      </c>
      <c r="I710" t="n">
        <v>1</v>
      </c>
      <c r="J710" t="n">
        <v>0</v>
      </c>
      <c r="K710" t="n">
        <v>0</v>
      </c>
      <c r="L710" t="n">
        <v>0</v>
      </c>
      <c r="M710" t="n">
        <v>0</v>
      </c>
      <c r="N710" t="n">
        <v>0</v>
      </c>
      <c r="O710" t="n">
        <v>0</v>
      </c>
      <c r="P710" t="n">
        <v>0</v>
      </c>
      <c r="Q710" t="n">
        <v>1</v>
      </c>
      <c r="R710" s="2" t="inlineStr">
        <is>
          <t>Stuplav</t>
        </is>
      </c>
      <c r="S710">
        <f>HYPERLINK("https://klasma.github.io/Logging_2518/artfynd/A 69535-2020 artfynd.xlsx", "A 69535-2020")</f>
        <v/>
      </c>
      <c r="T710">
        <f>HYPERLINK("https://klasma.github.io/Logging_2518/kartor/A 69535-2020 karta.png", "A 69535-2020")</f>
        <v/>
      </c>
      <c r="V710">
        <f>HYPERLINK("https://klasma.github.io/Logging_2518/klagomål/A 69535-2020 FSC-klagomål.docx", "A 69535-2020")</f>
        <v/>
      </c>
      <c r="W710">
        <f>HYPERLINK("https://klasma.github.io/Logging_2518/klagomålsmail/A 69535-2020 FSC-klagomål mail.docx", "A 69535-2020")</f>
        <v/>
      </c>
      <c r="X710">
        <f>HYPERLINK("https://klasma.github.io/Logging_2518/tillsyn/A 69535-2020 tillsynsbegäran.docx", "A 69535-2020")</f>
        <v/>
      </c>
      <c r="Y710">
        <f>HYPERLINK("https://klasma.github.io/Logging_2518/tillsynsmail/A 69535-2020 tillsynsbegäran mail.docx", "A 69535-2020")</f>
        <v/>
      </c>
    </row>
    <row r="711" ht="15" customHeight="1">
      <c r="A711" t="inlineStr">
        <is>
          <t>A 6657-2021</t>
        </is>
      </c>
      <c r="B711" s="1" t="n">
        <v>44236</v>
      </c>
      <c r="C711" s="1" t="n">
        <v>45758</v>
      </c>
      <c r="D711" t="inlineStr">
        <is>
          <t>NORRBOTTENS LÄN</t>
        </is>
      </c>
      <c r="E711" t="inlineStr">
        <is>
          <t>PAJALA</t>
        </is>
      </c>
      <c r="F711" t="inlineStr">
        <is>
          <t>Allmännings- och besparingsskogar</t>
        </is>
      </c>
      <c r="G711" t="n">
        <v>70.59999999999999</v>
      </c>
      <c r="H711" t="n">
        <v>1</v>
      </c>
      <c r="I711" t="n">
        <v>0</v>
      </c>
      <c r="J711" t="n">
        <v>0</v>
      </c>
      <c r="K711" t="n">
        <v>0</v>
      </c>
      <c r="L711" t="n">
        <v>0</v>
      </c>
      <c r="M711" t="n">
        <v>0</v>
      </c>
      <c r="N711" t="n">
        <v>0</v>
      </c>
      <c r="O711" t="n">
        <v>0</v>
      </c>
      <c r="P711" t="n">
        <v>0</v>
      </c>
      <c r="Q711" t="n">
        <v>1</v>
      </c>
      <c r="R711" s="2" t="inlineStr">
        <is>
          <t>Tjäder</t>
        </is>
      </c>
      <c r="S711">
        <f>HYPERLINK("https://klasma.github.io/Logging_2521/artfynd/A 6657-2021 artfynd.xlsx", "A 6657-2021")</f>
        <v/>
      </c>
      <c r="T711">
        <f>HYPERLINK("https://klasma.github.io/Logging_2521/kartor/A 6657-2021 karta.png", "A 6657-2021")</f>
        <v/>
      </c>
      <c r="V711">
        <f>HYPERLINK("https://klasma.github.io/Logging_2521/klagomål/A 6657-2021 FSC-klagomål.docx", "A 6657-2021")</f>
        <v/>
      </c>
      <c r="W711">
        <f>HYPERLINK("https://klasma.github.io/Logging_2521/klagomålsmail/A 6657-2021 FSC-klagomål mail.docx", "A 6657-2021")</f>
        <v/>
      </c>
      <c r="X711">
        <f>HYPERLINK("https://klasma.github.io/Logging_2521/tillsyn/A 6657-2021 tillsynsbegäran.docx", "A 6657-2021")</f>
        <v/>
      </c>
      <c r="Y711">
        <f>HYPERLINK("https://klasma.github.io/Logging_2521/tillsynsmail/A 6657-2021 tillsynsbegäran mail.docx", "A 6657-2021")</f>
        <v/>
      </c>
      <c r="Z711">
        <f>HYPERLINK("https://klasma.github.io/Logging_2521/fåglar/A 6657-2021 prioriterade fågelarter.docx", "A 6657-2021")</f>
        <v/>
      </c>
    </row>
    <row r="712" ht="15" customHeight="1">
      <c r="A712" t="inlineStr">
        <is>
          <t>A 6878-2021</t>
        </is>
      </c>
      <c r="B712" s="1" t="n">
        <v>44237</v>
      </c>
      <c r="C712" s="1" t="n">
        <v>45758</v>
      </c>
      <c r="D712" t="inlineStr">
        <is>
          <t>NORRBOTTENS LÄN</t>
        </is>
      </c>
      <c r="E712" t="inlineStr">
        <is>
          <t>KIRUNA</t>
        </is>
      </c>
      <c r="G712" t="n">
        <v>8.199999999999999</v>
      </c>
      <c r="H712" t="n">
        <v>0</v>
      </c>
      <c r="I712" t="n">
        <v>0</v>
      </c>
      <c r="J712" t="n">
        <v>0</v>
      </c>
      <c r="K712" t="n">
        <v>1</v>
      </c>
      <c r="L712" t="n">
        <v>0</v>
      </c>
      <c r="M712" t="n">
        <v>0</v>
      </c>
      <c r="N712" t="n">
        <v>0</v>
      </c>
      <c r="O712" t="n">
        <v>1</v>
      </c>
      <c r="P712" t="n">
        <v>1</v>
      </c>
      <c r="Q712" t="n">
        <v>1</v>
      </c>
      <c r="R712" s="2" t="inlineStr">
        <is>
          <t>Gräddporing</t>
        </is>
      </c>
      <c r="S712">
        <f>HYPERLINK("https://klasma.github.io/Logging_2584/artfynd/A 6878-2021 artfynd.xlsx", "A 6878-2021")</f>
        <v/>
      </c>
      <c r="T712">
        <f>HYPERLINK("https://klasma.github.io/Logging_2584/kartor/A 6878-2021 karta.png", "A 6878-2021")</f>
        <v/>
      </c>
      <c r="V712">
        <f>HYPERLINK("https://klasma.github.io/Logging_2584/klagomål/A 6878-2021 FSC-klagomål.docx", "A 6878-2021")</f>
        <v/>
      </c>
      <c r="W712">
        <f>HYPERLINK("https://klasma.github.io/Logging_2584/klagomålsmail/A 6878-2021 FSC-klagomål mail.docx", "A 6878-2021")</f>
        <v/>
      </c>
      <c r="X712">
        <f>HYPERLINK("https://klasma.github.io/Logging_2584/tillsyn/A 6878-2021 tillsynsbegäran.docx", "A 6878-2021")</f>
        <v/>
      </c>
      <c r="Y712">
        <f>HYPERLINK("https://klasma.github.io/Logging_2584/tillsynsmail/A 6878-2021 tillsynsbegäran mail.docx", "A 6878-2021")</f>
        <v/>
      </c>
    </row>
    <row r="713" ht="15" customHeight="1">
      <c r="A713" t="inlineStr">
        <is>
          <t>A 13716-2021</t>
        </is>
      </c>
      <c r="B713" s="1" t="n">
        <v>44274</v>
      </c>
      <c r="C713" s="1" t="n">
        <v>45758</v>
      </c>
      <c r="D713" t="inlineStr">
        <is>
          <t>NORRBOTTENS LÄN</t>
        </is>
      </c>
      <c r="E713" t="inlineStr">
        <is>
          <t>KALIX</t>
        </is>
      </c>
      <c r="G713" t="n">
        <v>5</v>
      </c>
      <c r="H713" t="n">
        <v>0</v>
      </c>
      <c r="I713" t="n">
        <v>0</v>
      </c>
      <c r="J713" t="n">
        <v>1</v>
      </c>
      <c r="K713" t="n">
        <v>0</v>
      </c>
      <c r="L713" t="n">
        <v>0</v>
      </c>
      <c r="M713" t="n">
        <v>0</v>
      </c>
      <c r="N713" t="n">
        <v>0</v>
      </c>
      <c r="O713" t="n">
        <v>1</v>
      </c>
      <c r="P713" t="n">
        <v>0</v>
      </c>
      <c r="Q713" t="n">
        <v>1</v>
      </c>
      <c r="R713" s="2" t="inlineStr">
        <is>
          <t>Lunglav</t>
        </is>
      </c>
      <c r="S713">
        <f>HYPERLINK("https://klasma.github.io/Logging_2514/artfynd/A 13716-2021 artfynd.xlsx", "A 13716-2021")</f>
        <v/>
      </c>
      <c r="T713">
        <f>HYPERLINK("https://klasma.github.io/Logging_2514/kartor/A 13716-2021 karta.png", "A 13716-2021")</f>
        <v/>
      </c>
      <c r="V713">
        <f>HYPERLINK("https://klasma.github.io/Logging_2514/klagomål/A 13716-2021 FSC-klagomål.docx", "A 13716-2021")</f>
        <v/>
      </c>
      <c r="W713">
        <f>HYPERLINK("https://klasma.github.io/Logging_2514/klagomålsmail/A 13716-2021 FSC-klagomål mail.docx", "A 13716-2021")</f>
        <v/>
      </c>
      <c r="X713">
        <f>HYPERLINK("https://klasma.github.io/Logging_2514/tillsyn/A 13716-2021 tillsynsbegäran.docx", "A 13716-2021")</f>
        <v/>
      </c>
      <c r="Y713">
        <f>HYPERLINK("https://klasma.github.io/Logging_2514/tillsynsmail/A 13716-2021 tillsynsbegäran mail.docx", "A 13716-2021")</f>
        <v/>
      </c>
    </row>
    <row r="714" ht="15" customHeight="1">
      <c r="A714" t="inlineStr">
        <is>
          <t>A 15687-2021</t>
        </is>
      </c>
      <c r="B714" s="1" t="n">
        <v>44286</v>
      </c>
      <c r="C714" s="1" t="n">
        <v>45758</v>
      </c>
      <c r="D714" t="inlineStr">
        <is>
          <t>NORRBOTTENS LÄN</t>
        </is>
      </c>
      <c r="E714" t="inlineStr">
        <is>
          <t>KALIX</t>
        </is>
      </c>
      <c r="G714" t="n">
        <v>3.1</v>
      </c>
      <c r="H714" t="n">
        <v>1</v>
      </c>
      <c r="I714" t="n">
        <v>0</v>
      </c>
      <c r="J714" t="n">
        <v>1</v>
      </c>
      <c r="K714" t="n">
        <v>0</v>
      </c>
      <c r="L714" t="n">
        <v>0</v>
      </c>
      <c r="M714" t="n">
        <v>0</v>
      </c>
      <c r="N714" t="n">
        <v>0</v>
      </c>
      <c r="O714" t="n">
        <v>1</v>
      </c>
      <c r="P714" t="n">
        <v>0</v>
      </c>
      <c r="Q714" t="n">
        <v>1</v>
      </c>
      <c r="R714" s="2" t="inlineStr">
        <is>
          <t>Utter</t>
        </is>
      </c>
      <c r="S714">
        <f>HYPERLINK("https://klasma.github.io/Logging_2514/artfynd/A 15687-2021 artfynd.xlsx", "A 15687-2021")</f>
        <v/>
      </c>
      <c r="T714">
        <f>HYPERLINK("https://klasma.github.io/Logging_2514/kartor/A 15687-2021 karta.png", "A 15687-2021")</f>
        <v/>
      </c>
      <c r="V714">
        <f>HYPERLINK("https://klasma.github.io/Logging_2514/klagomål/A 15687-2021 FSC-klagomål.docx", "A 15687-2021")</f>
        <v/>
      </c>
      <c r="W714">
        <f>HYPERLINK("https://klasma.github.io/Logging_2514/klagomålsmail/A 15687-2021 FSC-klagomål mail.docx", "A 15687-2021")</f>
        <v/>
      </c>
      <c r="X714">
        <f>HYPERLINK("https://klasma.github.io/Logging_2514/tillsyn/A 15687-2021 tillsynsbegäran.docx", "A 15687-2021")</f>
        <v/>
      </c>
      <c r="Y714">
        <f>HYPERLINK("https://klasma.github.io/Logging_2514/tillsynsmail/A 15687-2021 tillsynsbegäran mail.docx", "A 15687-2021")</f>
        <v/>
      </c>
    </row>
    <row r="715" ht="15" customHeight="1">
      <c r="A715" t="inlineStr">
        <is>
          <t>A 19368-2021</t>
        </is>
      </c>
      <c r="B715" s="1" t="n">
        <v>44309</v>
      </c>
      <c r="C715" s="1" t="n">
        <v>45758</v>
      </c>
      <c r="D715" t="inlineStr">
        <is>
          <t>NORRBOTTENS LÄN</t>
        </is>
      </c>
      <c r="E715" t="inlineStr">
        <is>
          <t>PITEÅ</t>
        </is>
      </c>
      <c r="G715" t="n">
        <v>5.8</v>
      </c>
      <c r="H715" t="n">
        <v>1</v>
      </c>
      <c r="I715" t="n">
        <v>0</v>
      </c>
      <c r="J715" t="n">
        <v>0</v>
      </c>
      <c r="K715" t="n">
        <v>0</v>
      </c>
      <c r="L715" t="n">
        <v>0</v>
      </c>
      <c r="M715" t="n">
        <v>0</v>
      </c>
      <c r="N715" t="n">
        <v>0</v>
      </c>
      <c r="O715" t="n">
        <v>0</v>
      </c>
      <c r="P715" t="n">
        <v>0</v>
      </c>
      <c r="Q715" t="n">
        <v>1</v>
      </c>
      <c r="R715" s="2" t="inlineStr">
        <is>
          <t>Citronfläckad kärrtrollslända</t>
        </is>
      </c>
      <c r="S715">
        <f>HYPERLINK("https://klasma.github.io/Logging_2581/artfynd/A 19368-2021 artfynd.xlsx", "A 19368-2021")</f>
        <v/>
      </c>
      <c r="T715">
        <f>HYPERLINK("https://klasma.github.io/Logging_2581/kartor/A 19368-2021 karta.png", "A 19368-2021")</f>
        <v/>
      </c>
      <c r="V715">
        <f>HYPERLINK("https://klasma.github.io/Logging_2581/klagomål/A 19368-2021 FSC-klagomål.docx", "A 19368-2021")</f>
        <v/>
      </c>
      <c r="W715">
        <f>HYPERLINK("https://klasma.github.io/Logging_2581/klagomålsmail/A 19368-2021 FSC-klagomål mail.docx", "A 19368-2021")</f>
        <v/>
      </c>
      <c r="X715">
        <f>HYPERLINK("https://klasma.github.io/Logging_2581/tillsyn/A 19368-2021 tillsynsbegäran.docx", "A 19368-2021")</f>
        <v/>
      </c>
      <c r="Y715">
        <f>HYPERLINK("https://klasma.github.io/Logging_2581/tillsynsmail/A 19368-2021 tillsynsbegäran mail.docx", "A 19368-2021")</f>
        <v/>
      </c>
    </row>
    <row r="716" ht="15" customHeight="1">
      <c r="A716" t="inlineStr">
        <is>
          <t>A 25517-2021</t>
        </is>
      </c>
      <c r="B716" s="1" t="n">
        <v>44342</v>
      </c>
      <c r="C716" s="1" t="n">
        <v>45758</v>
      </c>
      <c r="D716" t="inlineStr">
        <is>
          <t>NORRBOTTENS LÄN</t>
        </is>
      </c>
      <c r="E716" t="inlineStr">
        <is>
          <t>PITEÅ</t>
        </is>
      </c>
      <c r="F716" t="inlineStr">
        <is>
          <t>SCA</t>
        </is>
      </c>
      <c r="G716" t="n">
        <v>2.3</v>
      </c>
      <c r="H716" t="n">
        <v>0</v>
      </c>
      <c r="I716" t="n">
        <v>1</v>
      </c>
      <c r="J716" t="n">
        <v>0</v>
      </c>
      <c r="K716" t="n">
        <v>0</v>
      </c>
      <c r="L716" t="n">
        <v>0</v>
      </c>
      <c r="M716" t="n">
        <v>0</v>
      </c>
      <c r="N716" t="n">
        <v>0</v>
      </c>
      <c r="O716" t="n">
        <v>0</v>
      </c>
      <c r="P716" t="n">
        <v>0</v>
      </c>
      <c r="Q716" t="n">
        <v>1</v>
      </c>
      <c r="R716" s="2" t="inlineStr">
        <is>
          <t>Skinnlav</t>
        </is>
      </c>
      <c r="S716">
        <f>HYPERLINK("https://klasma.github.io/Logging_2581/artfynd/A 25517-2021 artfynd.xlsx", "A 25517-2021")</f>
        <v/>
      </c>
      <c r="T716">
        <f>HYPERLINK("https://klasma.github.io/Logging_2581/kartor/A 25517-2021 karta.png", "A 25517-2021")</f>
        <v/>
      </c>
      <c r="V716">
        <f>HYPERLINK("https://klasma.github.io/Logging_2581/klagomål/A 25517-2021 FSC-klagomål.docx", "A 25517-2021")</f>
        <v/>
      </c>
      <c r="W716">
        <f>HYPERLINK("https://klasma.github.io/Logging_2581/klagomålsmail/A 25517-2021 FSC-klagomål mail.docx", "A 25517-2021")</f>
        <v/>
      </c>
      <c r="X716">
        <f>HYPERLINK("https://klasma.github.io/Logging_2581/tillsyn/A 25517-2021 tillsynsbegäran.docx", "A 25517-2021")</f>
        <v/>
      </c>
      <c r="Y716">
        <f>HYPERLINK("https://klasma.github.io/Logging_2581/tillsynsmail/A 25517-2021 tillsynsbegäran mail.docx", "A 25517-2021")</f>
        <v/>
      </c>
    </row>
    <row r="717" ht="15" customHeight="1">
      <c r="A717" t="inlineStr">
        <is>
          <t>A 30239-2021</t>
        </is>
      </c>
      <c r="B717" s="1" t="n">
        <v>44363</v>
      </c>
      <c r="C717" s="1" t="n">
        <v>45758</v>
      </c>
      <c r="D717" t="inlineStr">
        <is>
          <t>NORRBOTTENS LÄN</t>
        </is>
      </c>
      <c r="E717" t="inlineStr">
        <is>
          <t>PAJALA</t>
        </is>
      </c>
      <c r="F717" t="inlineStr">
        <is>
          <t>Sveaskog</t>
        </is>
      </c>
      <c r="G717" t="n">
        <v>22.8</v>
      </c>
      <c r="H717" t="n">
        <v>0</v>
      </c>
      <c r="I717" t="n">
        <v>0</v>
      </c>
      <c r="J717" t="n">
        <v>0</v>
      </c>
      <c r="K717" t="n">
        <v>1</v>
      </c>
      <c r="L717" t="n">
        <v>0</v>
      </c>
      <c r="M717" t="n">
        <v>0</v>
      </c>
      <c r="N717" t="n">
        <v>0</v>
      </c>
      <c r="O717" t="n">
        <v>1</v>
      </c>
      <c r="P717" t="n">
        <v>1</v>
      </c>
      <c r="Q717" t="n">
        <v>1</v>
      </c>
      <c r="R717" s="2" t="inlineStr">
        <is>
          <t>Gräddporing</t>
        </is>
      </c>
      <c r="S717">
        <f>HYPERLINK("https://klasma.github.io/Logging_2521/artfynd/A 30239-2021 artfynd.xlsx", "A 30239-2021")</f>
        <v/>
      </c>
      <c r="T717">
        <f>HYPERLINK("https://klasma.github.io/Logging_2521/kartor/A 30239-2021 karta.png", "A 30239-2021")</f>
        <v/>
      </c>
      <c r="V717">
        <f>HYPERLINK("https://klasma.github.io/Logging_2521/klagomål/A 30239-2021 FSC-klagomål.docx", "A 30239-2021")</f>
        <v/>
      </c>
      <c r="W717">
        <f>HYPERLINK("https://klasma.github.io/Logging_2521/klagomålsmail/A 30239-2021 FSC-klagomål mail.docx", "A 30239-2021")</f>
        <v/>
      </c>
      <c r="X717">
        <f>HYPERLINK("https://klasma.github.io/Logging_2521/tillsyn/A 30239-2021 tillsynsbegäran.docx", "A 30239-2021")</f>
        <v/>
      </c>
      <c r="Y717">
        <f>HYPERLINK("https://klasma.github.io/Logging_2521/tillsynsmail/A 30239-2021 tillsynsbegäran mail.docx", "A 30239-2021")</f>
        <v/>
      </c>
    </row>
    <row r="718" ht="15" customHeight="1">
      <c r="A718" t="inlineStr">
        <is>
          <t>A 30881-2021</t>
        </is>
      </c>
      <c r="B718" s="1" t="n">
        <v>44365</v>
      </c>
      <c r="C718" s="1" t="n">
        <v>45758</v>
      </c>
      <c r="D718" t="inlineStr">
        <is>
          <t>NORRBOTTENS LÄN</t>
        </is>
      </c>
      <c r="E718" t="inlineStr">
        <is>
          <t>BODEN</t>
        </is>
      </c>
      <c r="F718" t="inlineStr">
        <is>
          <t>Sveaskog</t>
        </is>
      </c>
      <c r="G718" t="n">
        <v>1</v>
      </c>
      <c r="H718" t="n">
        <v>0</v>
      </c>
      <c r="I718" t="n">
        <v>0</v>
      </c>
      <c r="J718" t="n">
        <v>0</v>
      </c>
      <c r="K718" t="n">
        <v>1</v>
      </c>
      <c r="L718" t="n">
        <v>0</v>
      </c>
      <c r="M718" t="n">
        <v>0</v>
      </c>
      <c r="N718" t="n">
        <v>0</v>
      </c>
      <c r="O718" t="n">
        <v>1</v>
      </c>
      <c r="P718" t="n">
        <v>1</v>
      </c>
      <c r="Q718" t="n">
        <v>1</v>
      </c>
      <c r="R718" s="2" t="inlineStr">
        <is>
          <t>Tallgråticka</t>
        </is>
      </c>
      <c r="S718">
        <f>HYPERLINK("https://klasma.github.io/Logging_2582/artfynd/A 30881-2021 artfynd.xlsx", "A 30881-2021")</f>
        <v/>
      </c>
      <c r="T718">
        <f>HYPERLINK("https://klasma.github.io/Logging_2582/kartor/A 30881-2021 karta.png", "A 30881-2021")</f>
        <v/>
      </c>
      <c r="V718">
        <f>HYPERLINK("https://klasma.github.io/Logging_2582/klagomål/A 30881-2021 FSC-klagomål.docx", "A 30881-2021")</f>
        <v/>
      </c>
      <c r="W718">
        <f>HYPERLINK("https://klasma.github.io/Logging_2582/klagomålsmail/A 30881-2021 FSC-klagomål mail.docx", "A 30881-2021")</f>
        <v/>
      </c>
      <c r="X718">
        <f>HYPERLINK("https://klasma.github.io/Logging_2582/tillsyn/A 30881-2021 tillsynsbegäran.docx", "A 30881-2021")</f>
        <v/>
      </c>
      <c r="Y718">
        <f>HYPERLINK("https://klasma.github.io/Logging_2582/tillsynsmail/A 30881-2021 tillsynsbegäran mail.docx", "A 30881-2021")</f>
        <v/>
      </c>
    </row>
    <row r="719" ht="15" customHeight="1">
      <c r="A719" t="inlineStr">
        <is>
          <t>A 30850-2021</t>
        </is>
      </c>
      <c r="B719" s="1" t="n">
        <v>44365</v>
      </c>
      <c r="C719" s="1" t="n">
        <v>45758</v>
      </c>
      <c r="D719" t="inlineStr">
        <is>
          <t>NORRBOTTENS LÄN</t>
        </is>
      </c>
      <c r="E719" t="inlineStr">
        <is>
          <t>BODEN</t>
        </is>
      </c>
      <c r="F719" t="inlineStr">
        <is>
          <t>Sveaskog</t>
        </is>
      </c>
      <c r="G719" t="n">
        <v>6.6</v>
      </c>
      <c r="H719" t="n">
        <v>0</v>
      </c>
      <c r="I719" t="n">
        <v>0</v>
      </c>
      <c r="J719" t="n">
        <v>1</v>
      </c>
      <c r="K719" t="n">
        <v>0</v>
      </c>
      <c r="L719" t="n">
        <v>0</v>
      </c>
      <c r="M719" t="n">
        <v>0</v>
      </c>
      <c r="N719" t="n">
        <v>0</v>
      </c>
      <c r="O719" t="n">
        <v>1</v>
      </c>
      <c r="P719" t="n">
        <v>0</v>
      </c>
      <c r="Q719" t="n">
        <v>1</v>
      </c>
      <c r="R719" s="2" t="inlineStr">
        <is>
          <t>Tallticka</t>
        </is>
      </c>
      <c r="S719">
        <f>HYPERLINK("https://klasma.github.io/Logging_2582/artfynd/A 30850-2021 artfynd.xlsx", "A 30850-2021")</f>
        <v/>
      </c>
      <c r="T719">
        <f>HYPERLINK("https://klasma.github.io/Logging_2582/kartor/A 30850-2021 karta.png", "A 30850-2021")</f>
        <v/>
      </c>
      <c r="V719">
        <f>HYPERLINK("https://klasma.github.io/Logging_2582/klagomål/A 30850-2021 FSC-klagomål.docx", "A 30850-2021")</f>
        <v/>
      </c>
      <c r="W719">
        <f>HYPERLINK("https://klasma.github.io/Logging_2582/klagomålsmail/A 30850-2021 FSC-klagomål mail.docx", "A 30850-2021")</f>
        <v/>
      </c>
      <c r="X719">
        <f>HYPERLINK("https://klasma.github.io/Logging_2582/tillsyn/A 30850-2021 tillsynsbegäran.docx", "A 30850-2021")</f>
        <v/>
      </c>
      <c r="Y719">
        <f>HYPERLINK("https://klasma.github.io/Logging_2582/tillsynsmail/A 30850-2021 tillsynsbegäran mail.docx", "A 30850-2021")</f>
        <v/>
      </c>
    </row>
    <row r="720" ht="15" customHeight="1">
      <c r="A720" t="inlineStr">
        <is>
          <t>A 31232-2021</t>
        </is>
      </c>
      <c r="B720" s="1" t="n">
        <v>44368</v>
      </c>
      <c r="C720" s="1" t="n">
        <v>45758</v>
      </c>
      <c r="D720" t="inlineStr">
        <is>
          <t>NORRBOTTENS LÄN</t>
        </is>
      </c>
      <c r="E720" t="inlineStr">
        <is>
          <t>KALIX</t>
        </is>
      </c>
      <c r="G720" t="n">
        <v>7.6</v>
      </c>
      <c r="H720" t="n">
        <v>0</v>
      </c>
      <c r="I720" t="n">
        <v>0</v>
      </c>
      <c r="J720" t="n">
        <v>1</v>
      </c>
      <c r="K720" t="n">
        <v>0</v>
      </c>
      <c r="L720" t="n">
        <v>0</v>
      </c>
      <c r="M720" t="n">
        <v>0</v>
      </c>
      <c r="N720" t="n">
        <v>0</v>
      </c>
      <c r="O720" t="n">
        <v>1</v>
      </c>
      <c r="P720" t="n">
        <v>0</v>
      </c>
      <c r="Q720" t="n">
        <v>1</v>
      </c>
      <c r="R720" s="2" t="inlineStr">
        <is>
          <t>Skrovlig taggsvamp</t>
        </is>
      </c>
      <c r="S720">
        <f>HYPERLINK("https://klasma.github.io/Logging_2514/artfynd/A 31232-2021 artfynd.xlsx", "A 31232-2021")</f>
        <v/>
      </c>
      <c r="T720">
        <f>HYPERLINK("https://klasma.github.io/Logging_2514/kartor/A 31232-2021 karta.png", "A 31232-2021")</f>
        <v/>
      </c>
      <c r="V720">
        <f>HYPERLINK("https://klasma.github.io/Logging_2514/klagomål/A 31232-2021 FSC-klagomål.docx", "A 31232-2021")</f>
        <v/>
      </c>
      <c r="W720">
        <f>HYPERLINK("https://klasma.github.io/Logging_2514/klagomålsmail/A 31232-2021 FSC-klagomål mail.docx", "A 31232-2021")</f>
        <v/>
      </c>
      <c r="X720">
        <f>HYPERLINK("https://klasma.github.io/Logging_2514/tillsyn/A 31232-2021 tillsynsbegäran.docx", "A 31232-2021")</f>
        <v/>
      </c>
      <c r="Y720">
        <f>HYPERLINK("https://klasma.github.io/Logging_2514/tillsynsmail/A 31232-2021 tillsynsbegäran mail.docx", "A 31232-2021")</f>
        <v/>
      </c>
    </row>
    <row r="721" ht="15" customHeight="1">
      <c r="A721" t="inlineStr">
        <is>
          <t>A 36594-2021</t>
        </is>
      </c>
      <c r="B721" s="1" t="n">
        <v>44391</v>
      </c>
      <c r="C721" s="1" t="n">
        <v>45758</v>
      </c>
      <c r="D721" t="inlineStr">
        <is>
          <t>NORRBOTTENS LÄN</t>
        </is>
      </c>
      <c r="E721" t="inlineStr">
        <is>
          <t>JOKKMOKK</t>
        </is>
      </c>
      <c r="F721" t="inlineStr">
        <is>
          <t>Sveaskog</t>
        </is>
      </c>
      <c r="G721" t="n">
        <v>5.8</v>
      </c>
      <c r="H721" t="n">
        <v>1</v>
      </c>
      <c r="I721" t="n">
        <v>0</v>
      </c>
      <c r="J721" t="n">
        <v>0</v>
      </c>
      <c r="K721" t="n">
        <v>1</v>
      </c>
      <c r="L721" t="n">
        <v>0</v>
      </c>
      <c r="M721" t="n">
        <v>0</v>
      </c>
      <c r="N721" t="n">
        <v>0</v>
      </c>
      <c r="O721" t="n">
        <v>1</v>
      </c>
      <c r="P721" t="n">
        <v>1</v>
      </c>
      <c r="Q721" t="n">
        <v>1</v>
      </c>
      <c r="R721" s="2" t="inlineStr">
        <is>
          <t>Doftticka</t>
        </is>
      </c>
      <c r="S721">
        <f>HYPERLINK("https://klasma.github.io/Logging_2510/artfynd/A 36594-2021 artfynd.xlsx", "A 36594-2021")</f>
        <v/>
      </c>
      <c r="T721">
        <f>HYPERLINK("https://klasma.github.io/Logging_2510/kartor/A 36594-2021 karta.png", "A 36594-2021")</f>
        <v/>
      </c>
      <c r="V721">
        <f>HYPERLINK("https://klasma.github.io/Logging_2510/klagomål/A 36594-2021 FSC-klagomål.docx", "A 36594-2021")</f>
        <v/>
      </c>
      <c r="W721">
        <f>HYPERLINK("https://klasma.github.io/Logging_2510/klagomålsmail/A 36594-2021 FSC-klagomål mail.docx", "A 36594-2021")</f>
        <v/>
      </c>
      <c r="X721">
        <f>HYPERLINK("https://klasma.github.io/Logging_2510/tillsyn/A 36594-2021 tillsynsbegäran.docx", "A 36594-2021")</f>
        <v/>
      </c>
      <c r="Y721">
        <f>HYPERLINK("https://klasma.github.io/Logging_2510/tillsynsmail/A 36594-2021 tillsynsbegäran mail.docx", "A 36594-2021")</f>
        <v/>
      </c>
    </row>
    <row r="722" ht="15" customHeight="1">
      <c r="A722" t="inlineStr">
        <is>
          <t>A 39289-2021</t>
        </is>
      </c>
      <c r="B722" s="1" t="n">
        <v>44413</v>
      </c>
      <c r="C722" s="1" t="n">
        <v>45758</v>
      </c>
      <c r="D722" t="inlineStr">
        <is>
          <t>NORRBOTTENS LÄN</t>
        </is>
      </c>
      <c r="E722" t="inlineStr">
        <is>
          <t>PAJALA</t>
        </is>
      </c>
      <c r="F722" t="inlineStr">
        <is>
          <t>Sveaskog</t>
        </is>
      </c>
      <c r="G722" t="n">
        <v>10.7</v>
      </c>
      <c r="H722" t="n">
        <v>1</v>
      </c>
      <c r="I722" t="n">
        <v>0</v>
      </c>
      <c r="J722" t="n">
        <v>0</v>
      </c>
      <c r="K722" t="n">
        <v>0</v>
      </c>
      <c r="L722" t="n">
        <v>0</v>
      </c>
      <c r="M722" t="n">
        <v>0</v>
      </c>
      <c r="N722" t="n">
        <v>0</v>
      </c>
      <c r="O722" t="n">
        <v>0</v>
      </c>
      <c r="P722" t="n">
        <v>0</v>
      </c>
      <c r="Q722" t="n">
        <v>1</v>
      </c>
      <c r="R722" s="2" t="inlineStr">
        <is>
          <t>Revlummer</t>
        </is>
      </c>
      <c r="S722">
        <f>HYPERLINK("https://klasma.github.io/Logging_2521/artfynd/A 39289-2021 artfynd.xlsx", "A 39289-2021")</f>
        <v/>
      </c>
      <c r="T722">
        <f>HYPERLINK("https://klasma.github.io/Logging_2521/kartor/A 39289-2021 karta.png", "A 39289-2021")</f>
        <v/>
      </c>
      <c r="V722">
        <f>HYPERLINK("https://klasma.github.io/Logging_2521/klagomål/A 39289-2021 FSC-klagomål.docx", "A 39289-2021")</f>
        <v/>
      </c>
      <c r="W722">
        <f>HYPERLINK("https://klasma.github.io/Logging_2521/klagomålsmail/A 39289-2021 FSC-klagomål mail.docx", "A 39289-2021")</f>
        <v/>
      </c>
      <c r="X722">
        <f>HYPERLINK("https://klasma.github.io/Logging_2521/tillsyn/A 39289-2021 tillsynsbegäran.docx", "A 39289-2021")</f>
        <v/>
      </c>
      <c r="Y722">
        <f>HYPERLINK("https://klasma.github.io/Logging_2521/tillsynsmail/A 39289-2021 tillsynsbegäran mail.docx", "A 39289-2021")</f>
        <v/>
      </c>
    </row>
    <row r="723" ht="15" customHeight="1">
      <c r="A723" t="inlineStr">
        <is>
          <t>A 40208-2021</t>
        </is>
      </c>
      <c r="B723" s="1" t="n">
        <v>44418</v>
      </c>
      <c r="C723" s="1" t="n">
        <v>45758</v>
      </c>
      <c r="D723" t="inlineStr">
        <is>
          <t>NORRBOTTENS LÄN</t>
        </is>
      </c>
      <c r="E723" t="inlineStr">
        <is>
          <t>ÖVERTORNEÅ</t>
        </is>
      </c>
      <c r="G723" t="n">
        <v>5.7</v>
      </c>
      <c r="H723" t="n">
        <v>0</v>
      </c>
      <c r="I723" t="n">
        <v>0</v>
      </c>
      <c r="J723" t="n">
        <v>1</v>
      </c>
      <c r="K723" t="n">
        <v>0</v>
      </c>
      <c r="L723" t="n">
        <v>0</v>
      </c>
      <c r="M723" t="n">
        <v>0</v>
      </c>
      <c r="N723" t="n">
        <v>0</v>
      </c>
      <c r="O723" t="n">
        <v>1</v>
      </c>
      <c r="P723" t="n">
        <v>0</v>
      </c>
      <c r="Q723" t="n">
        <v>1</v>
      </c>
      <c r="R723" s="2" t="inlineStr">
        <is>
          <t>Älvstarr</t>
        </is>
      </c>
      <c r="S723">
        <f>HYPERLINK("https://klasma.github.io/Logging_2518/artfynd/A 40208-2021 artfynd.xlsx", "A 40208-2021")</f>
        <v/>
      </c>
      <c r="T723">
        <f>HYPERLINK("https://klasma.github.io/Logging_2518/kartor/A 40208-2021 karta.png", "A 40208-2021")</f>
        <v/>
      </c>
      <c r="V723">
        <f>HYPERLINK("https://klasma.github.io/Logging_2518/klagomål/A 40208-2021 FSC-klagomål.docx", "A 40208-2021")</f>
        <v/>
      </c>
      <c r="W723">
        <f>HYPERLINK("https://klasma.github.io/Logging_2518/klagomålsmail/A 40208-2021 FSC-klagomål mail.docx", "A 40208-2021")</f>
        <v/>
      </c>
      <c r="X723">
        <f>HYPERLINK("https://klasma.github.io/Logging_2518/tillsyn/A 40208-2021 tillsynsbegäran.docx", "A 40208-2021")</f>
        <v/>
      </c>
      <c r="Y723">
        <f>HYPERLINK("https://klasma.github.io/Logging_2518/tillsynsmail/A 40208-2021 tillsynsbegäran mail.docx", "A 40208-2021")</f>
        <v/>
      </c>
    </row>
    <row r="724" ht="15" customHeight="1">
      <c r="A724" t="inlineStr">
        <is>
          <t>A 40779-2021</t>
        </is>
      </c>
      <c r="B724" s="1" t="n">
        <v>44421</v>
      </c>
      <c r="C724" s="1" t="n">
        <v>45758</v>
      </c>
      <c r="D724" t="inlineStr">
        <is>
          <t>NORRBOTTENS LÄN</t>
        </is>
      </c>
      <c r="E724" t="inlineStr">
        <is>
          <t>BODEN</t>
        </is>
      </c>
      <c r="F724" t="inlineStr">
        <is>
          <t>Sveaskog</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HYPERLINK("https://klasma.github.io/Logging_2582/artfynd/A 40779-2021 artfynd.xlsx", "A 40779-2021")</f>
        <v/>
      </c>
      <c r="T724">
        <f>HYPERLINK("https://klasma.github.io/Logging_2582/kartor/A 40779-2021 karta.png", "A 40779-2021")</f>
        <v/>
      </c>
      <c r="V724">
        <f>HYPERLINK("https://klasma.github.io/Logging_2582/klagomål/A 40779-2021 FSC-klagomål.docx", "A 40779-2021")</f>
        <v/>
      </c>
      <c r="W724">
        <f>HYPERLINK("https://klasma.github.io/Logging_2582/klagomålsmail/A 40779-2021 FSC-klagomål mail.docx", "A 40779-2021")</f>
        <v/>
      </c>
      <c r="X724">
        <f>HYPERLINK("https://klasma.github.io/Logging_2582/tillsyn/A 40779-2021 tillsynsbegäran.docx", "A 40779-2021")</f>
        <v/>
      </c>
      <c r="Y724">
        <f>HYPERLINK("https://klasma.github.io/Logging_2582/tillsynsmail/A 40779-2021 tillsynsbegäran mail.docx", "A 40779-2021")</f>
        <v/>
      </c>
    </row>
    <row r="725" ht="15" customHeight="1">
      <c r="A725" t="inlineStr">
        <is>
          <t>A 43092-2021</t>
        </is>
      </c>
      <c r="B725" s="1" t="n">
        <v>44431</v>
      </c>
      <c r="C725" s="1" t="n">
        <v>45758</v>
      </c>
      <c r="D725" t="inlineStr">
        <is>
          <t>NORRBOTTENS LÄN</t>
        </is>
      </c>
      <c r="E725" t="inlineStr">
        <is>
          <t>GÄLLIVARE</t>
        </is>
      </c>
      <c r="G725" t="n">
        <v>0.9</v>
      </c>
      <c r="H725" t="n">
        <v>1</v>
      </c>
      <c r="I725" t="n">
        <v>0</v>
      </c>
      <c r="J725" t="n">
        <v>1</v>
      </c>
      <c r="K725" t="n">
        <v>0</v>
      </c>
      <c r="L725" t="n">
        <v>0</v>
      </c>
      <c r="M725" t="n">
        <v>0</v>
      </c>
      <c r="N725" t="n">
        <v>0</v>
      </c>
      <c r="O725" t="n">
        <v>1</v>
      </c>
      <c r="P725" t="n">
        <v>0</v>
      </c>
      <c r="Q725" t="n">
        <v>1</v>
      </c>
      <c r="R725" s="2" t="inlineStr">
        <is>
          <t>Utter</t>
        </is>
      </c>
      <c r="S725">
        <f>HYPERLINK("https://klasma.github.io/Logging_2523/artfynd/A 43092-2021 artfynd.xlsx", "A 43092-2021")</f>
        <v/>
      </c>
      <c r="T725">
        <f>HYPERLINK("https://klasma.github.io/Logging_2523/kartor/A 43092-2021 karta.png", "A 43092-2021")</f>
        <v/>
      </c>
      <c r="V725">
        <f>HYPERLINK("https://klasma.github.io/Logging_2523/klagomål/A 43092-2021 FSC-klagomål.docx", "A 43092-2021")</f>
        <v/>
      </c>
      <c r="W725">
        <f>HYPERLINK("https://klasma.github.io/Logging_2523/klagomålsmail/A 43092-2021 FSC-klagomål mail.docx", "A 43092-2021")</f>
        <v/>
      </c>
      <c r="X725">
        <f>HYPERLINK("https://klasma.github.io/Logging_2523/tillsyn/A 43092-2021 tillsynsbegäran.docx", "A 43092-2021")</f>
        <v/>
      </c>
      <c r="Y725">
        <f>HYPERLINK("https://klasma.github.io/Logging_2523/tillsynsmail/A 43092-2021 tillsynsbegäran mail.docx", "A 43092-2021")</f>
        <v/>
      </c>
    </row>
    <row r="726" ht="15" customHeight="1">
      <c r="A726" t="inlineStr">
        <is>
          <t>A 43680-2021</t>
        </is>
      </c>
      <c r="B726" s="1" t="n">
        <v>44433</v>
      </c>
      <c r="C726" s="1" t="n">
        <v>45758</v>
      </c>
      <c r="D726" t="inlineStr">
        <is>
          <t>NORRBOTTENS LÄN</t>
        </is>
      </c>
      <c r="E726" t="inlineStr">
        <is>
          <t>ÖVERKALIX</t>
        </is>
      </c>
      <c r="F726" t="inlineStr">
        <is>
          <t>Sveaskog</t>
        </is>
      </c>
      <c r="G726" t="n">
        <v>5.4</v>
      </c>
      <c r="H726" t="n">
        <v>0</v>
      </c>
      <c r="I726" t="n">
        <v>0</v>
      </c>
      <c r="J726" t="n">
        <v>1</v>
      </c>
      <c r="K726" t="n">
        <v>0</v>
      </c>
      <c r="L726" t="n">
        <v>0</v>
      </c>
      <c r="M726" t="n">
        <v>0</v>
      </c>
      <c r="N726" t="n">
        <v>0</v>
      </c>
      <c r="O726" t="n">
        <v>1</v>
      </c>
      <c r="P726" t="n">
        <v>0</v>
      </c>
      <c r="Q726" t="n">
        <v>1</v>
      </c>
      <c r="R726" s="2" t="inlineStr">
        <is>
          <t>Gammelgransskål</t>
        </is>
      </c>
      <c r="S726">
        <f>HYPERLINK("https://klasma.github.io/Logging_2513/artfynd/A 43680-2021 artfynd.xlsx", "A 43680-2021")</f>
        <v/>
      </c>
      <c r="T726">
        <f>HYPERLINK("https://klasma.github.io/Logging_2513/kartor/A 43680-2021 karta.png", "A 43680-2021")</f>
        <v/>
      </c>
      <c r="V726">
        <f>HYPERLINK("https://klasma.github.io/Logging_2513/klagomål/A 43680-2021 FSC-klagomål.docx", "A 43680-2021")</f>
        <v/>
      </c>
      <c r="W726">
        <f>HYPERLINK("https://klasma.github.io/Logging_2513/klagomålsmail/A 43680-2021 FSC-klagomål mail.docx", "A 43680-2021")</f>
        <v/>
      </c>
      <c r="X726">
        <f>HYPERLINK("https://klasma.github.io/Logging_2513/tillsyn/A 43680-2021 tillsynsbegäran.docx", "A 43680-2021")</f>
        <v/>
      </c>
      <c r="Y726">
        <f>HYPERLINK("https://klasma.github.io/Logging_2513/tillsynsmail/A 43680-2021 tillsynsbegäran mail.docx", "A 43680-2021")</f>
        <v/>
      </c>
    </row>
    <row r="727" ht="15" customHeight="1">
      <c r="A727" t="inlineStr">
        <is>
          <t>A 45017-2021</t>
        </is>
      </c>
      <c r="B727" s="1" t="n">
        <v>44438</v>
      </c>
      <c r="C727" s="1" t="n">
        <v>45758</v>
      </c>
      <c r="D727" t="inlineStr">
        <is>
          <t>NORRBOTTENS LÄN</t>
        </is>
      </c>
      <c r="E727" t="inlineStr">
        <is>
          <t>GÄLLIVARE</t>
        </is>
      </c>
      <c r="F727" t="inlineStr">
        <is>
          <t>SCA</t>
        </is>
      </c>
      <c r="G727" t="n">
        <v>4.8</v>
      </c>
      <c r="H727" t="n">
        <v>0</v>
      </c>
      <c r="I727" t="n">
        <v>0</v>
      </c>
      <c r="J727" t="n">
        <v>1</v>
      </c>
      <c r="K727" t="n">
        <v>0</v>
      </c>
      <c r="L727" t="n">
        <v>0</v>
      </c>
      <c r="M727" t="n">
        <v>0</v>
      </c>
      <c r="N727" t="n">
        <v>0</v>
      </c>
      <c r="O727" t="n">
        <v>1</v>
      </c>
      <c r="P727" t="n">
        <v>0</v>
      </c>
      <c r="Q727" t="n">
        <v>1</v>
      </c>
      <c r="R727" s="2" t="inlineStr">
        <is>
          <t>Garnlav</t>
        </is>
      </c>
      <c r="S727">
        <f>HYPERLINK("https://klasma.github.io/Logging_2523/artfynd/A 45017-2021 artfynd.xlsx", "A 45017-2021")</f>
        <v/>
      </c>
      <c r="T727">
        <f>HYPERLINK("https://klasma.github.io/Logging_2523/kartor/A 45017-2021 karta.png", "A 45017-2021")</f>
        <v/>
      </c>
      <c r="V727">
        <f>HYPERLINK("https://klasma.github.io/Logging_2523/klagomål/A 45017-2021 FSC-klagomål.docx", "A 45017-2021")</f>
        <v/>
      </c>
      <c r="W727">
        <f>HYPERLINK("https://klasma.github.io/Logging_2523/klagomålsmail/A 45017-2021 FSC-klagomål mail.docx", "A 45017-2021")</f>
        <v/>
      </c>
      <c r="X727">
        <f>HYPERLINK("https://klasma.github.io/Logging_2523/tillsyn/A 45017-2021 tillsynsbegäran.docx", "A 45017-2021")</f>
        <v/>
      </c>
      <c r="Y727">
        <f>HYPERLINK("https://klasma.github.io/Logging_2523/tillsynsmail/A 45017-2021 tillsynsbegäran mail.docx", "A 45017-2021")</f>
        <v/>
      </c>
    </row>
    <row r="728" ht="15" customHeight="1">
      <c r="A728" t="inlineStr">
        <is>
          <t>A 46425-2021</t>
        </is>
      </c>
      <c r="B728" s="1" t="n">
        <v>44445</v>
      </c>
      <c r="C728" s="1" t="n">
        <v>45758</v>
      </c>
      <c r="D728" t="inlineStr">
        <is>
          <t>NORRBOTTENS LÄN</t>
        </is>
      </c>
      <c r="E728" t="inlineStr">
        <is>
          <t>BODEN</t>
        </is>
      </c>
      <c r="F728" t="inlineStr">
        <is>
          <t>Sveaskog</t>
        </is>
      </c>
      <c r="G728" t="n">
        <v>4.1</v>
      </c>
      <c r="H728" t="n">
        <v>1</v>
      </c>
      <c r="I728" t="n">
        <v>0</v>
      </c>
      <c r="J728" t="n">
        <v>1</v>
      </c>
      <c r="K728" t="n">
        <v>0</v>
      </c>
      <c r="L728" t="n">
        <v>0</v>
      </c>
      <c r="M728" t="n">
        <v>0</v>
      </c>
      <c r="N728" t="n">
        <v>0</v>
      </c>
      <c r="O728" t="n">
        <v>1</v>
      </c>
      <c r="P728" t="n">
        <v>0</v>
      </c>
      <c r="Q728" t="n">
        <v>1</v>
      </c>
      <c r="R728" s="2" t="inlineStr">
        <is>
          <t>Rödvingetrast</t>
        </is>
      </c>
      <c r="S728">
        <f>HYPERLINK("https://klasma.github.io/Logging_2582/artfynd/A 46425-2021 artfynd.xlsx", "A 46425-2021")</f>
        <v/>
      </c>
      <c r="T728">
        <f>HYPERLINK("https://klasma.github.io/Logging_2582/kartor/A 46425-2021 karta.png", "A 46425-2021")</f>
        <v/>
      </c>
      <c r="V728">
        <f>HYPERLINK("https://klasma.github.io/Logging_2582/klagomål/A 46425-2021 FSC-klagomål.docx", "A 46425-2021")</f>
        <v/>
      </c>
      <c r="W728">
        <f>HYPERLINK("https://klasma.github.io/Logging_2582/klagomålsmail/A 46425-2021 FSC-klagomål mail.docx", "A 46425-2021")</f>
        <v/>
      </c>
      <c r="X728">
        <f>HYPERLINK("https://klasma.github.io/Logging_2582/tillsyn/A 46425-2021 tillsynsbegäran.docx", "A 46425-2021")</f>
        <v/>
      </c>
      <c r="Y728">
        <f>HYPERLINK("https://klasma.github.io/Logging_2582/tillsynsmail/A 46425-2021 tillsynsbegäran mail.docx", "A 46425-2021")</f>
        <v/>
      </c>
      <c r="Z728">
        <f>HYPERLINK("https://klasma.github.io/Logging_2582/fåglar/A 46425-2021 prioriterade fågelarter.docx", "A 46425-2021")</f>
        <v/>
      </c>
    </row>
    <row r="729" ht="15" customHeight="1">
      <c r="A729" t="inlineStr">
        <is>
          <t>A 47030-2021</t>
        </is>
      </c>
      <c r="B729" s="1" t="n">
        <v>44446</v>
      </c>
      <c r="C729" s="1" t="n">
        <v>45758</v>
      </c>
      <c r="D729" t="inlineStr">
        <is>
          <t>NORRBOTTENS LÄN</t>
        </is>
      </c>
      <c r="E729" t="inlineStr">
        <is>
          <t>BODEN</t>
        </is>
      </c>
      <c r="G729" t="n">
        <v>3.3</v>
      </c>
      <c r="H729" t="n">
        <v>1</v>
      </c>
      <c r="I729" t="n">
        <v>0</v>
      </c>
      <c r="J729" t="n">
        <v>1</v>
      </c>
      <c r="K729" t="n">
        <v>0</v>
      </c>
      <c r="L729" t="n">
        <v>0</v>
      </c>
      <c r="M729" t="n">
        <v>0</v>
      </c>
      <c r="N729" t="n">
        <v>0</v>
      </c>
      <c r="O729" t="n">
        <v>1</v>
      </c>
      <c r="P729" t="n">
        <v>0</v>
      </c>
      <c r="Q729" t="n">
        <v>1</v>
      </c>
      <c r="R729" s="2" t="inlineStr">
        <is>
          <t>Svartvit flugsnappare</t>
        </is>
      </c>
      <c r="S729">
        <f>HYPERLINK("https://klasma.github.io/Logging_2582/artfynd/A 47030-2021 artfynd.xlsx", "A 47030-2021")</f>
        <v/>
      </c>
      <c r="T729">
        <f>HYPERLINK("https://klasma.github.io/Logging_2582/kartor/A 47030-2021 karta.png", "A 47030-2021")</f>
        <v/>
      </c>
      <c r="V729">
        <f>HYPERLINK("https://klasma.github.io/Logging_2582/klagomål/A 47030-2021 FSC-klagomål.docx", "A 47030-2021")</f>
        <v/>
      </c>
      <c r="W729">
        <f>HYPERLINK("https://klasma.github.io/Logging_2582/klagomålsmail/A 47030-2021 FSC-klagomål mail.docx", "A 47030-2021")</f>
        <v/>
      </c>
      <c r="X729">
        <f>HYPERLINK("https://klasma.github.io/Logging_2582/tillsyn/A 47030-2021 tillsynsbegäran.docx", "A 47030-2021")</f>
        <v/>
      </c>
      <c r="Y729">
        <f>HYPERLINK("https://klasma.github.io/Logging_2582/tillsynsmail/A 47030-2021 tillsynsbegäran mail.docx", "A 47030-2021")</f>
        <v/>
      </c>
      <c r="Z729">
        <f>HYPERLINK("https://klasma.github.io/Logging_2582/fåglar/A 47030-2021 prioriterade fågelarter.docx", "A 47030-2021")</f>
        <v/>
      </c>
    </row>
    <row r="730" ht="15" customHeight="1">
      <c r="A730" t="inlineStr">
        <is>
          <t>A 50085-2021</t>
        </is>
      </c>
      <c r="B730" s="1" t="n">
        <v>44456</v>
      </c>
      <c r="C730" s="1" t="n">
        <v>45758</v>
      </c>
      <c r="D730" t="inlineStr">
        <is>
          <t>NORRBOTTENS LÄN</t>
        </is>
      </c>
      <c r="E730" t="inlineStr">
        <is>
          <t>LULEÅ</t>
        </is>
      </c>
      <c r="F730" t="inlineStr">
        <is>
          <t>Sveaskog</t>
        </is>
      </c>
      <c r="G730" t="n">
        <v>5.1</v>
      </c>
      <c r="H730" t="n">
        <v>0</v>
      </c>
      <c r="I730" t="n">
        <v>0</v>
      </c>
      <c r="J730" t="n">
        <v>1</v>
      </c>
      <c r="K730" t="n">
        <v>0</v>
      </c>
      <c r="L730" t="n">
        <v>0</v>
      </c>
      <c r="M730" t="n">
        <v>0</v>
      </c>
      <c r="N730" t="n">
        <v>0</v>
      </c>
      <c r="O730" t="n">
        <v>1</v>
      </c>
      <c r="P730" t="n">
        <v>0</v>
      </c>
      <c r="Q730" t="n">
        <v>1</v>
      </c>
      <c r="R730" s="2" t="inlineStr">
        <is>
          <t>Granticka</t>
        </is>
      </c>
      <c r="S730">
        <f>HYPERLINK("https://klasma.github.io/Logging_2580/artfynd/A 50085-2021 artfynd.xlsx", "A 50085-2021")</f>
        <v/>
      </c>
      <c r="T730">
        <f>HYPERLINK("https://klasma.github.io/Logging_2580/kartor/A 50085-2021 karta.png", "A 50085-2021")</f>
        <v/>
      </c>
      <c r="V730">
        <f>HYPERLINK("https://klasma.github.io/Logging_2580/klagomål/A 50085-2021 FSC-klagomål.docx", "A 50085-2021")</f>
        <v/>
      </c>
      <c r="W730">
        <f>HYPERLINK("https://klasma.github.io/Logging_2580/klagomålsmail/A 50085-2021 FSC-klagomål mail.docx", "A 50085-2021")</f>
        <v/>
      </c>
      <c r="X730">
        <f>HYPERLINK("https://klasma.github.io/Logging_2580/tillsyn/A 50085-2021 tillsynsbegäran.docx", "A 50085-2021")</f>
        <v/>
      </c>
      <c r="Y730">
        <f>HYPERLINK("https://klasma.github.io/Logging_2580/tillsynsmail/A 50085-2021 tillsynsbegäran mail.docx", "A 50085-2021")</f>
        <v/>
      </c>
    </row>
    <row r="731" ht="15" customHeight="1">
      <c r="A731" t="inlineStr">
        <is>
          <t>A 56067-2021</t>
        </is>
      </c>
      <c r="B731" s="1" t="n">
        <v>44477</v>
      </c>
      <c r="C731" s="1" t="n">
        <v>45758</v>
      </c>
      <c r="D731" t="inlineStr">
        <is>
          <t>NORRBOTTENS LÄN</t>
        </is>
      </c>
      <c r="E731" t="inlineStr">
        <is>
          <t>LULEÅ</t>
        </is>
      </c>
      <c r="F731" t="inlineStr">
        <is>
          <t>Sveaskog</t>
        </is>
      </c>
      <c r="G731" t="n">
        <v>1.3</v>
      </c>
      <c r="H731" t="n">
        <v>0</v>
      </c>
      <c r="I731" t="n">
        <v>1</v>
      </c>
      <c r="J731" t="n">
        <v>0</v>
      </c>
      <c r="K731" t="n">
        <v>0</v>
      </c>
      <c r="L731" t="n">
        <v>0</v>
      </c>
      <c r="M731" t="n">
        <v>0</v>
      </c>
      <c r="N731" t="n">
        <v>0</v>
      </c>
      <c r="O731" t="n">
        <v>0</v>
      </c>
      <c r="P731" t="n">
        <v>0</v>
      </c>
      <c r="Q731" t="n">
        <v>1</v>
      </c>
      <c r="R731" s="2" t="inlineStr">
        <is>
          <t>Zontaggsvamp</t>
        </is>
      </c>
      <c r="S731">
        <f>HYPERLINK("https://klasma.github.io/Logging_2580/artfynd/A 56067-2021 artfynd.xlsx", "A 56067-2021")</f>
        <v/>
      </c>
      <c r="T731">
        <f>HYPERLINK("https://klasma.github.io/Logging_2580/kartor/A 56067-2021 karta.png", "A 56067-2021")</f>
        <v/>
      </c>
      <c r="V731">
        <f>HYPERLINK("https://klasma.github.io/Logging_2580/klagomål/A 56067-2021 FSC-klagomål.docx", "A 56067-2021")</f>
        <v/>
      </c>
      <c r="W731">
        <f>HYPERLINK("https://klasma.github.io/Logging_2580/klagomålsmail/A 56067-2021 FSC-klagomål mail.docx", "A 56067-2021")</f>
        <v/>
      </c>
      <c r="X731">
        <f>HYPERLINK("https://klasma.github.io/Logging_2580/tillsyn/A 56067-2021 tillsynsbegäran.docx", "A 56067-2021")</f>
        <v/>
      </c>
      <c r="Y731">
        <f>HYPERLINK("https://klasma.github.io/Logging_2580/tillsynsmail/A 56067-2021 tillsynsbegäran mail.docx", "A 56067-2021")</f>
        <v/>
      </c>
    </row>
    <row r="732" ht="15" customHeight="1">
      <c r="A732" t="inlineStr">
        <is>
          <t>A 57535-2021</t>
        </is>
      </c>
      <c r="B732" s="1" t="n">
        <v>44483</v>
      </c>
      <c r="C732" s="1" t="n">
        <v>45758</v>
      </c>
      <c r="D732" t="inlineStr">
        <is>
          <t>NORRBOTTENS LÄN</t>
        </is>
      </c>
      <c r="E732" t="inlineStr">
        <is>
          <t>GÄLLIVARE</t>
        </is>
      </c>
      <c r="G732" t="n">
        <v>20.6</v>
      </c>
      <c r="H732" t="n">
        <v>1</v>
      </c>
      <c r="I732" t="n">
        <v>0</v>
      </c>
      <c r="J732" t="n">
        <v>0</v>
      </c>
      <c r="K732" t="n">
        <v>0</v>
      </c>
      <c r="L732" t="n">
        <v>0</v>
      </c>
      <c r="M732" t="n">
        <v>0</v>
      </c>
      <c r="N732" t="n">
        <v>0</v>
      </c>
      <c r="O732" t="n">
        <v>0</v>
      </c>
      <c r="P732" t="n">
        <v>0</v>
      </c>
      <c r="Q732" t="n">
        <v>1</v>
      </c>
      <c r="R732" s="2" t="inlineStr">
        <is>
          <t>Revlummer</t>
        </is>
      </c>
      <c r="S732">
        <f>HYPERLINK("https://klasma.github.io/Logging_2523/artfynd/A 57535-2021 artfynd.xlsx", "A 57535-2021")</f>
        <v/>
      </c>
      <c r="T732">
        <f>HYPERLINK("https://klasma.github.io/Logging_2523/kartor/A 57535-2021 karta.png", "A 57535-2021")</f>
        <v/>
      </c>
      <c r="V732">
        <f>HYPERLINK("https://klasma.github.io/Logging_2523/klagomål/A 57535-2021 FSC-klagomål.docx", "A 57535-2021")</f>
        <v/>
      </c>
      <c r="W732">
        <f>HYPERLINK("https://klasma.github.io/Logging_2523/klagomålsmail/A 57535-2021 FSC-klagomål mail.docx", "A 57535-2021")</f>
        <v/>
      </c>
      <c r="X732">
        <f>HYPERLINK("https://klasma.github.io/Logging_2523/tillsyn/A 57535-2021 tillsynsbegäran.docx", "A 57535-2021")</f>
        <v/>
      </c>
      <c r="Y732">
        <f>HYPERLINK("https://klasma.github.io/Logging_2523/tillsynsmail/A 57535-2021 tillsynsbegäran mail.docx", "A 57535-2021")</f>
        <v/>
      </c>
    </row>
    <row r="733" ht="15" customHeight="1">
      <c r="A733" t="inlineStr">
        <is>
          <t>A 57926-2021</t>
        </is>
      </c>
      <c r="B733" s="1" t="n">
        <v>44487</v>
      </c>
      <c r="C733" s="1" t="n">
        <v>45758</v>
      </c>
      <c r="D733" t="inlineStr">
        <is>
          <t>NORRBOTTENS LÄN</t>
        </is>
      </c>
      <c r="E733" t="inlineStr">
        <is>
          <t>ARVIDSJAUR</t>
        </is>
      </c>
      <c r="F733" t="inlineStr">
        <is>
          <t>Sveaskog</t>
        </is>
      </c>
      <c r="G733" t="n">
        <v>28.6</v>
      </c>
      <c r="H733" t="n">
        <v>0</v>
      </c>
      <c r="I733" t="n">
        <v>0</v>
      </c>
      <c r="J733" t="n">
        <v>1</v>
      </c>
      <c r="K733" t="n">
        <v>0</v>
      </c>
      <c r="L733" t="n">
        <v>0</v>
      </c>
      <c r="M733" t="n">
        <v>0</v>
      </c>
      <c r="N733" t="n">
        <v>0</v>
      </c>
      <c r="O733" t="n">
        <v>1</v>
      </c>
      <c r="P733" t="n">
        <v>0</v>
      </c>
      <c r="Q733" t="n">
        <v>1</v>
      </c>
      <c r="R733" s="2" t="inlineStr">
        <is>
          <t>Tallticka</t>
        </is>
      </c>
      <c r="S733">
        <f>HYPERLINK("https://klasma.github.io/Logging_2505/artfynd/A 57926-2021 artfynd.xlsx", "A 57926-2021")</f>
        <v/>
      </c>
      <c r="T733">
        <f>HYPERLINK("https://klasma.github.io/Logging_2505/kartor/A 57926-2021 karta.png", "A 57926-2021")</f>
        <v/>
      </c>
      <c r="V733">
        <f>HYPERLINK("https://klasma.github.io/Logging_2505/klagomål/A 57926-2021 FSC-klagomål.docx", "A 57926-2021")</f>
        <v/>
      </c>
      <c r="W733">
        <f>HYPERLINK("https://klasma.github.io/Logging_2505/klagomålsmail/A 57926-2021 FSC-klagomål mail.docx", "A 57926-2021")</f>
        <v/>
      </c>
      <c r="X733">
        <f>HYPERLINK("https://klasma.github.io/Logging_2505/tillsyn/A 57926-2021 tillsynsbegäran.docx", "A 57926-2021")</f>
        <v/>
      </c>
      <c r="Y733">
        <f>HYPERLINK("https://klasma.github.io/Logging_2505/tillsynsmail/A 57926-2021 tillsynsbegäran mail.docx", "A 57926-2021")</f>
        <v/>
      </c>
    </row>
    <row r="734" ht="15" customHeight="1">
      <c r="A734" t="inlineStr">
        <is>
          <t>A 58201-2021</t>
        </is>
      </c>
      <c r="B734" s="1" t="n">
        <v>44487</v>
      </c>
      <c r="C734" s="1" t="n">
        <v>45758</v>
      </c>
      <c r="D734" t="inlineStr">
        <is>
          <t>NORRBOTTENS LÄN</t>
        </is>
      </c>
      <c r="E734" t="inlineStr">
        <is>
          <t>ÄLVSBYN</t>
        </is>
      </c>
      <c r="F734" t="inlineStr">
        <is>
          <t>Sveaskog</t>
        </is>
      </c>
      <c r="G734" t="n">
        <v>13.4</v>
      </c>
      <c r="H734" t="n">
        <v>1</v>
      </c>
      <c r="I734" t="n">
        <v>0</v>
      </c>
      <c r="J734" t="n">
        <v>0</v>
      </c>
      <c r="K734" t="n">
        <v>1</v>
      </c>
      <c r="L734" t="n">
        <v>0</v>
      </c>
      <c r="M734" t="n">
        <v>0</v>
      </c>
      <c r="N734" t="n">
        <v>0</v>
      </c>
      <c r="O734" t="n">
        <v>1</v>
      </c>
      <c r="P734" t="n">
        <v>1</v>
      </c>
      <c r="Q734" t="n">
        <v>1</v>
      </c>
      <c r="R734" s="2" t="inlineStr">
        <is>
          <t>Lappuggla</t>
        </is>
      </c>
      <c r="S734">
        <f>HYPERLINK("https://klasma.github.io/Logging_2560/artfynd/A 58201-2021 artfynd.xlsx", "A 58201-2021")</f>
        <v/>
      </c>
      <c r="T734">
        <f>HYPERLINK("https://klasma.github.io/Logging_2560/kartor/A 58201-2021 karta.png", "A 58201-2021")</f>
        <v/>
      </c>
      <c r="V734">
        <f>HYPERLINK("https://klasma.github.io/Logging_2560/klagomål/A 58201-2021 FSC-klagomål.docx", "A 58201-2021")</f>
        <v/>
      </c>
      <c r="W734">
        <f>HYPERLINK("https://klasma.github.io/Logging_2560/klagomålsmail/A 58201-2021 FSC-klagomål mail.docx", "A 58201-2021")</f>
        <v/>
      </c>
      <c r="X734">
        <f>HYPERLINK("https://klasma.github.io/Logging_2560/tillsyn/A 58201-2021 tillsynsbegäran.docx", "A 58201-2021")</f>
        <v/>
      </c>
      <c r="Y734">
        <f>HYPERLINK("https://klasma.github.io/Logging_2560/tillsynsmail/A 58201-2021 tillsynsbegäran mail.docx", "A 58201-2021")</f>
        <v/>
      </c>
      <c r="Z734">
        <f>HYPERLINK("https://klasma.github.io/Logging_2560/fåglar/A 58201-2021 prioriterade fågelarter.docx", "A 58201-2021")</f>
        <v/>
      </c>
    </row>
    <row r="735" ht="15" customHeight="1">
      <c r="A735" t="inlineStr">
        <is>
          <t>A 57994-2021</t>
        </is>
      </c>
      <c r="B735" s="1" t="n">
        <v>44487</v>
      </c>
      <c r="C735" s="1" t="n">
        <v>45758</v>
      </c>
      <c r="D735" t="inlineStr">
        <is>
          <t>NORRBOTTENS LÄN</t>
        </is>
      </c>
      <c r="E735" t="inlineStr">
        <is>
          <t>ARVIDSJAUR</t>
        </is>
      </c>
      <c r="F735" t="inlineStr">
        <is>
          <t>Sveaskog</t>
        </is>
      </c>
      <c r="G735" t="n">
        <v>12.9</v>
      </c>
      <c r="H735" t="n">
        <v>1</v>
      </c>
      <c r="I735" t="n">
        <v>0</v>
      </c>
      <c r="J735" t="n">
        <v>1</v>
      </c>
      <c r="K735" t="n">
        <v>0</v>
      </c>
      <c r="L735" t="n">
        <v>0</v>
      </c>
      <c r="M735" t="n">
        <v>0</v>
      </c>
      <c r="N735" t="n">
        <v>0</v>
      </c>
      <c r="O735" t="n">
        <v>1</v>
      </c>
      <c r="P735" t="n">
        <v>0</v>
      </c>
      <c r="Q735" t="n">
        <v>1</v>
      </c>
      <c r="R735" s="2" t="inlineStr">
        <is>
          <t>Kungsörn</t>
        </is>
      </c>
      <c r="S735">
        <f>HYPERLINK("https://klasma.github.io/Logging_2505/artfynd/A 57994-2021 artfynd.xlsx", "A 57994-2021")</f>
        <v/>
      </c>
      <c r="T735">
        <f>HYPERLINK("https://klasma.github.io/Logging_2505/kartor/A 57994-2021 karta.png", "A 57994-2021")</f>
        <v/>
      </c>
      <c r="V735">
        <f>HYPERLINK("https://klasma.github.io/Logging_2505/klagomål/A 57994-2021 FSC-klagomål.docx", "A 57994-2021")</f>
        <v/>
      </c>
      <c r="W735">
        <f>HYPERLINK("https://klasma.github.io/Logging_2505/klagomålsmail/A 57994-2021 FSC-klagomål mail.docx", "A 57994-2021")</f>
        <v/>
      </c>
      <c r="X735">
        <f>HYPERLINK("https://klasma.github.io/Logging_2505/tillsyn/A 57994-2021 tillsynsbegäran.docx", "A 57994-2021")</f>
        <v/>
      </c>
      <c r="Y735">
        <f>HYPERLINK("https://klasma.github.io/Logging_2505/tillsynsmail/A 57994-2021 tillsynsbegäran mail.docx", "A 57994-2021")</f>
        <v/>
      </c>
      <c r="Z735">
        <f>HYPERLINK("https://klasma.github.io/Logging_2505/fåglar/A 57994-2021 prioriterade fågelarter.docx", "A 57994-2021")</f>
        <v/>
      </c>
    </row>
    <row r="736" ht="15" customHeight="1">
      <c r="A736" t="inlineStr">
        <is>
          <t>A 60797-2021</t>
        </is>
      </c>
      <c r="B736" s="1" t="n">
        <v>44495</v>
      </c>
      <c r="C736" s="1" t="n">
        <v>45758</v>
      </c>
      <c r="D736" t="inlineStr">
        <is>
          <t>NORRBOTTENS LÄN</t>
        </is>
      </c>
      <c r="E736" t="inlineStr">
        <is>
          <t>PITEÅ</t>
        </is>
      </c>
      <c r="F736" t="inlineStr">
        <is>
          <t>Sveaskog</t>
        </is>
      </c>
      <c r="G736" t="n">
        <v>4.9</v>
      </c>
      <c r="H736" t="n">
        <v>0</v>
      </c>
      <c r="I736" t="n">
        <v>0</v>
      </c>
      <c r="J736" t="n">
        <v>1</v>
      </c>
      <c r="K736" t="n">
        <v>0</v>
      </c>
      <c r="L736" t="n">
        <v>0</v>
      </c>
      <c r="M736" t="n">
        <v>0</v>
      </c>
      <c r="N736" t="n">
        <v>0</v>
      </c>
      <c r="O736" t="n">
        <v>1</v>
      </c>
      <c r="P736" t="n">
        <v>0</v>
      </c>
      <c r="Q736" t="n">
        <v>1</v>
      </c>
      <c r="R736" s="2" t="inlineStr">
        <is>
          <t>Granticka</t>
        </is>
      </c>
      <c r="S736">
        <f>HYPERLINK("https://klasma.github.io/Logging_2581/artfynd/A 60797-2021 artfynd.xlsx", "A 60797-2021")</f>
        <v/>
      </c>
      <c r="T736">
        <f>HYPERLINK("https://klasma.github.io/Logging_2581/kartor/A 60797-2021 karta.png", "A 60797-2021")</f>
        <v/>
      </c>
      <c r="V736">
        <f>HYPERLINK("https://klasma.github.io/Logging_2581/klagomål/A 60797-2021 FSC-klagomål.docx", "A 60797-2021")</f>
        <v/>
      </c>
      <c r="W736">
        <f>HYPERLINK("https://klasma.github.io/Logging_2581/klagomålsmail/A 60797-2021 FSC-klagomål mail.docx", "A 60797-2021")</f>
        <v/>
      </c>
      <c r="X736">
        <f>HYPERLINK("https://klasma.github.io/Logging_2581/tillsyn/A 60797-2021 tillsynsbegäran.docx", "A 60797-2021")</f>
        <v/>
      </c>
      <c r="Y736">
        <f>HYPERLINK("https://klasma.github.io/Logging_2581/tillsynsmail/A 60797-2021 tillsynsbegäran mail.docx", "A 60797-2021")</f>
        <v/>
      </c>
    </row>
    <row r="737" ht="15" customHeight="1">
      <c r="A737" t="inlineStr">
        <is>
          <t>A 60546-2021</t>
        </is>
      </c>
      <c r="B737" s="1" t="n">
        <v>44496</v>
      </c>
      <c r="C737" s="1" t="n">
        <v>45758</v>
      </c>
      <c r="D737" t="inlineStr">
        <is>
          <t>NORRBOTTENS LÄN</t>
        </is>
      </c>
      <c r="E737" t="inlineStr">
        <is>
          <t>ÖVERKALIX</t>
        </is>
      </c>
      <c r="F737" t="inlineStr">
        <is>
          <t>Sveaskog</t>
        </is>
      </c>
      <c r="G737" t="n">
        <v>3</v>
      </c>
      <c r="H737" t="n">
        <v>0</v>
      </c>
      <c r="I737" t="n">
        <v>0</v>
      </c>
      <c r="J737" t="n">
        <v>1</v>
      </c>
      <c r="K737" t="n">
        <v>0</v>
      </c>
      <c r="L737" t="n">
        <v>0</v>
      </c>
      <c r="M737" t="n">
        <v>0</v>
      </c>
      <c r="N737" t="n">
        <v>0</v>
      </c>
      <c r="O737" t="n">
        <v>1</v>
      </c>
      <c r="P737" t="n">
        <v>0</v>
      </c>
      <c r="Q737" t="n">
        <v>1</v>
      </c>
      <c r="R737" s="2" t="inlineStr">
        <is>
          <t>Koralltaggsvamp</t>
        </is>
      </c>
      <c r="S737">
        <f>HYPERLINK("https://klasma.github.io/Logging_2513/artfynd/A 60546-2021 artfynd.xlsx", "A 60546-2021")</f>
        <v/>
      </c>
      <c r="T737">
        <f>HYPERLINK("https://klasma.github.io/Logging_2513/kartor/A 60546-2021 karta.png", "A 60546-2021")</f>
        <v/>
      </c>
      <c r="V737">
        <f>HYPERLINK("https://klasma.github.io/Logging_2513/klagomål/A 60546-2021 FSC-klagomål.docx", "A 60546-2021")</f>
        <v/>
      </c>
      <c r="W737">
        <f>HYPERLINK("https://klasma.github.io/Logging_2513/klagomålsmail/A 60546-2021 FSC-klagomål mail.docx", "A 60546-2021")</f>
        <v/>
      </c>
      <c r="X737">
        <f>HYPERLINK("https://klasma.github.io/Logging_2513/tillsyn/A 60546-2021 tillsynsbegäran.docx", "A 60546-2021")</f>
        <v/>
      </c>
      <c r="Y737">
        <f>HYPERLINK("https://klasma.github.io/Logging_2513/tillsynsmail/A 60546-2021 tillsynsbegäran mail.docx", "A 60546-2021")</f>
        <v/>
      </c>
    </row>
    <row r="738" ht="15" customHeight="1">
      <c r="A738" t="inlineStr">
        <is>
          <t>A 60509-2021</t>
        </is>
      </c>
      <c r="B738" s="1" t="n">
        <v>44496</v>
      </c>
      <c r="C738" s="1" t="n">
        <v>45758</v>
      </c>
      <c r="D738" t="inlineStr">
        <is>
          <t>NORRBOTTENS LÄN</t>
        </is>
      </c>
      <c r="E738" t="inlineStr">
        <is>
          <t>ÖVERKALIX</t>
        </is>
      </c>
      <c r="F738" t="inlineStr">
        <is>
          <t>Sveaskog</t>
        </is>
      </c>
      <c r="G738" t="n">
        <v>13.5</v>
      </c>
      <c r="H738" t="n">
        <v>0</v>
      </c>
      <c r="I738" t="n">
        <v>1</v>
      </c>
      <c r="J738" t="n">
        <v>0</v>
      </c>
      <c r="K738" t="n">
        <v>0</v>
      </c>
      <c r="L738" t="n">
        <v>0</v>
      </c>
      <c r="M738" t="n">
        <v>0</v>
      </c>
      <c r="N738" t="n">
        <v>0</v>
      </c>
      <c r="O738" t="n">
        <v>0</v>
      </c>
      <c r="P738" t="n">
        <v>0</v>
      </c>
      <c r="Q738" t="n">
        <v>1</v>
      </c>
      <c r="R738" s="2" t="inlineStr">
        <is>
          <t>Stor aspticka</t>
        </is>
      </c>
      <c r="S738">
        <f>HYPERLINK("https://klasma.github.io/Logging_2513/artfynd/A 60509-2021 artfynd.xlsx", "A 60509-2021")</f>
        <v/>
      </c>
      <c r="T738">
        <f>HYPERLINK("https://klasma.github.io/Logging_2513/kartor/A 60509-2021 karta.png", "A 60509-2021")</f>
        <v/>
      </c>
      <c r="V738">
        <f>HYPERLINK("https://klasma.github.io/Logging_2513/klagomål/A 60509-2021 FSC-klagomål.docx", "A 60509-2021")</f>
        <v/>
      </c>
      <c r="W738">
        <f>HYPERLINK("https://klasma.github.io/Logging_2513/klagomålsmail/A 60509-2021 FSC-klagomål mail.docx", "A 60509-2021")</f>
        <v/>
      </c>
      <c r="X738">
        <f>HYPERLINK("https://klasma.github.io/Logging_2513/tillsyn/A 60509-2021 tillsynsbegäran.docx", "A 60509-2021")</f>
        <v/>
      </c>
      <c r="Y738">
        <f>HYPERLINK("https://klasma.github.io/Logging_2513/tillsynsmail/A 60509-2021 tillsynsbegäran mail.docx", "A 60509-2021")</f>
        <v/>
      </c>
    </row>
    <row r="739" ht="15" customHeight="1">
      <c r="A739" t="inlineStr">
        <is>
          <t>A 60597-2021</t>
        </is>
      </c>
      <c r="B739" s="1" t="n">
        <v>44496</v>
      </c>
      <c r="C739" s="1" t="n">
        <v>45758</v>
      </c>
      <c r="D739" t="inlineStr">
        <is>
          <t>NORRBOTTENS LÄN</t>
        </is>
      </c>
      <c r="E739" t="inlineStr">
        <is>
          <t>PAJALA</t>
        </is>
      </c>
      <c r="F739" t="inlineStr">
        <is>
          <t>Sveaskog</t>
        </is>
      </c>
      <c r="G739" t="n">
        <v>1.4</v>
      </c>
      <c r="H739" t="n">
        <v>0</v>
      </c>
      <c r="I739" t="n">
        <v>0</v>
      </c>
      <c r="J739" t="n">
        <v>1</v>
      </c>
      <c r="K739" t="n">
        <v>0</v>
      </c>
      <c r="L739" t="n">
        <v>0</v>
      </c>
      <c r="M739" t="n">
        <v>0</v>
      </c>
      <c r="N739" t="n">
        <v>0</v>
      </c>
      <c r="O739" t="n">
        <v>1</v>
      </c>
      <c r="P739" t="n">
        <v>0</v>
      </c>
      <c r="Q739" t="n">
        <v>1</v>
      </c>
      <c r="R739" s="2" t="inlineStr">
        <is>
          <t>Garnlav</t>
        </is>
      </c>
      <c r="S739">
        <f>HYPERLINK("https://klasma.github.io/Logging_2521/artfynd/A 60597-2021 artfynd.xlsx", "A 60597-2021")</f>
        <v/>
      </c>
      <c r="T739">
        <f>HYPERLINK("https://klasma.github.io/Logging_2521/kartor/A 60597-2021 karta.png", "A 60597-2021")</f>
        <v/>
      </c>
      <c r="V739">
        <f>HYPERLINK("https://klasma.github.io/Logging_2521/klagomål/A 60597-2021 FSC-klagomål.docx", "A 60597-2021")</f>
        <v/>
      </c>
      <c r="W739">
        <f>HYPERLINK("https://klasma.github.io/Logging_2521/klagomålsmail/A 60597-2021 FSC-klagomål mail.docx", "A 60597-2021")</f>
        <v/>
      </c>
      <c r="X739">
        <f>HYPERLINK("https://klasma.github.io/Logging_2521/tillsyn/A 60597-2021 tillsynsbegäran.docx", "A 60597-2021")</f>
        <v/>
      </c>
      <c r="Y739">
        <f>HYPERLINK("https://klasma.github.io/Logging_2521/tillsynsmail/A 60597-2021 tillsynsbegäran mail.docx", "A 60597-2021")</f>
        <v/>
      </c>
    </row>
    <row r="740" ht="15" customHeight="1">
      <c r="A740" t="inlineStr">
        <is>
          <t>A 65518-2021</t>
        </is>
      </c>
      <c r="B740" s="1" t="n">
        <v>44516</v>
      </c>
      <c r="C740" s="1" t="n">
        <v>45758</v>
      </c>
      <c r="D740" t="inlineStr">
        <is>
          <t>NORRBOTTENS LÄN</t>
        </is>
      </c>
      <c r="E740" t="inlineStr">
        <is>
          <t>PAJALA</t>
        </is>
      </c>
      <c r="F740" t="inlineStr">
        <is>
          <t>Sveaskog</t>
        </is>
      </c>
      <c r="G740" t="n">
        <v>1.5</v>
      </c>
      <c r="H740" t="n">
        <v>0</v>
      </c>
      <c r="I740" t="n">
        <v>1</v>
      </c>
      <c r="J740" t="n">
        <v>0</v>
      </c>
      <c r="K740" t="n">
        <v>0</v>
      </c>
      <c r="L740" t="n">
        <v>0</v>
      </c>
      <c r="M740" t="n">
        <v>0</v>
      </c>
      <c r="N740" t="n">
        <v>0</v>
      </c>
      <c r="O740" t="n">
        <v>0</v>
      </c>
      <c r="P740" t="n">
        <v>0</v>
      </c>
      <c r="Q740" t="n">
        <v>1</v>
      </c>
      <c r="R740" s="2" t="inlineStr">
        <is>
          <t>Stuplav</t>
        </is>
      </c>
      <c r="S740">
        <f>HYPERLINK("https://klasma.github.io/Logging_2521/artfynd/A 65518-2021 artfynd.xlsx", "A 65518-2021")</f>
        <v/>
      </c>
      <c r="T740">
        <f>HYPERLINK("https://klasma.github.io/Logging_2521/kartor/A 65518-2021 karta.png", "A 65518-2021")</f>
        <v/>
      </c>
      <c r="V740">
        <f>HYPERLINK("https://klasma.github.io/Logging_2521/klagomål/A 65518-2021 FSC-klagomål.docx", "A 65518-2021")</f>
        <v/>
      </c>
      <c r="W740">
        <f>HYPERLINK("https://klasma.github.io/Logging_2521/klagomålsmail/A 65518-2021 FSC-klagomål mail.docx", "A 65518-2021")</f>
        <v/>
      </c>
      <c r="X740">
        <f>HYPERLINK("https://klasma.github.io/Logging_2521/tillsyn/A 65518-2021 tillsynsbegäran.docx", "A 65518-2021")</f>
        <v/>
      </c>
      <c r="Y740">
        <f>HYPERLINK("https://klasma.github.io/Logging_2521/tillsynsmail/A 65518-2021 tillsynsbegäran mail.docx", "A 65518-2021")</f>
        <v/>
      </c>
    </row>
    <row r="741" ht="15" customHeight="1">
      <c r="A741" t="inlineStr">
        <is>
          <t>A 71289-2021</t>
        </is>
      </c>
      <c r="B741" s="1" t="n">
        <v>44538</v>
      </c>
      <c r="C741" s="1" t="n">
        <v>45758</v>
      </c>
      <c r="D741" t="inlineStr">
        <is>
          <t>NORRBOTTENS LÄN</t>
        </is>
      </c>
      <c r="E741" t="inlineStr">
        <is>
          <t>PITEÅ</t>
        </is>
      </c>
      <c r="G741" t="n">
        <v>3.8</v>
      </c>
      <c r="H741" t="n">
        <v>0</v>
      </c>
      <c r="I741" t="n">
        <v>0</v>
      </c>
      <c r="J741" t="n">
        <v>1</v>
      </c>
      <c r="K741" t="n">
        <v>0</v>
      </c>
      <c r="L741" t="n">
        <v>0</v>
      </c>
      <c r="M741" t="n">
        <v>0</v>
      </c>
      <c r="N741" t="n">
        <v>0</v>
      </c>
      <c r="O741" t="n">
        <v>1</v>
      </c>
      <c r="P741" t="n">
        <v>0</v>
      </c>
      <c r="Q741" t="n">
        <v>1</v>
      </c>
      <c r="R741" s="2" t="inlineStr">
        <is>
          <t>Tallticka</t>
        </is>
      </c>
      <c r="S741">
        <f>HYPERLINK("https://klasma.github.io/Logging_2581/artfynd/A 71289-2021 artfynd.xlsx", "A 71289-2021")</f>
        <v/>
      </c>
      <c r="T741">
        <f>HYPERLINK("https://klasma.github.io/Logging_2581/kartor/A 71289-2021 karta.png", "A 71289-2021")</f>
        <v/>
      </c>
      <c r="V741">
        <f>HYPERLINK("https://klasma.github.io/Logging_2581/klagomål/A 71289-2021 FSC-klagomål.docx", "A 71289-2021")</f>
        <v/>
      </c>
      <c r="W741">
        <f>HYPERLINK("https://klasma.github.io/Logging_2581/klagomålsmail/A 71289-2021 FSC-klagomål mail.docx", "A 71289-2021")</f>
        <v/>
      </c>
      <c r="X741">
        <f>HYPERLINK("https://klasma.github.io/Logging_2581/tillsyn/A 71289-2021 tillsynsbegäran.docx", "A 71289-2021")</f>
        <v/>
      </c>
      <c r="Y741">
        <f>HYPERLINK("https://klasma.github.io/Logging_2581/tillsynsmail/A 71289-2021 tillsynsbegäran mail.docx", "A 71289-2021")</f>
        <v/>
      </c>
    </row>
    <row r="742" ht="15" customHeight="1">
      <c r="A742" t="inlineStr">
        <is>
          <t>A 72480-2021</t>
        </is>
      </c>
      <c r="B742" s="1" t="n">
        <v>44545</v>
      </c>
      <c r="C742" s="1" t="n">
        <v>45758</v>
      </c>
      <c r="D742" t="inlineStr">
        <is>
          <t>NORRBOTTENS LÄN</t>
        </is>
      </c>
      <c r="E742" t="inlineStr">
        <is>
          <t>JOKKMOKK</t>
        </is>
      </c>
      <c r="G742" t="n">
        <v>8.800000000000001</v>
      </c>
      <c r="H742" t="n">
        <v>0</v>
      </c>
      <c r="I742" t="n">
        <v>0</v>
      </c>
      <c r="J742" t="n">
        <v>1</v>
      </c>
      <c r="K742" t="n">
        <v>0</v>
      </c>
      <c r="L742" t="n">
        <v>0</v>
      </c>
      <c r="M742" t="n">
        <v>0</v>
      </c>
      <c r="N742" t="n">
        <v>0</v>
      </c>
      <c r="O742" t="n">
        <v>1</v>
      </c>
      <c r="P742" t="n">
        <v>0</v>
      </c>
      <c r="Q742" t="n">
        <v>1</v>
      </c>
      <c r="R742" s="2" t="inlineStr">
        <is>
          <t>Dvärgbägarlav</t>
        </is>
      </c>
      <c r="S742">
        <f>HYPERLINK("https://klasma.github.io/Logging_2510/artfynd/A 72480-2021 artfynd.xlsx", "A 72480-2021")</f>
        <v/>
      </c>
      <c r="T742">
        <f>HYPERLINK("https://klasma.github.io/Logging_2510/kartor/A 72480-2021 karta.png", "A 72480-2021")</f>
        <v/>
      </c>
      <c r="V742">
        <f>HYPERLINK("https://klasma.github.io/Logging_2510/klagomål/A 72480-2021 FSC-klagomål.docx", "A 72480-2021")</f>
        <v/>
      </c>
      <c r="W742">
        <f>HYPERLINK("https://klasma.github.io/Logging_2510/klagomålsmail/A 72480-2021 FSC-klagomål mail.docx", "A 72480-2021")</f>
        <v/>
      </c>
      <c r="X742">
        <f>HYPERLINK("https://klasma.github.io/Logging_2510/tillsyn/A 72480-2021 tillsynsbegäran.docx", "A 72480-2021")</f>
        <v/>
      </c>
      <c r="Y742">
        <f>HYPERLINK("https://klasma.github.io/Logging_2510/tillsynsmail/A 72480-2021 tillsynsbegäran mail.docx", "A 72480-2021")</f>
        <v/>
      </c>
    </row>
    <row r="743" ht="15" customHeight="1">
      <c r="A743" t="inlineStr">
        <is>
          <t>A 1090-2022</t>
        </is>
      </c>
      <c r="B743" s="1" t="n">
        <v>44571</v>
      </c>
      <c r="C743" s="1" t="n">
        <v>45758</v>
      </c>
      <c r="D743" t="inlineStr">
        <is>
          <t>NORRBOTTENS LÄN</t>
        </is>
      </c>
      <c r="E743" t="inlineStr">
        <is>
          <t>ÖVERTORNEÅ</t>
        </is>
      </c>
      <c r="G743" t="n">
        <v>23.1</v>
      </c>
      <c r="H743" t="n">
        <v>0</v>
      </c>
      <c r="I743" t="n">
        <v>1</v>
      </c>
      <c r="J743" t="n">
        <v>0</v>
      </c>
      <c r="K743" t="n">
        <v>0</v>
      </c>
      <c r="L743" t="n">
        <v>0</v>
      </c>
      <c r="M743" t="n">
        <v>0</v>
      </c>
      <c r="N743" t="n">
        <v>0</v>
      </c>
      <c r="O743" t="n">
        <v>0</v>
      </c>
      <c r="P743" t="n">
        <v>0</v>
      </c>
      <c r="Q743" t="n">
        <v>1</v>
      </c>
      <c r="R743" s="2" t="inlineStr">
        <is>
          <t>Grönpyrola</t>
        </is>
      </c>
      <c r="S743">
        <f>HYPERLINK("https://klasma.github.io/Logging_2518/artfynd/A 1090-2022 artfynd.xlsx", "A 1090-2022")</f>
        <v/>
      </c>
      <c r="T743">
        <f>HYPERLINK("https://klasma.github.io/Logging_2518/kartor/A 1090-2022 karta.png", "A 1090-2022")</f>
        <v/>
      </c>
      <c r="V743">
        <f>HYPERLINK("https://klasma.github.io/Logging_2518/klagomål/A 1090-2022 FSC-klagomål.docx", "A 1090-2022")</f>
        <v/>
      </c>
      <c r="W743">
        <f>HYPERLINK("https://klasma.github.io/Logging_2518/klagomålsmail/A 1090-2022 FSC-klagomål mail.docx", "A 1090-2022")</f>
        <v/>
      </c>
      <c r="X743">
        <f>HYPERLINK("https://klasma.github.io/Logging_2518/tillsyn/A 1090-2022 tillsynsbegäran.docx", "A 1090-2022")</f>
        <v/>
      </c>
      <c r="Y743">
        <f>HYPERLINK("https://klasma.github.io/Logging_2518/tillsynsmail/A 1090-2022 tillsynsbegäran mail.docx", "A 1090-2022")</f>
        <v/>
      </c>
    </row>
    <row r="744" ht="15" customHeight="1">
      <c r="A744" t="inlineStr">
        <is>
          <t>A 7960-2022</t>
        </is>
      </c>
      <c r="B744" s="1" t="n">
        <v>44608</v>
      </c>
      <c r="C744" s="1" t="n">
        <v>45758</v>
      </c>
      <c r="D744" t="inlineStr">
        <is>
          <t>NORRBOTTENS LÄN</t>
        </is>
      </c>
      <c r="E744" t="inlineStr">
        <is>
          <t>PAJALA</t>
        </is>
      </c>
      <c r="F744" t="inlineStr">
        <is>
          <t>SCA</t>
        </is>
      </c>
      <c r="G744" t="n">
        <v>4.9</v>
      </c>
      <c r="H744" t="n">
        <v>0</v>
      </c>
      <c r="I744" t="n">
        <v>0</v>
      </c>
      <c r="J744" t="n">
        <v>1</v>
      </c>
      <c r="K744" t="n">
        <v>0</v>
      </c>
      <c r="L744" t="n">
        <v>0</v>
      </c>
      <c r="M744" t="n">
        <v>0</v>
      </c>
      <c r="N744" t="n">
        <v>0</v>
      </c>
      <c r="O744" t="n">
        <v>1</v>
      </c>
      <c r="P744" t="n">
        <v>0</v>
      </c>
      <c r="Q744" t="n">
        <v>1</v>
      </c>
      <c r="R744" s="2" t="inlineStr">
        <is>
          <t>Gammelgransskål</t>
        </is>
      </c>
      <c r="S744">
        <f>HYPERLINK("https://klasma.github.io/Logging_2521/artfynd/A 7960-2022 artfynd.xlsx", "A 7960-2022")</f>
        <v/>
      </c>
      <c r="T744">
        <f>HYPERLINK("https://klasma.github.io/Logging_2521/kartor/A 7960-2022 karta.png", "A 7960-2022")</f>
        <v/>
      </c>
      <c r="V744">
        <f>HYPERLINK("https://klasma.github.io/Logging_2521/klagomål/A 7960-2022 FSC-klagomål.docx", "A 7960-2022")</f>
        <v/>
      </c>
      <c r="W744">
        <f>HYPERLINK("https://klasma.github.io/Logging_2521/klagomålsmail/A 7960-2022 FSC-klagomål mail.docx", "A 7960-2022")</f>
        <v/>
      </c>
      <c r="X744">
        <f>HYPERLINK("https://klasma.github.io/Logging_2521/tillsyn/A 7960-2022 tillsynsbegäran.docx", "A 7960-2022")</f>
        <v/>
      </c>
      <c r="Y744">
        <f>HYPERLINK("https://klasma.github.io/Logging_2521/tillsynsmail/A 7960-2022 tillsynsbegäran mail.docx", "A 7960-2022")</f>
        <v/>
      </c>
    </row>
    <row r="745" ht="15" customHeight="1">
      <c r="A745" t="inlineStr">
        <is>
          <t>A 12061-2022</t>
        </is>
      </c>
      <c r="B745" s="1" t="n">
        <v>44636</v>
      </c>
      <c r="C745" s="1" t="n">
        <v>45758</v>
      </c>
      <c r="D745" t="inlineStr">
        <is>
          <t>NORRBOTTENS LÄN</t>
        </is>
      </c>
      <c r="E745" t="inlineStr">
        <is>
          <t>PAJALA</t>
        </is>
      </c>
      <c r="G745" t="n">
        <v>36</v>
      </c>
      <c r="H745" t="n">
        <v>0</v>
      </c>
      <c r="I745" t="n">
        <v>1</v>
      </c>
      <c r="J745" t="n">
        <v>0</v>
      </c>
      <c r="K745" t="n">
        <v>0</v>
      </c>
      <c r="L745" t="n">
        <v>0</v>
      </c>
      <c r="M745" t="n">
        <v>0</v>
      </c>
      <c r="N745" t="n">
        <v>0</v>
      </c>
      <c r="O745" t="n">
        <v>0</v>
      </c>
      <c r="P745" t="n">
        <v>0</v>
      </c>
      <c r="Q745" t="n">
        <v>1</v>
      </c>
      <c r="R745" s="2" t="inlineStr">
        <is>
          <t>Grönpyrola</t>
        </is>
      </c>
      <c r="S745">
        <f>HYPERLINK("https://klasma.github.io/Logging_2521/artfynd/A 12061-2022 artfynd.xlsx", "A 12061-2022")</f>
        <v/>
      </c>
      <c r="T745">
        <f>HYPERLINK("https://klasma.github.io/Logging_2521/kartor/A 12061-2022 karta.png", "A 12061-2022")</f>
        <v/>
      </c>
      <c r="V745">
        <f>HYPERLINK("https://klasma.github.io/Logging_2521/klagomål/A 12061-2022 FSC-klagomål.docx", "A 12061-2022")</f>
        <v/>
      </c>
      <c r="W745">
        <f>HYPERLINK("https://klasma.github.io/Logging_2521/klagomålsmail/A 12061-2022 FSC-klagomål mail.docx", "A 12061-2022")</f>
        <v/>
      </c>
      <c r="X745">
        <f>HYPERLINK("https://klasma.github.io/Logging_2521/tillsyn/A 12061-2022 tillsynsbegäran.docx", "A 12061-2022")</f>
        <v/>
      </c>
      <c r="Y745">
        <f>HYPERLINK("https://klasma.github.io/Logging_2521/tillsynsmail/A 12061-2022 tillsynsbegäran mail.docx", "A 12061-2022")</f>
        <v/>
      </c>
    </row>
    <row r="746" ht="15" customHeight="1">
      <c r="A746" t="inlineStr">
        <is>
          <t>A 13467-2022</t>
        </is>
      </c>
      <c r="B746" s="1" t="n">
        <v>44645</v>
      </c>
      <c r="C746" s="1" t="n">
        <v>45758</v>
      </c>
      <c r="D746" t="inlineStr">
        <is>
          <t>NORRBOTTENS LÄN</t>
        </is>
      </c>
      <c r="E746" t="inlineStr">
        <is>
          <t>ÖVERKALIX</t>
        </is>
      </c>
      <c r="G746" t="n">
        <v>6.8</v>
      </c>
      <c r="H746" t="n">
        <v>1</v>
      </c>
      <c r="I746" t="n">
        <v>0</v>
      </c>
      <c r="J746" t="n">
        <v>1</v>
      </c>
      <c r="K746" t="n">
        <v>0</v>
      </c>
      <c r="L746" t="n">
        <v>0</v>
      </c>
      <c r="M746" t="n">
        <v>0</v>
      </c>
      <c r="N746" t="n">
        <v>0</v>
      </c>
      <c r="O746" t="n">
        <v>1</v>
      </c>
      <c r="P746" t="n">
        <v>0</v>
      </c>
      <c r="Q746" t="n">
        <v>1</v>
      </c>
      <c r="R746" s="2" t="inlineStr">
        <is>
          <t>Järpe</t>
        </is>
      </c>
      <c r="S746">
        <f>HYPERLINK("https://klasma.github.io/Logging_2513/artfynd/A 13467-2022 artfynd.xlsx", "A 13467-2022")</f>
        <v/>
      </c>
      <c r="T746">
        <f>HYPERLINK("https://klasma.github.io/Logging_2513/kartor/A 13467-2022 karta.png", "A 13467-2022")</f>
        <v/>
      </c>
      <c r="V746">
        <f>HYPERLINK("https://klasma.github.io/Logging_2513/klagomål/A 13467-2022 FSC-klagomål.docx", "A 13467-2022")</f>
        <v/>
      </c>
      <c r="W746">
        <f>HYPERLINK("https://klasma.github.io/Logging_2513/klagomålsmail/A 13467-2022 FSC-klagomål mail.docx", "A 13467-2022")</f>
        <v/>
      </c>
      <c r="X746">
        <f>HYPERLINK("https://klasma.github.io/Logging_2513/tillsyn/A 13467-2022 tillsynsbegäran.docx", "A 13467-2022")</f>
        <v/>
      </c>
      <c r="Y746">
        <f>HYPERLINK("https://klasma.github.io/Logging_2513/tillsynsmail/A 13467-2022 tillsynsbegäran mail.docx", "A 13467-2022")</f>
        <v/>
      </c>
      <c r="Z746">
        <f>HYPERLINK("https://klasma.github.io/Logging_2513/fåglar/A 13467-2022 prioriterade fågelarter.docx", "A 13467-2022")</f>
        <v/>
      </c>
    </row>
    <row r="747" ht="15" customHeight="1">
      <c r="A747" t="inlineStr">
        <is>
          <t>A 13647-2022</t>
        </is>
      </c>
      <c r="B747" s="1" t="n">
        <v>44648</v>
      </c>
      <c r="C747" s="1" t="n">
        <v>45758</v>
      </c>
      <c r="D747" t="inlineStr">
        <is>
          <t>NORRBOTTENS LÄN</t>
        </is>
      </c>
      <c r="E747" t="inlineStr">
        <is>
          <t>BODEN</t>
        </is>
      </c>
      <c r="F747" t="inlineStr">
        <is>
          <t>Sveaskog</t>
        </is>
      </c>
      <c r="G747" t="n">
        <v>3.8</v>
      </c>
      <c r="H747" t="n">
        <v>0</v>
      </c>
      <c r="I747" t="n">
        <v>0</v>
      </c>
      <c r="J747" t="n">
        <v>1</v>
      </c>
      <c r="K747" t="n">
        <v>0</v>
      </c>
      <c r="L747" t="n">
        <v>0</v>
      </c>
      <c r="M747" t="n">
        <v>0</v>
      </c>
      <c r="N747" t="n">
        <v>0</v>
      </c>
      <c r="O747" t="n">
        <v>1</v>
      </c>
      <c r="P747" t="n">
        <v>0</v>
      </c>
      <c r="Q747" t="n">
        <v>1</v>
      </c>
      <c r="R747" s="2" t="inlineStr">
        <is>
          <t>Gammelgransskål</t>
        </is>
      </c>
      <c r="S747">
        <f>HYPERLINK("https://klasma.github.io/Logging_2582/artfynd/A 13647-2022 artfynd.xlsx", "A 13647-2022")</f>
        <v/>
      </c>
      <c r="T747">
        <f>HYPERLINK("https://klasma.github.io/Logging_2582/kartor/A 13647-2022 karta.png", "A 13647-2022")</f>
        <v/>
      </c>
      <c r="V747">
        <f>HYPERLINK("https://klasma.github.io/Logging_2582/klagomål/A 13647-2022 FSC-klagomål.docx", "A 13647-2022")</f>
        <v/>
      </c>
      <c r="W747">
        <f>HYPERLINK("https://klasma.github.io/Logging_2582/klagomålsmail/A 13647-2022 FSC-klagomål mail.docx", "A 13647-2022")</f>
        <v/>
      </c>
      <c r="X747">
        <f>HYPERLINK("https://klasma.github.io/Logging_2582/tillsyn/A 13647-2022 tillsynsbegäran.docx", "A 13647-2022")</f>
        <v/>
      </c>
      <c r="Y747">
        <f>HYPERLINK("https://klasma.github.io/Logging_2582/tillsynsmail/A 13647-2022 tillsynsbegäran mail.docx", "A 13647-2022")</f>
        <v/>
      </c>
    </row>
    <row r="748" ht="15" customHeight="1">
      <c r="A748" t="inlineStr">
        <is>
          <t>A 14904-2022</t>
        </is>
      </c>
      <c r="B748" s="1" t="n">
        <v>44656</v>
      </c>
      <c r="C748" s="1" t="n">
        <v>45758</v>
      </c>
      <c r="D748" t="inlineStr">
        <is>
          <t>NORRBOTTENS LÄN</t>
        </is>
      </c>
      <c r="E748" t="inlineStr">
        <is>
          <t>ÖVERKALIX</t>
        </is>
      </c>
      <c r="F748" t="inlineStr">
        <is>
          <t>SCA</t>
        </is>
      </c>
      <c r="G748" t="n">
        <v>72.2</v>
      </c>
      <c r="H748" t="n">
        <v>1</v>
      </c>
      <c r="I748" t="n">
        <v>0</v>
      </c>
      <c r="J748" t="n">
        <v>0</v>
      </c>
      <c r="K748" t="n">
        <v>0</v>
      </c>
      <c r="L748" t="n">
        <v>0</v>
      </c>
      <c r="M748" t="n">
        <v>0</v>
      </c>
      <c r="N748" t="n">
        <v>0</v>
      </c>
      <c r="O748" t="n">
        <v>0</v>
      </c>
      <c r="P748" t="n">
        <v>0</v>
      </c>
      <c r="Q748" t="n">
        <v>1</v>
      </c>
      <c r="R748" s="2" t="inlineStr">
        <is>
          <t>Fläcknycklar</t>
        </is>
      </c>
      <c r="S748">
        <f>HYPERLINK("https://klasma.github.io/Logging_2513/artfynd/A 14904-2022 artfynd.xlsx", "A 14904-2022")</f>
        <v/>
      </c>
      <c r="T748">
        <f>HYPERLINK("https://klasma.github.io/Logging_2513/kartor/A 14904-2022 karta.png", "A 14904-2022")</f>
        <v/>
      </c>
      <c r="V748">
        <f>HYPERLINK("https://klasma.github.io/Logging_2513/klagomål/A 14904-2022 FSC-klagomål.docx", "A 14904-2022")</f>
        <v/>
      </c>
      <c r="W748">
        <f>HYPERLINK("https://klasma.github.io/Logging_2513/klagomålsmail/A 14904-2022 FSC-klagomål mail.docx", "A 14904-2022")</f>
        <v/>
      </c>
      <c r="X748">
        <f>HYPERLINK("https://klasma.github.io/Logging_2513/tillsyn/A 14904-2022 tillsynsbegäran.docx", "A 14904-2022")</f>
        <v/>
      </c>
      <c r="Y748">
        <f>HYPERLINK("https://klasma.github.io/Logging_2513/tillsynsmail/A 14904-2022 tillsynsbegäran mail.docx", "A 14904-2022")</f>
        <v/>
      </c>
    </row>
    <row r="749" ht="15" customHeight="1">
      <c r="A749" t="inlineStr">
        <is>
          <t>A 15137-2022</t>
        </is>
      </c>
      <c r="B749" s="1" t="n">
        <v>44658</v>
      </c>
      <c r="C749" s="1" t="n">
        <v>45758</v>
      </c>
      <c r="D749" t="inlineStr">
        <is>
          <t>NORRBOTTENS LÄN</t>
        </is>
      </c>
      <c r="E749" t="inlineStr">
        <is>
          <t>ÖVERKALIX</t>
        </is>
      </c>
      <c r="G749" t="n">
        <v>5.7</v>
      </c>
      <c r="H749" t="n">
        <v>0</v>
      </c>
      <c r="I749" t="n">
        <v>0</v>
      </c>
      <c r="J749" t="n">
        <v>1</v>
      </c>
      <c r="K749" t="n">
        <v>0</v>
      </c>
      <c r="L749" t="n">
        <v>0</v>
      </c>
      <c r="M749" t="n">
        <v>0</v>
      </c>
      <c r="N749" t="n">
        <v>0</v>
      </c>
      <c r="O749" t="n">
        <v>1</v>
      </c>
      <c r="P749" t="n">
        <v>0</v>
      </c>
      <c r="Q749" t="n">
        <v>1</v>
      </c>
      <c r="R749" s="2" t="inlineStr">
        <is>
          <t>Kortskaftad ärgspik</t>
        </is>
      </c>
      <c r="S749">
        <f>HYPERLINK("https://klasma.github.io/Logging_2513/artfynd/A 15137-2022 artfynd.xlsx", "A 15137-2022")</f>
        <v/>
      </c>
      <c r="T749">
        <f>HYPERLINK("https://klasma.github.io/Logging_2513/kartor/A 15137-2022 karta.png", "A 15137-2022")</f>
        <v/>
      </c>
      <c r="V749">
        <f>HYPERLINK("https://klasma.github.io/Logging_2513/klagomål/A 15137-2022 FSC-klagomål.docx", "A 15137-2022")</f>
        <v/>
      </c>
      <c r="W749">
        <f>HYPERLINK("https://klasma.github.io/Logging_2513/klagomålsmail/A 15137-2022 FSC-klagomål mail.docx", "A 15137-2022")</f>
        <v/>
      </c>
      <c r="X749">
        <f>HYPERLINK("https://klasma.github.io/Logging_2513/tillsyn/A 15137-2022 tillsynsbegäran.docx", "A 15137-2022")</f>
        <v/>
      </c>
      <c r="Y749">
        <f>HYPERLINK("https://klasma.github.io/Logging_2513/tillsynsmail/A 15137-2022 tillsynsbegäran mail.docx", "A 15137-2022")</f>
        <v/>
      </c>
    </row>
    <row r="750" ht="15" customHeight="1">
      <c r="A750" t="inlineStr">
        <is>
          <t>A 16470-2022</t>
        </is>
      </c>
      <c r="B750" s="1" t="n">
        <v>44671</v>
      </c>
      <c r="C750" s="1" t="n">
        <v>45758</v>
      </c>
      <c r="D750" t="inlineStr">
        <is>
          <t>NORRBOTTENS LÄN</t>
        </is>
      </c>
      <c r="E750" t="inlineStr">
        <is>
          <t>ÄLVSBYN</t>
        </is>
      </c>
      <c r="F750" t="inlineStr">
        <is>
          <t>Sveaskog</t>
        </is>
      </c>
      <c r="G750" t="n">
        <v>6.6</v>
      </c>
      <c r="H750" t="n">
        <v>0</v>
      </c>
      <c r="I750" t="n">
        <v>0</v>
      </c>
      <c r="J750" t="n">
        <v>1</v>
      </c>
      <c r="K750" t="n">
        <v>0</v>
      </c>
      <c r="L750" t="n">
        <v>0</v>
      </c>
      <c r="M750" t="n">
        <v>0</v>
      </c>
      <c r="N750" t="n">
        <v>0</v>
      </c>
      <c r="O750" t="n">
        <v>1</v>
      </c>
      <c r="P750" t="n">
        <v>0</v>
      </c>
      <c r="Q750" t="n">
        <v>1</v>
      </c>
      <c r="R750" s="2" t="inlineStr">
        <is>
          <t>Tallticka</t>
        </is>
      </c>
      <c r="S750">
        <f>HYPERLINK("https://klasma.github.io/Logging_2560/artfynd/A 16470-2022 artfynd.xlsx", "A 16470-2022")</f>
        <v/>
      </c>
      <c r="T750">
        <f>HYPERLINK("https://klasma.github.io/Logging_2560/kartor/A 16470-2022 karta.png", "A 16470-2022")</f>
        <v/>
      </c>
      <c r="V750">
        <f>HYPERLINK("https://klasma.github.io/Logging_2560/klagomål/A 16470-2022 FSC-klagomål.docx", "A 16470-2022")</f>
        <v/>
      </c>
      <c r="W750">
        <f>HYPERLINK("https://klasma.github.io/Logging_2560/klagomålsmail/A 16470-2022 FSC-klagomål mail.docx", "A 16470-2022")</f>
        <v/>
      </c>
      <c r="X750">
        <f>HYPERLINK("https://klasma.github.io/Logging_2560/tillsyn/A 16470-2022 tillsynsbegäran.docx", "A 16470-2022")</f>
        <v/>
      </c>
      <c r="Y750">
        <f>HYPERLINK("https://klasma.github.io/Logging_2560/tillsynsmail/A 16470-2022 tillsynsbegäran mail.docx", "A 16470-2022")</f>
        <v/>
      </c>
    </row>
    <row r="751" ht="15" customHeight="1">
      <c r="A751" t="inlineStr">
        <is>
          <t>A 19396-2022</t>
        </is>
      </c>
      <c r="B751" s="1" t="n">
        <v>44692</v>
      </c>
      <c r="C751" s="1" t="n">
        <v>45758</v>
      </c>
      <c r="D751" t="inlineStr">
        <is>
          <t>NORRBOTTENS LÄN</t>
        </is>
      </c>
      <c r="E751" t="inlineStr">
        <is>
          <t>BODEN</t>
        </is>
      </c>
      <c r="F751" t="inlineStr">
        <is>
          <t>SCA</t>
        </is>
      </c>
      <c r="G751" t="n">
        <v>13.1</v>
      </c>
      <c r="H751" t="n">
        <v>0</v>
      </c>
      <c r="I751" t="n">
        <v>0</v>
      </c>
      <c r="J751" t="n">
        <v>1</v>
      </c>
      <c r="K751" t="n">
        <v>0</v>
      </c>
      <c r="L751" t="n">
        <v>0</v>
      </c>
      <c r="M751" t="n">
        <v>0</v>
      </c>
      <c r="N751" t="n">
        <v>0</v>
      </c>
      <c r="O751" t="n">
        <v>1</v>
      </c>
      <c r="P751" t="n">
        <v>0</v>
      </c>
      <c r="Q751" t="n">
        <v>1</v>
      </c>
      <c r="R751" s="2" t="inlineStr">
        <is>
          <t>Tallticka</t>
        </is>
      </c>
      <c r="S751">
        <f>HYPERLINK("https://klasma.github.io/Logging_2582/artfynd/A 19396-2022 artfynd.xlsx", "A 19396-2022")</f>
        <v/>
      </c>
      <c r="T751">
        <f>HYPERLINK("https://klasma.github.io/Logging_2582/kartor/A 19396-2022 karta.png", "A 19396-2022")</f>
        <v/>
      </c>
      <c r="V751">
        <f>HYPERLINK("https://klasma.github.io/Logging_2582/klagomål/A 19396-2022 FSC-klagomål.docx", "A 19396-2022")</f>
        <v/>
      </c>
      <c r="W751">
        <f>HYPERLINK("https://klasma.github.io/Logging_2582/klagomålsmail/A 19396-2022 FSC-klagomål mail.docx", "A 19396-2022")</f>
        <v/>
      </c>
      <c r="X751">
        <f>HYPERLINK("https://klasma.github.io/Logging_2582/tillsyn/A 19396-2022 tillsynsbegäran.docx", "A 19396-2022")</f>
        <v/>
      </c>
      <c r="Y751">
        <f>HYPERLINK("https://klasma.github.io/Logging_2582/tillsynsmail/A 19396-2022 tillsynsbegäran mail.docx", "A 19396-2022")</f>
        <v/>
      </c>
    </row>
    <row r="752" ht="15" customHeight="1">
      <c r="A752" t="inlineStr">
        <is>
          <t>A 24589-2022</t>
        </is>
      </c>
      <c r="B752" s="1" t="n">
        <v>44727</v>
      </c>
      <c r="C752" s="1" t="n">
        <v>45758</v>
      </c>
      <c r="D752" t="inlineStr">
        <is>
          <t>NORRBOTTENS LÄN</t>
        </is>
      </c>
      <c r="E752" t="inlineStr">
        <is>
          <t>PITEÅ</t>
        </is>
      </c>
      <c r="G752" t="n">
        <v>1.7</v>
      </c>
      <c r="H752" t="n">
        <v>1</v>
      </c>
      <c r="I752" t="n">
        <v>0</v>
      </c>
      <c r="J752" t="n">
        <v>1</v>
      </c>
      <c r="K752" t="n">
        <v>0</v>
      </c>
      <c r="L752" t="n">
        <v>0</v>
      </c>
      <c r="M752" t="n">
        <v>0</v>
      </c>
      <c r="N752" t="n">
        <v>0</v>
      </c>
      <c r="O752" t="n">
        <v>1</v>
      </c>
      <c r="P752" t="n">
        <v>0</v>
      </c>
      <c r="Q752" t="n">
        <v>1</v>
      </c>
      <c r="R752" s="2" t="inlineStr">
        <is>
          <t>Rosenfink</t>
        </is>
      </c>
      <c r="S752">
        <f>HYPERLINK("https://klasma.github.io/Logging_2581/artfynd/A 24589-2022 artfynd.xlsx", "A 24589-2022")</f>
        <v/>
      </c>
      <c r="T752">
        <f>HYPERLINK("https://klasma.github.io/Logging_2581/kartor/A 24589-2022 karta.png", "A 24589-2022")</f>
        <v/>
      </c>
      <c r="V752">
        <f>HYPERLINK("https://klasma.github.io/Logging_2581/klagomål/A 24589-2022 FSC-klagomål.docx", "A 24589-2022")</f>
        <v/>
      </c>
      <c r="W752">
        <f>HYPERLINK("https://klasma.github.io/Logging_2581/klagomålsmail/A 24589-2022 FSC-klagomål mail.docx", "A 24589-2022")</f>
        <v/>
      </c>
      <c r="X752">
        <f>HYPERLINK("https://klasma.github.io/Logging_2581/tillsyn/A 24589-2022 tillsynsbegäran.docx", "A 24589-2022")</f>
        <v/>
      </c>
      <c r="Y752">
        <f>HYPERLINK("https://klasma.github.io/Logging_2581/tillsynsmail/A 24589-2022 tillsynsbegäran mail.docx", "A 24589-2022")</f>
        <v/>
      </c>
      <c r="Z752">
        <f>HYPERLINK("https://klasma.github.io/Logging_2581/fåglar/A 24589-2022 prioriterade fågelarter.docx", "A 24589-2022")</f>
        <v/>
      </c>
    </row>
    <row r="753" ht="15" customHeight="1">
      <c r="A753" t="inlineStr">
        <is>
          <t>A 25651-2022</t>
        </is>
      </c>
      <c r="B753" s="1" t="n">
        <v>44732</v>
      </c>
      <c r="C753" s="1" t="n">
        <v>45758</v>
      </c>
      <c r="D753" t="inlineStr">
        <is>
          <t>NORRBOTTENS LÄN</t>
        </is>
      </c>
      <c r="E753" t="inlineStr">
        <is>
          <t>ÖVERKALIX</t>
        </is>
      </c>
      <c r="F753" t="inlineStr">
        <is>
          <t>SCA</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HYPERLINK("https://klasma.github.io/Logging_2513/artfynd/A 25651-2022 artfynd.xlsx", "A 25651-2022")</f>
        <v/>
      </c>
      <c r="T753">
        <f>HYPERLINK("https://klasma.github.io/Logging_2513/kartor/A 25651-2022 karta.png", "A 25651-2022")</f>
        <v/>
      </c>
      <c r="V753">
        <f>HYPERLINK("https://klasma.github.io/Logging_2513/klagomål/A 25651-2022 FSC-klagomål.docx", "A 25651-2022")</f>
        <v/>
      </c>
      <c r="W753">
        <f>HYPERLINK("https://klasma.github.io/Logging_2513/klagomålsmail/A 25651-2022 FSC-klagomål mail.docx", "A 25651-2022")</f>
        <v/>
      </c>
      <c r="X753">
        <f>HYPERLINK("https://klasma.github.io/Logging_2513/tillsyn/A 25651-2022 tillsynsbegäran.docx", "A 25651-2022")</f>
        <v/>
      </c>
      <c r="Y753">
        <f>HYPERLINK("https://klasma.github.io/Logging_2513/tillsynsmail/A 25651-2022 tillsynsbegäran mail.docx", "A 25651-2022")</f>
        <v/>
      </c>
    </row>
    <row r="754" ht="15" customHeight="1">
      <c r="A754" t="inlineStr">
        <is>
          <t>A 25729-2022</t>
        </is>
      </c>
      <c r="B754" s="1" t="n">
        <v>44733</v>
      </c>
      <c r="C754" s="1" t="n">
        <v>45758</v>
      </c>
      <c r="D754" t="inlineStr">
        <is>
          <t>NORRBOTTENS LÄN</t>
        </is>
      </c>
      <c r="E754" t="inlineStr">
        <is>
          <t>LULEÅ</t>
        </is>
      </c>
      <c r="G754" t="n">
        <v>3.5</v>
      </c>
      <c r="H754" t="n">
        <v>0</v>
      </c>
      <c r="I754" t="n">
        <v>0</v>
      </c>
      <c r="J754" t="n">
        <v>0</v>
      </c>
      <c r="K754" t="n">
        <v>1</v>
      </c>
      <c r="L754" t="n">
        <v>0</v>
      </c>
      <c r="M754" t="n">
        <v>0</v>
      </c>
      <c r="N754" t="n">
        <v>0</v>
      </c>
      <c r="O754" t="n">
        <v>1</v>
      </c>
      <c r="P754" t="n">
        <v>1</v>
      </c>
      <c r="Q754" t="n">
        <v>1</v>
      </c>
      <c r="R754" s="2" t="inlineStr">
        <is>
          <t>Ostticka</t>
        </is>
      </c>
      <c r="S754">
        <f>HYPERLINK("https://klasma.github.io/Logging_2580/artfynd/A 25729-2022 artfynd.xlsx", "A 25729-2022")</f>
        <v/>
      </c>
      <c r="T754">
        <f>HYPERLINK("https://klasma.github.io/Logging_2580/kartor/A 25729-2022 karta.png", "A 25729-2022")</f>
        <v/>
      </c>
      <c r="V754">
        <f>HYPERLINK("https://klasma.github.io/Logging_2580/klagomål/A 25729-2022 FSC-klagomål.docx", "A 25729-2022")</f>
        <v/>
      </c>
      <c r="W754">
        <f>HYPERLINK("https://klasma.github.io/Logging_2580/klagomålsmail/A 25729-2022 FSC-klagomål mail.docx", "A 25729-2022")</f>
        <v/>
      </c>
      <c r="X754">
        <f>HYPERLINK("https://klasma.github.io/Logging_2580/tillsyn/A 25729-2022 tillsynsbegäran.docx", "A 25729-2022")</f>
        <v/>
      </c>
      <c r="Y754">
        <f>HYPERLINK("https://klasma.github.io/Logging_2580/tillsynsmail/A 25729-2022 tillsynsbegäran mail.docx", "A 25729-2022")</f>
        <v/>
      </c>
    </row>
    <row r="755" ht="15" customHeight="1">
      <c r="A755" t="inlineStr">
        <is>
          <t>A 30095-2022</t>
        </is>
      </c>
      <c r="B755" s="1" t="n">
        <v>44757</v>
      </c>
      <c r="C755" s="1" t="n">
        <v>45758</v>
      </c>
      <c r="D755" t="inlineStr">
        <is>
          <t>NORRBOTTENS LÄN</t>
        </is>
      </c>
      <c r="E755" t="inlineStr">
        <is>
          <t>LULEÅ</t>
        </is>
      </c>
      <c r="G755" t="n">
        <v>27.7</v>
      </c>
      <c r="H755" t="n">
        <v>1</v>
      </c>
      <c r="I755" t="n">
        <v>0</v>
      </c>
      <c r="J755" t="n">
        <v>0</v>
      </c>
      <c r="K755" t="n">
        <v>1</v>
      </c>
      <c r="L755" t="n">
        <v>0</v>
      </c>
      <c r="M755" t="n">
        <v>0</v>
      </c>
      <c r="N755" t="n">
        <v>0</v>
      </c>
      <c r="O755" t="n">
        <v>1</v>
      </c>
      <c r="P755" t="n">
        <v>1</v>
      </c>
      <c r="Q755" t="n">
        <v>1</v>
      </c>
      <c r="R755" s="2" t="inlineStr">
        <is>
          <t>Knärot</t>
        </is>
      </c>
      <c r="S755">
        <f>HYPERLINK("https://klasma.github.io/Logging_2580/artfynd/A 30095-2022 artfynd.xlsx", "A 30095-2022")</f>
        <v/>
      </c>
      <c r="T755">
        <f>HYPERLINK("https://klasma.github.io/Logging_2580/kartor/A 30095-2022 karta.png", "A 30095-2022")</f>
        <v/>
      </c>
      <c r="U755">
        <f>HYPERLINK("https://klasma.github.io/Logging_2580/knärot/A 30095-2022 karta knärot.png", "A 30095-2022")</f>
        <v/>
      </c>
      <c r="V755">
        <f>HYPERLINK("https://klasma.github.io/Logging_2580/klagomål/A 30095-2022 FSC-klagomål.docx", "A 30095-2022")</f>
        <v/>
      </c>
      <c r="W755">
        <f>HYPERLINK("https://klasma.github.io/Logging_2580/klagomålsmail/A 30095-2022 FSC-klagomål mail.docx", "A 30095-2022")</f>
        <v/>
      </c>
      <c r="X755">
        <f>HYPERLINK("https://klasma.github.io/Logging_2580/tillsyn/A 30095-2022 tillsynsbegäran.docx", "A 30095-2022")</f>
        <v/>
      </c>
      <c r="Y755">
        <f>HYPERLINK("https://klasma.github.io/Logging_2580/tillsynsmail/A 30095-2022 tillsynsbegäran mail.docx", "A 30095-2022")</f>
        <v/>
      </c>
    </row>
    <row r="756" ht="15" customHeight="1">
      <c r="A756" t="inlineStr">
        <is>
          <t>A 33029-2022</t>
        </is>
      </c>
      <c r="B756" s="1" t="n">
        <v>44785</v>
      </c>
      <c r="C756" s="1" t="n">
        <v>45758</v>
      </c>
      <c r="D756" t="inlineStr">
        <is>
          <t>NORRBOTTENS LÄN</t>
        </is>
      </c>
      <c r="E756" t="inlineStr">
        <is>
          <t>ÖVERTORNEÅ</t>
        </is>
      </c>
      <c r="G756" t="n">
        <v>10.3</v>
      </c>
      <c r="H756" t="n">
        <v>1</v>
      </c>
      <c r="I756" t="n">
        <v>0</v>
      </c>
      <c r="J756" t="n">
        <v>0</v>
      </c>
      <c r="K756" t="n">
        <v>0</v>
      </c>
      <c r="L756" t="n">
        <v>0</v>
      </c>
      <c r="M756" t="n">
        <v>0</v>
      </c>
      <c r="N756" t="n">
        <v>0</v>
      </c>
      <c r="O756" t="n">
        <v>0</v>
      </c>
      <c r="P756" t="n">
        <v>0</v>
      </c>
      <c r="Q756" t="n">
        <v>1</v>
      </c>
      <c r="R756" s="2" t="inlineStr">
        <is>
          <t>Fläcknycklar</t>
        </is>
      </c>
      <c r="S756">
        <f>HYPERLINK("https://klasma.github.io/Logging_2518/artfynd/A 33029-2022 artfynd.xlsx", "A 33029-2022")</f>
        <v/>
      </c>
      <c r="T756">
        <f>HYPERLINK("https://klasma.github.io/Logging_2518/kartor/A 33029-2022 karta.png", "A 33029-2022")</f>
        <v/>
      </c>
      <c r="V756">
        <f>HYPERLINK("https://klasma.github.io/Logging_2518/klagomål/A 33029-2022 FSC-klagomål.docx", "A 33029-2022")</f>
        <v/>
      </c>
      <c r="W756">
        <f>HYPERLINK("https://klasma.github.io/Logging_2518/klagomålsmail/A 33029-2022 FSC-klagomål mail.docx", "A 33029-2022")</f>
        <v/>
      </c>
      <c r="X756">
        <f>HYPERLINK("https://klasma.github.io/Logging_2518/tillsyn/A 33029-2022 tillsynsbegäran.docx", "A 33029-2022")</f>
        <v/>
      </c>
      <c r="Y756">
        <f>HYPERLINK("https://klasma.github.io/Logging_2518/tillsynsmail/A 33029-2022 tillsynsbegäran mail.docx", "A 33029-2022")</f>
        <v/>
      </c>
    </row>
    <row r="757" ht="15" customHeight="1">
      <c r="A757" t="inlineStr">
        <is>
          <t>A 33740-2022</t>
        </is>
      </c>
      <c r="B757" s="1" t="n">
        <v>44790</v>
      </c>
      <c r="C757" s="1" t="n">
        <v>45758</v>
      </c>
      <c r="D757" t="inlineStr">
        <is>
          <t>NORRBOTTENS LÄN</t>
        </is>
      </c>
      <c r="E757" t="inlineStr">
        <is>
          <t>BODEN</t>
        </is>
      </c>
      <c r="F757" t="inlineStr">
        <is>
          <t>SCA</t>
        </is>
      </c>
      <c r="G757" t="n">
        <v>4.9</v>
      </c>
      <c r="H757" t="n">
        <v>1</v>
      </c>
      <c r="I757" t="n">
        <v>0</v>
      </c>
      <c r="J757" t="n">
        <v>0</v>
      </c>
      <c r="K757" t="n">
        <v>0</v>
      </c>
      <c r="L757" t="n">
        <v>0</v>
      </c>
      <c r="M757" t="n">
        <v>0</v>
      </c>
      <c r="N757" t="n">
        <v>0</v>
      </c>
      <c r="O757" t="n">
        <v>0</v>
      </c>
      <c r="P757" t="n">
        <v>0</v>
      </c>
      <c r="Q757" t="n">
        <v>1</v>
      </c>
      <c r="R757" s="2" t="inlineStr">
        <is>
          <t>Revlummer</t>
        </is>
      </c>
      <c r="S757">
        <f>HYPERLINK("https://klasma.github.io/Logging_2582/artfynd/A 33740-2022 artfynd.xlsx", "A 33740-2022")</f>
        <v/>
      </c>
      <c r="T757">
        <f>HYPERLINK("https://klasma.github.io/Logging_2582/kartor/A 33740-2022 karta.png", "A 33740-2022")</f>
        <v/>
      </c>
      <c r="V757">
        <f>HYPERLINK("https://klasma.github.io/Logging_2582/klagomål/A 33740-2022 FSC-klagomål.docx", "A 33740-2022")</f>
        <v/>
      </c>
      <c r="W757">
        <f>HYPERLINK("https://klasma.github.io/Logging_2582/klagomålsmail/A 33740-2022 FSC-klagomål mail.docx", "A 33740-2022")</f>
        <v/>
      </c>
      <c r="X757">
        <f>HYPERLINK("https://klasma.github.io/Logging_2582/tillsyn/A 33740-2022 tillsynsbegäran.docx", "A 33740-2022")</f>
        <v/>
      </c>
      <c r="Y757">
        <f>HYPERLINK("https://klasma.github.io/Logging_2582/tillsynsmail/A 33740-2022 tillsynsbegäran mail.docx", "A 33740-2022")</f>
        <v/>
      </c>
    </row>
    <row r="758" ht="15" customHeight="1">
      <c r="A758" t="inlineStr">
        <is>
          <t>A 34186-2022</t>
        </is>
      </c>
      <c r="B758" s="1" t="n">
        <v>44791</v>
      </c>
      <c r="C758" s="1" t="n">
        <v>45758</v>
      </c>
      <c r="D758" t="inlineStr">
        <is>
          <t>NORRBOTTENS LÄN</t>
        </is>
      </c>
      <c r="E758" t="inlineStr">
        <is>
          <t>ÖVERTORNEÅ</t>
        </is>
      </c>
      <c r="F758" t="inlineStr">
        <is>
          <t>Sveaskog</t>
        </is>
      </c>
      <c r="G758" t="n">
        <v>33</v>
      </c>
      <c r="H758" t="n">
        <v>0</v>
      </c>
      <c r="I758" t="n">
        <v>1</v>
      </c>
      <c r="J758" t="n">
        <v>0</v>
      </c>
      <c r="K758" t="n">
        <v>0</v>
      </c>
      <c r="L758" t="n">
        <v>0</v>
      </c>
      <c r="M758" t="n">
        <v>0</v>
      </c>
      <c r="N758" t="n">
        <v>0</v>
      </c>
      <c r="O758" t="n">
        <v>0</v>
      </c>
      <c r="P758" t="n">
        <v>0</v>
      </c>
      <c r="Q758" t="n">
        <v>1</v>
      </c>
      <c r="R758" s="2" t="inlineStr">
        <is>
          <t>Stor aspticka</t>
        </is>
      </c>
      <c r="S758">
        <f>HYPERLINK("https://klasma.github.io/Logging_2518/artfynd/A 34186-2022 artfynd.xlsx", "A 34186-2022")</f>
        <v/>
      </c>
      <c r="T758">
        <f>HYPERLINK("https://klasma.github.io/Logging_2518/kartor/A 34186-2022 karta.png", "A 34186-2022")</f>
        <v/>
      </c>
      <c r="V758">
        <f>HYPERLINK("https://klasma.github.io/Logging_2518/klagomål/A 34186-2022 FSC-klagomål.docx", "A 34186-2022")</f>
        <v/>
      </c>
      <c r="W758">
        <f>HYPERLINK("https://klasma.github.io/Logging_2518/klagomålsmail/A 34186-2022 FSC-klagomål mail.docx", "A 34186-2022")</f>
        <v/>
      </c>
      <c r="X758">
        <f>HYPERLINK("https://klasma.github.io/Logging_2518/tillsyn/A 34186-2022 tillsynsbegäran.docx", "A 34186-2022")</f>
        <v/>
      </c>
      <c r="Y758">
        <f>HYPERLINK("https://klasma.github.io/Logging_2518/tillsynsmail/A 34186-2022 tillsynsbegäran mail.docx", "A 34186-2022")</f>
        <v/>
      </c>
    </row>
    <row r="759" ht="15" customHeight="1">
      <c r="A759" t="inlineStr">
        <is>
          <t>A 34022-2022</t>
        </is>
      </c>
      <c r="B759" s="1" t="n">
        <v>44791</v>
      </c>
      <c r="C759" s="1" t="n">
        <v>45758</v>
      </c>
      <c r="D759" t="inlineStr">
        <is>
          <t>NORRBOTTENS LÄN</t>
        </is>
      </c>
      <c r="E759" t="inlineStr">
        <is>
          <t>ÄLVSBYN</t>
        </is>
      </c>
      <c r="F759" t="inlineStr">
        <is>
          <t>Sveaskog</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HYPERLINK("https://klasma.github.io/Logging_2560/artfynd/A 34022-2022 artfynd.xlsx", "A 34022-2022")</f>
        <v/>
      </c>
      <c r="T759">
        <f>HYPERLINK("https://klasma.github.io/Logging_2560/kartor/A 34022-2022 karta.png", "A 34022-2022")</f>
        <v/>
      </c>
      <c r="V759">
        <f>HYPERLINK("https://klasma.github.io/Logging_2560/klagomål/A 34022-2022 FSC-klagomål.docx", "A 34022-2022")</f>
        <v/>
      </c>
      <c r="W759">
        <f>HYPERLINK("https://klasma.github.io/Logging_2560/klagomålsmail/A 34022-2022 FSC-klagomål mail.docx", "A 34022-2022")</f>
        <v/>
      </c>
      <c r="X759">
        <f>HYPERLINK("https://klasma.github.io/Logging_2560/tillsyn/A 34022-2022 tillsynsbegäran.docx", "A 34022-2022")</f>
        <v/>
      </c>
      <c r="Y759">
        <f>HYPERLINK("https://klasma.github.io/Logging_2560/tillsynsmail/A 34022-2022 tillsynsbegäran mail.docx", "A 34022-2022")</f>
        <v/>
      </c>
    </row>
    <row r="760" ht="15" customHeight="1">
      <c r="A760" t="inlineStr">
        <is>
          <t>A 34184-2022</t>
        </is>
      </c>
      <c r="B760" s="1" t="n">
        <v>44791</v>
      </c>
      <c r="C760" s="1" t="n">
        <v>45758</v>
      </c>
      <c r="D760" t="inlineStr">
        <is>
          <t>NORRBOTTENS LÄN</t>
        </is>
      </c>
      <c r="E760" t="inlineStr">
        <is>
          <t>KALIX</t>
        </is>
      </c>
      <c r="F760" t="inlineStr">
        <is>
          <t>Sveaskog</t>
        </is>
      </c>
      <c r="G760" t="n">
        <v>15.2</v>
      </c>
      <c r="H760" t="n">
        <v>0</v>
      </c>
      <c r="I760" t="n">
        <v>0</v>
      </c>
      <c r="J760" t="n">
        <v>1</v>
      </c>
      <c r="K760" t="n">
        <v>0</v>
      </c>
      <c r="L760" t="n">
        <v>0</v>
      </c>
      <c r="M760" t="n">
        <v>0</v>
      </c>
      <c r="N760" t="n">
        <v>0</v>
      </c>
      <c r="O760" t="n">
        <v>1</v>
      </c>
      <c r="P760" t="n">
        <v>0</v>
      </c>
      <c r="Q760" t="n">
        <v>1</v>
      </c>
      <c r="R760" s="2" t="inlineStr">
        <is>
          <t>Garnlav</t>
        </is>
      </c>
      <c r="S760">
        <f>HYPERLINK("https://klasma.github.io/Logging_2514/artfynd/A 34184-2022 artfynd.xlsx", "A 34184-2022")</f>
        <v/>
      </c>
      <c r="T760">
        <f>HYPERLINK("https://klasma.github.io/Logging_2514/kartor/A 34184-2022 karta.png", "A 34184-2022")</f>
        <v/>
      </c>
      <c r="V760">
        <f>HYPERLINK("https://klasma.github.io/Logging_2514/klagomål/A 34184-2022 FSC-klagomål.docx", "A 34184-2022")</f>
        <v/>
      </c>
      <c r="W760">
        <f>HYPERLINK("https://klasma.github.io/Logging_2514/klagomålsmail/A 34184-2022 FSC-klagomål mail.docx", "A 34184-2022")</f>
        <v/>
      </c>
      <c r="X760">
        <f>HYPERLINK("https://klasma.github.io/Logging_2514/tillsyn/A 34184-2022 tillsynsbegäran.docx", "A 34184-2022")</f>
        <v/>
      </c>
      <c r="Y760">
        <f>HYPERLINK("https://klasma.github.io/Logging_2514/tillsynsmail/A 34184-2022 tillsynsbegäran mail.docx", "A 34184-2022")</f>
        <v/>
      </c>
    </row>
    <row r="761" ht="15" customHeight="1">
      <c r="A761" t="inlineStr">
        <is>
          <t>A 35037-2022</t>
        </is>
      </c>
      <c r="B761" s="1" t="n">
        <v>44796</v>
      </c>
      <c r="C761" s="1" t="n">
        <v>45758</v>
      </c>
      <c r="D761" t="inlineStr">
        <is>
          <t>NORRBOTTENS LÄN</t>
        </is>
      </c>
      <c r="E761" t="inlineStr">
        <is>
          <t>BODEN</t>
        </is>
      </c>
      <c r="G761" t="n">
        <v>0.6</v>
      </c>
      <c r="H761" t="n">
        <v>1</v>
      </c>
      <c r="I761" t="n">
        <v>0</v>
      </c>
      <c r="J761" t="n">
        <v>1</v>
      </c>
      <c r="K761" t="n">
        <v>0</v>
      </c>
      <c r="L761" t="n">
        <v>0</v>
      </c>
      <c r="M761" t="n">
        <v>0</v>
      </c>
      <c r="N761" t="n">
        <v>0</v>
      </c>
      <c r="O761" t="n">
        <v>1</v>
      </c>
      <c r="P761" t="n">
        <v>0</v>
      </c>
      <c r="Q761" t="n">
        <v>1</v>
      </c>
      <c r="R761" s="2" t="inlineStr">
        <is>
          <t>Rödvingetrast</t>
        </is>
      </c>
      <c r="S761">
        <f>HYPERLINK("https://klasma.github.io/Logging_2582/artfynd/A 35037-2022 artfynd.xlsx", "A 35037-2022")</f>
        <v/>
      </c>
      <c r="T761">
        <f>HYPERLINK("https://klasma.github.io/Logging_2582/kartor/A 35037-2022 karta.png", "A 35037-2022")</f>
        <v/>
      </c>
      <c r="V761">
        <f>HYPERLINK("https://klasma.github.io/Logging_2582/klagomål/A 35037-2022 FSC-klagomål.docx", "A 35037-2022")</f>
        <v/>
      </c>
      <c r="W761">
        <f>HYPERLINK("https://klasma.github.io/Logging_2582/klagomålsmail/A 35037-2022 FSC-klagomål mail.docx", "A 35037-2022")</f>
        <v/>
      </c>
      <c r="X761">
        <f>HYPERLINK("https://klasma.github.io/Logging_2582/tillsyn/A 35037-2022 tillsynsbegäran.docx", "A 35037-2022")</f>
        <v/>
      </c>
      <c r="Y761">
        <f>HYPERLINK("https://klasma.github.io/Logging_2582/tillsynsmail/A 35037-2022 tillsynsbegäran mail.docx", "A 35037-2022")</f>
        <v/>
      </c>
      <c r="Z761">
        <f>HYPERLINK("https://klasma.github.io/Logging_2582/fåglar/A 35037-2022 prioriterade fågelarter.docx", "A 35037-2022")</f>
        <v/>
      </c>
    </row>
    <row r="762" ht="15" customHeight="1">
      <c r="A762" t="inlineStr">
        <is>
          <t>A 35547-2022</t>
        </is>
      </c>
      <c r="B762" s="1" t="n">
        <v>44799</v>
      </c>
      <c r="C762" s="1" t="n">
        <v>45758</v>
      </c>
      <c r="D762" t="inlineStr">
        <is>
          <t>NORRBOTTENS LÄN</t>
        </is>
      </c>
      <c r="E762" t="inlineStr">
        <is>
          <t>KALIX</t>
        </is>
      </c>
      <c r="F762" t="inlineStr">
        <is>
          <t>Sveaskog</t>
        </is>
      </c>
      <c r="G762" t="n">
        <v>1.7</v>
      </c>
      <c r="H762" t="n">
        <v>0</v>
      </c>
      <c r="I762" t="n">
        <v>0</v>
      </c>
      <c r="J762" t="n">
        <v>1</v>
      </c>
      <c r="K762" t="n">
        <v>0</v>
      </c>
      <c r="L762" t="n">
        <v>0</v>
      </c>
      <c r="M762" t="n">
        <v>0</v>
      </c>
      <c r="N762" t="n">
        <v>0</v>
      </c>
      <c r="O762" t="n">
        <v>1</v>
      </c>
      <c r="P762" t="n">
        <v>0</v>
      </c>
      <c r="Q762" t="n">
        <v>1</v>
      </c>
      <c r="R762" s="2" t="inlineStr">
        <is>
          <t>Tallticka</t>
        </is>
      </c>
      <c r="S762">
        <f>HYPERLINK("https://klasma.github.io/Logging_2514/artfynd/A 35547-2022 artfynd.xlsx", "A 35547-2022")</f>
        <v/>
      </c>
      <c r="T762">
        <f>HYPERLINK("https://klasma.github.io/Logging_2514/kartor/A 35547-2022 karta.png", "A 35547-2022")</f>
        <v/>
      </c>
      <c r="V762">
        <f>HYPERLINK("https://klasma.github.io/Logging_2514/klagomål/A 35547-2022 FSC-klagomål.docx", "A 35547-2022")</f>
        <v/>
      </c>
      <c r="W762">
        <f>HYPERLINK("https://klasma.github.io/Logging_2514/klagomålsmail/A 35547-2022 FSC-klagomål mail.docx", "A 35547-2022")</f>
        <v/>
      </c>
      <c r="X762">
        <f>HYPERLINK("https://klasma.github.io/Logging_2514/tillsyn/A 35547-2022 tillsynsbegäran.docx", "A 35547-2022")</f>
        <v/>
      </c>
      <c r="Y762">
        <f>HYPERLINK("https://klasma.github.io/Logging_2514/tillsynsmail/A 35547-2022 tillsynsbegäran mail.docx", "A 35547-2022")</f>
        <v/>
      </c>
    </row>
    <row r="763" ht="15" customHeight="1">
      <c r="A763" t="inlineStr">
        <is>
          <t>A 36560-2022</t>
        </is>
      </c>
      <c r="B763" s="1" t="n">
        <v>44804</v>
      </c>
      <c r="C763" s="1" t="n">
        <v>45758</v>
      </c>
      <c r="D763" t="inlineStr">
        <is>
          <t>NORRBOTTENS LÄN</t>
        </is>
      </c>
      <c r="E763" t="inlineStr">
        <is>
          <t>PITEÅ</t>
        </is>
      </c>
      <c r="G763" t="n">
        <v>13.4</v>
      </c>
      <c r="H763" t="n">
        <v>0</v>
      </c>
      <c r="I763" t="n">
        <v>0</v>
      </c>
      <c r="J763" t="n">
        <v>1</v>
      </c>
      <c r="K763" t="n">
        <v>0</v>
      </c>
      <c r="L763" t="n">
        <v>0</v>
      </c>
      <c r="M763" t="n">
        <v>0</v>
      </c>
      <c r="N763" t="n">
        <v>0</v>
      </c>
      <c r="O763" t="n">
        <v>1</v>
      </c>
      <c r="P763" t="n">
        <v>0</v>
      </c>
      <c r="Q763" t="n">
        <v>1</v>
      </c>
      <c r="R763" s="2" t="inlineStr">
        <is>
          <t>Tallticka</t>
        </is>
      </c>
      <c r="S763">
        <f>HYPERLINK("https://klasma.github.io/Logging_2581/artfynd/A 36560-2022 artfynd.xlsx", "A 36560-2022")</f>
        <v/>
      </c>
      <c r="T763">
        <f>HYPERLINK("https://klasma.github.io/Logging_2581/kartor/A 36560-2022 karta.png", "A 36560-2022")</f>
        <v/>
      </c>
      <c r="V763">
        <f>HYPERLINK("https://klasma.github.io/Logging_2581/klagomål/A 36560-2022 FSC-klagomål.docx", "A 36560-2022")</f>
        <v/>
      </c>
      <c r="W763">
        <f>HYPERLINK("https://klasma.github.io/Logging_2581/klagomålsmail/A 36560-2022 FSC-klagomål mail.docx", "A 36560-2022")</f>
        <v/>
      </c>
      <c r="X763">
        <f>HYPERLINK("https://klasma.github.io/Logging_2581/tillsyn/A 36560-2022 tillsynsbegäran.docx", "A 36560-2022")</f>
        <v/>
      </c>
      <c r="Y763">
        <f>HYPERLINK("https://klasma.github.io/Logging_2581/tillsynsmail/A 36560-2022 tillsynsbegäran mail.docx", "A 36560-2022")</f>
        <v/>
      </c>
    </row>
    <row r="764" ht="15" customHeight="1">
      <c r="A764" t="inlineStr">
        <is>
          <t>A 37532-2022</t>
        </is>
      </c>
      <c r="B764" s="1" t="n">
        <v>44809</v>
      </c>
      <c r="C764" s="1" t="n">
        <v>45758</v>
      </c>
      <c r="D764" t="inlineStr">
        <is>
          <t>NORRBOTTENS LÄN</t>
        </is>
      </c>
      <c r="E764" t="inlineStr">
        <is>
          <t>ÖVERKALIX</t>
        </is>
      </c>
      <c r="F764" t="inlineStr">
        <is>
          <t>Sveaskog</t>
        </is>
      </c>
      <c r="G764" t="n">
        <v>2</v>
      </c>
      <c r="H764" t="n">
        <v>0</v>
      </c>
      <c r="I764" t="n">
        <v>0</v>
      </c>
      <c r="J764" t="n">
        <v>1</v>
      </c>
      <c r="K764" t="n">
        <v>0</v>
      </c>
      <c r="L764" t="n">
        <v>0</v>
      </c>
      <c r="M764" t="n">
        <v>0</v>
      </c>
      <c r="N764" t="n">
        <v>0</v>
      </c>
      <c r="O764" t="n">
        <v>1</v>
      </c>
      <c r="P764" t="n">
        <v>0</v>
      </c>
      <c r="Q764" t="n">
        <v>1</v>
      </c>
      <c r="R764" s="2" t="inlineStr">
        <is>
          <t>Blå taggsvamp</t>
        </is>
      </c>
      <c r="S764">
        <f>HYPERLINK("https://klasma.github.io/Logging_2513/artfynd/A 37532-2022 artfynd.xlsx", "A 37532-2022")</f>
        <v/>
      </c>
      <c r="T764">
        <f>HYPERLINK("https://klasma.github.io/Logging_2513/kartor/A 37532-2022 karta.png", "A 37532-2022")</f>
        <v/>
      </c>
      <c r="V764">
        <f>HYPERLINK("https://klasma.github.io/Logging_2513/klagomål/A 37532-2022 FSC-klagomål.docx", "A 37532-2022")</f>
        <v/>
      </c>
      <c r="W764">
        <f>HYPERLINK("https://klasma.github.io/Logging_2513/klagomålsmail/A 37532-2022 FSC-klagomål mail.docx", "A 37532-2022")</f>
        <v/>
      </c>
      <c r="X764">
        <f>HYPERLINK("https://klasma.github.io/Logging_2513/tillsyn/A 37532-2022 tillsynsbegäran.docx", "A 37532-2022")</f>
        <v/>
      </c>
      <c r="Y764">
        <f>HYPERLINK("https://klasma.github.io/Logging_2513/tillsynsmail/A 37532-2022 tillsynsbegäran mail.docx", "A 37532-2022")</f>
        <v/>
      </c>
    </row>
    <row r="765" ht="15" customHeight="1">
      <c r="A765" t="inlineStr">
        <is>
          <t>A 38620-2022</t>
        </is>
      </c>
      <c r="B765" s="1" t="n">
        <v>44813</v>
      </c>
      <c r="C765" s="1" t="n">
        <v>45758</v>
      </c>
      <c r="D765" t="inlineStr">
        <is>
          <t>NORRBOTTENS LÄN</t>
        </is>
      </c>
      <c r="E765" t="inlineStr">
        <is>
          <t>ÄLVSBYN</t>
        </is>
      </c>
      <c r="F765" t="inlineStr">
        <is>
          <t>Sveaskog</t>
        </is>
      </c>
      <c r="G765" t="n">
        <v>3.4</v>
      </c>
      <c r="H765" t="n">
        <v>0</v>
      </c>
      <c r="I765" t="n">
        <v>0</v>
      </c>
      <c r="J765" t="n">
        <v>1</v>
      </c>
      <c r="K765" t="n">
        <v>0</v>
      </c>
      <c r="L765" t="n">
        <v>0</v>
      </c>
      <c r="M765" t="n">
        <v>0</v>
      </c>
      <c r="N765" t="n">
        <v>0</v>
      </c>
      <c r="O765" t="n">
        <v>1</v>
      </c>
      <c r="P765" t="n">
        <v>0</v>
      </c>
      <c r="Q765" t="n">
        <v>1</v>
      </c>
      <c r="R765" s="2" t="inlineStr">
        <is>
          <t>Blå taggsvamp</t>
        </is>
      </c>
      <c r="S765">
        <f>HYPERLINK("https://klasma.github.io/Logging_2560/artfynd/A 38620-2022 artfynd.xlsx", "A 38620-2022")</f>
        <v/>
      </c>
      <c r="T765">
        <f>HYPERLINK("https://klasma.github.io/Logging_2560/kartor/A 38620-2022 karta.png", "A 38620-2022")</f>
        <v/>
      </c>
      <c r="V765">
        <f>HYPERLINK("https://klasma.github.io/Logging_2560/klagomål/A 38620-2022 FSC-klagomål.docx", "A 38620-2022")</f>
        <v/>
      </c>
      <c r="W765">
        <f>HYPERLINK("https://klasma.github.io/Logging_2560/klagomålsmail/A 38620-2022 FSC-klagomål mail.docx", "A 38620-2022")</f>
        <v/>
      </c>
      <c r="X765">
        <f>HYPERLINK("https://klasma.github.io/Logging_2560/tillsyn/A 38620-2022 tillsynsbegäran.docx", "A 38620-2022")</f>
        <v/>
      </c>
      <c r="Y765">
        <f>HYPERLINK("https://klasma.github.io/Logging_2560/tillsynsmail/A 38620-2022 tillsynsbegäran mail.docx", "A 38620-2022")</f>
        <v/>
      </c>
    </row>
    <row r="766" ht="15" customHeight="1">
      <c r="A766" t="inlineStr">
        <is>
          <t>A 42556-2022</t>
        </is>
      </c>
      <c r="B766" s="1" t="n">
        <v>44831</v>
      </c>
      <c r="C766" s="1" t="n">
        <v>45758</v>
      </c>
      <c r="D766" t="inlineStr">
        <is>
          <t>NORRBOTTENS LÄN</t>
        </is>
      </c>
      <c r="E766" t="inlineStr">
        <is>
          <t>ARVIDSJAUR</t>
        </is>
      </c>
      <c r="F766" t="inlineStr">
        <is>
          <t>Sveaskog</t>
        </is>
      </c>
      <c r="G766" t="n">
        <v>14.6</v>
      </c>
      <c r="H766" t="n">
        <v>0</v>
      </c>
      <c r="I766" t="n">
        <v>0</v>
      </c>
      <c r="J766" t="n">
        <v>1</v>
      </c>
      <c r="K766" t="n">
        <v>0</v>
      </c>
      <c r="L766" t="n">
        <v>0</v>
      </c>
      <c r="M766" t="n">
        <v>0</v>
      </c>
      <c r="N766" t="n">
        <v>0</v>
      </c>
      <c r="O766" t="n">
        <v>1</v>
      </c>
      <c r="P766" t="n">
        <v>0</v>
      </c>
      <c r="Q766" t="n">
        <v>1</v>
      </c>
      <c r="R766" s="2" t="inlineStr">
        <is>
          <t>Motaggsvamp</t>
        </is>
      </c>
      <c r="S766">
        <f>HYPERLINK("https://klasma.github.io/Logging_2505/artfynd/A 42556-2022 artfynd.xlsx", "A 42556-2022")</f>
        <v/>
      </c>
      <c r="T766">
        <f>HYPERLINK("https://klasma.github.io/Logging_2505/kartor/A 42556-2022 karta.png", "A 42556-2022")</f>
        <v/>
      </c>
      <c r="V766">
        <f>HYPERLINK("https://klasma.github.io/Logging_2505/klagomål/A 42556-2022 FSC-klagomål.docx", "A 42556-2022")</f>
        <v/>
      </c>
      <c r="W766">
        <f>HYPERLINK("https://klasma.github.io/Logging_2505/klagomålsmail/A 42556-2022 FSC-klagomål mail.docx", "A 42556-2022")</f>
        <v/>
      </c>
      <c r="X766">
        <f>HYPERLINK("https://klasma.github.io/Logging_2505/tillsyn/A 42556-2022 tillsynsbegäran.docx", "A 42556-2022")</f>
        <v/>
      </c>
      <c r="Y766">
        <f>HYPERLINK("https://klasma.github.io/Logging_2505/tillsynsmail/A 42556-2022 tillsynsbegäran mail.docx", "A 42556-2022")</f>
        <v/>
      </c>
    </row>
    <row r="767" ht="15" customHeight="1">
      <c r="A767" t="inlineStr">
        <is>
          <t>A 42680-2022</t>
        </is>
      </c>
      <c r="B767" s="1" t="n">
        <v>44832</v>
      </c>
      <c r="C767" s="1" t="n">
        <v>45758</v>
      </c>
      <c r="D767" t="inlineStr">
        <is>
          <t>NORRBOTTENS LÄN</t>
        </is>
      </c>
      <c r="E767" t="inlineStr">
        <is>
          <t>ÄLVSBYN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HYPERLINK("https://klasma.github.io/Logging_2560/artfynd/A 42680-2022 artfynd.xlsx", "A 42680-2022")</f>
        <v/>
      </c>
      <c r="T767">
        <f>HYPERLINK("https://klasma.github.io/Logging_2560/kartor/A 42680-2022 karta.png", "A 42680-2022")</f>
        <v/>
      </c>
      <c r="V767">
        <f>HYPERLINK("https://klasma.github.io/Logging_2560/klagomål/A 42680-2022 FSC-klagomål.docx", "A 42680-2022")</f>
        <v/>
      </c>
      <c r="W767">
        <f>HYPERLINK("https://klasma.github.io/Logging_2560/klagomålsmail/A 42680-2022 FSC-klagomål mail.docx", "A 42680-2022")</f>
        <v/>
      </c>
      <c r="X767">
        <f>HYPERLINK("https://klasma.github.io/Logging_2560/tillsyn/A 42680-2022 tillsynsbegäran.docx", "A 42680-2022")</f>
        <v/>
      </c>
      <c r="Y767">
        <f>HYPERLINK("https://klasma.github.io/Logging_2560/tillsynsmail/A 42680-2022 tillsynsbegäran mail.docx", "A 42680-2022")</f>
        <v/>
      </c>
    </row>
    <row r="768" ht="15" customHeight="1">
      <c r="A768" t="inlineStr">
        <is>
          <t>A 44253-2022</t>
        </is>
      </c>
      <c r="B768" s="1" t="n">
        <v>44839</v>
      </c>
      <c r="C768" s="1" t="n">
        <v>45758</v>
      </c>
      <c r="D768" t="inlineStr">
        <is>
          <t>NORRBOTTENS LÄN</t>
        </is>
      </c>
      <c r="E768" t="inlineStr">
        <is>
          <t>LULEÅ</t>
        </is>
      </c>
      <c r="G768" t="n">
        <v>4.4</v>
      </c>
      <c r="H768" t="n">
        <v>1</v>
      </c>
      <c r="I768" t="n">
        <v>0</v>
      </c>
      <c r="J768" t="n">
        <v>1</v>
      </c>
      <c r="K768" t="n">
        <v>0</v>
      </c>
      <c r="L768" t="n">
        <v>0</v>
      </c>
      <c r="M768" t="n">
        <v>0</v>
      </c>
      <c r="N768" t="n">
        <v>0</v>
      </c>
      <c r="O768" t="n">
        <v>1</v>
      </c>
      <c r="P768" t="n">
        <v>0</v>
      </c>
      <c r="Q768" t="n">
        <v>1</v>
      </c>
      <c r="R768" s="2" t="inlineStr">
        <is>
          <t>Spillkråka</t>
        </is>
      </c>
      <c r="S768">
        <f>HYPERLINK("https://klasma.github.io/Logging_2580/artfynd/A 44253-2022 artfynd.xlsx", "A 44253-2022")</f>
        <v/>
      </c>
      <c r="T768">
        <f>HYPERLINK("https://klasma.github.io/Logging_2580/kartor/A 44253-2022 karta.png", "A 44253-2022")</f>
        <v/>
      </c>
      <c r="V768">
        <f>HYPERLINK("https://klasma.github.io/Logging_2580/klagomål/A 44253-2022 FSC-klagomål.docx", "A 44253-2022")</f>
        <v/>
      </c>
      <c r="W768">
        <f>HYPERLINK("https://klasma.github.io/Logging_2580/klagomålsmail/A 44253-2022 FSC-klagomål mail.docx", "A 44253-2022")</f>
        <v/>
      </c>
      <c r="X768">
        <f>HYPERLINK("https://klasma.github.io/Logging_2580/tillsyn/A 44253-2022 tillsynsbegäran.docx", "A 44253-2022")</f>
        <v/>
      </c>
      <c r="Y768">
        <f>HYPERLINK("https://klasma.github.io/Logging_2580/tillsynsmail/A 44253-2022 tillsynsbegäran mail.docx", "A 44253-2022")</f>
        <v/>
      </c>
      <c r="Z768">
        <f>HYPERLINK("https://klasma.github.io/Logging_2580/fåglar/A 44253-2022 prioriterade fågelarter.docx", "A 44253-2022")</f>
        <v/>
      </c>
    </row>
    <row r="769" ht="15" customHeight="1">
      <c r="A769" t="inlineStr">
        <is>
          <t>A 44283-2022</t>
        </is>
      </c>
      <c r="B769" s="1" t="n">
        <v>44839</v>
      </c>
      <c r="C769" s="1" t="n">
        <v>45758</v>
      </c>
      <c r="D769" t="inlineStr">
        <is>
          <t>NORRBOTTENS LÄN</t>
        </is>
      </c>
      <c r="E769" t="inlineStr">
        <is>
          <t>ÄLVSBYN</t>
        </is>
      </c>
      <c r="F769" t="inlineStr">
        <is>
          <t>Sveaskog</t>
        </is>
      </c>
      <c r="G769" t="n">
        <v>4.1</v>
      </c>
      <c r="H769" t="n">
        <v>0</v>
      </c>
      <c r="I769" t="n">
        <v>0</v>
      </c>
      <c r="J769" t="n">
        <v>1</v>
      </c>
      <c r="K769" t="n">
        <v>0</v>
      </c>
      <c r="L769" t="n">
        <v>0</v>
      </c>
      <c r="M769" t="n">
        <v>0</v>
      </c>
      <c r="N769" t="n">
        <v>0</v>
      </c>
      <c r="O769" t="n">
        <v>1</v>
      </c>
      <c r="P769" t="n">
        <v>0</v>
      </c>
      <c r="Q769" t="n">
        <v>1</v>
      </c>
      <c r="R769" s="2" t="inlineStr">
        <is>
          <t>Lunglav</t>
        </is>
      </c>
      <c r="S769">
        <f>HYPERLINK("https://klasma.github.io/Logging_2560/artfynd/A 44283-2022 artfynd.xlsx", "A 44283-2022")</f>
        <v/>
      </c>
      <c r="T769">
        <f>HYPERLINK("https://klasma.github.io/Logging_2560/kartor/A 44283-2022 karta.png", "A 44283-2022")</f>
        <v/>
      </c>
      <c r="V769">
        <f>HYPERLINK("https://klasma.github.io/Logging_2560/klagomål/A 44283-2022 FSC-klagomål.docx", "A 44283-2022")</f>
        <v/>
      </c>
      <c r="W769">
        <f>HYPERLINK("https://klasma.github.io/Logging_2560/klagomålsmail/A 44283-2022 FSC-klagomål mail.docx", "A 44283-2022")</f>
        <v/>
      </c>
      <c r="X769">
        <f>HYPERLINK("https://klasma.github.io/Logging_2560/tillsyn/A 44283-2022 tillsynsbegäran.docx", "A 44283-2022")</f>
        <v/>
      </c>
      <c r="Y769">
        <f>HYPERLINK("https://klasma.github.io/Logging_2560/tillsynsmail/A 44283-2022 tillsynsbegäran mail.docx", "A 44283-2022")</f>
        <v/>
      </c>
    </row>
    <row r="770" ht="15" customHeight="1">
      <c r="A770" t="inlineStr">
        <is>
          <t>A 44255-2022</t>
        </is>
      </c>
      <c r="B770" s="1" t="n">
        <v>44839</v>
      </c>
      <c r="C770" s="1" t="n">
        <v>45758</v>
      </c>
      <c r="D770" t="inlineStr">
        <is>
          <t>NORRBOTTENS LÄN</t>
        </is>
      </c>
      <c r="E770" t="inlineStr">
        <is>
          <t>BODEN</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HYPERLINK("https://klasma.github.io/Logging_2582/artfynd/A 44255-2022 artfynd.xlsx", "A 44255-2022")</f>
        <v/>
      </c>
      <c r="T770">
        <f>HYPERLINK("https://klasma.github.io/Logging_2582/kartor/A 44255-2022 karta.png", "A 44255-2022")</f>
        <v/>
      </c>
      <c r="V770">
        <f>HYPERLINK("https://klasma.github.io/Logging_2582/klagomål/A 44255-2022 FSC-klagomål.docx", "A 44255-2022")</f>
        <v/>
      </c>
      <c r="W770">
        <f>HYPERLINK("https://klasma.github.io/Logging_2582/klagomålsmail/A 44255-2022 FSC-klagomål mail.docx", "A 44255-2022")</f>
        <v/>
      </c>
      <c r="X770">
        <f>HYPERLINK("https://klasma.github.io/Logging_2582/tillsyn/A 44255-2022 tillsynsbegäran.docx", "A 44255-2022")</f>
        <v/>
      </c>
      <c r="Y770">
        <f>HYPERLINK("https://klasma.github.io/Logging_2582/tillsynsmail/A 44255-2022 tillsynsbegäran mail.docx", "A 44255-2022")</f>
        <v/>
      </c>
    </row>
    <row r="771" ht="15" customHeight="1">
      <c r="A771" t="inlineStr">
        <is>
          <t>A 44768-2022</t>
        </is>
      </c>
      <c r="B771" s="1" t="n">
        <v>44840</v>
      </c>
      <c r="C771" s="1" t="n">
        <v>45758</v>
      </c>
      <c r="D771" t="inlineStr">
        <is>
          <t>NORRBOTTENS LÄN</t>
        </is>
      </c>
      <c r="E771" t="inlineStr">
        <is>
          <t>BODEN</t>
        </is>
      </c>
      <c r="F771" t="inlineStr">
        <is>
          <t>SCA</t>
        </is>
      </c>
      <c r="G771" t="n">
        <v>6.1</v>
      </c>
      <c r="H771" t="n">
        <v>0</v>
      </c>
      <c r="I771" t="n">
        <v>0</v>
      </c>
      <c r="J771" t="n">
        <v>1</v>
      </c>
      <c r="K771" t="n">
        <v>0</v>
      </c>
      <c r="L771" t="n">
        <v>0</v>
      </c>
      <c r="M771" t="n">
        <v>0</v>
      </c>
      <c r="N771" t="n">
        <v>0</v>
      </c>
      <c r="O771" t="n">
        <v>1</v>
      </c>
      <c r="P771" t="n">
        <v>0</v>
      </c>
      <c r="Q771" t="n">
        <v>1</v>
      </c>
      <c r="R771" s="2" t="inlineStr">
        <is>
          <t>Motaggsvamp</t>
        </is>
      </c>
      <c r="S771">
        <f>HYPERLINK("https://klasma.github.io/Logging_2582/artfynd/A 44768-2022 artfynd.xlsx", "A 44768-2022")</f>
        <v/>
      </c>
      <c r="T771">
        <f>HYPERLINK("https://klasma.github.io/Logging_2582/kartor/A 44768-2022 karta.png", "A 44768-2022")</f>
        <v/>
      </c>
      <c r="V771">
        <f>HYPERLINK("https://klasma.github.io/Logging_2582/klagomål/A 44768-2022 FSC-klagomål.docx", "A 44768-2022")</f>
        <v/>
      </c>
      <c r="W771">
        <f>HYPERLINK("https://klasma.github.io/Logging_2582/klagomålsmail/A 44768-2022 FSC-klagomål mail.docx", "A 44768-2022")</f>
        <v/>
      </c>
      <c r="X771">
        <f>HYPERLINK("https://klasma.github.io/Logging_2582/tillsyn/A 44768-2022 tillsynsbegäran.docx", "A 44768-2022")</f>
        <v/>
      </c>
      <c r="Y771">
        <f>HYPERLINK("https://klasma.github.io/Logging_2582/tillsynsmail/A 44768-2022 tillsynsbegäran mail.docx", "A 44768-2022")</f>
        <v/>
      </c>
    </row>
    <row r="772" ht="15" customHeight="1">
      <c r="A772" t="inlineStr">
        <is>
          <t>A 45324-2022</t>
        </is>
      </c>
      <c r="B772" s="1" t="n">
        <v>44841</v>
      </c>
      <c r="C772" s="1" t="n">
        <v>45758</v>
      </c>
      <c r="D772" t="inlineStr">
        <is>
          <t>NORRBOTTENS LÄN</t>
        </is>
      </c>
      <c r="E772" t="inlineStr">
        <is>
          <t>ARJEPLOG</t>
        </is>
      </c>
      <c r="G772" t="n">
        <v>23.2</v>
      </c>
      <c r="H772" t="n">
        <v>1</v>
      </c>
      <c r="I772" t="n">
        <v>0</v>
      </c>
      <c r="J772" t="n">
        <v>0</v>
      </c>
      <c r="K772" t="n">
        <v>0</v>
      </c>
      <c r="L772" t="n">
        <v>1</v>
      </c>
      <c r="M772" t="n">
        <v>0</v>
      </c>
      <c r="N772" t="n">
        <v>0</v>
      </c>
      <c r="O772" t="n">
        <v>1</v>
      </c>
      <c r="P772" t="n">
        <v>1</v>
      </c>
      <c r="Q772" t="n">
        <v>1</v>
      </c>
      <c r="R772" s="2" t="inlineStr">
        <is>
          <t>Bergand</t>
        </is>
      </c>
      <c r="S772">
        <f>HYPERLINK("https://klasma.github.io/Logging_2506/artfynd/A 45324-2022 artfynd.xlsx", "A 45324-2022")</f>
        <v/>
      </c>
      <c r="T772">
        <f>HYPERLINK("https://klasma.github.io/Logging_2506/kartor/A 45324-2022 karta.png", "A 45324-2022")</f>
        <v/>
      </c>
      <c r="V772">
        <f>HYPERLINK("https://klasma.github.io/Logging_2506/klagomål/A 45324-2022 FSC-klagomål.docx", "A 45324-2022")</f>
        <v/>
      </c>
      <c r="W772">
        <f>HYPERLINK("https://klasma.github.io/Logging_2506/klagomålsmail/A 45324-2022 FSC-klagomål mail.docx", "A 45324-2022")</f>
        <v/>
      </c>
      <c r="X772">
        <f>HYPERLINK("https://klasma.github.io/Logging_2506/tillsyn/A 45324-2022 tillsynsbegäran.docx", "A 45324-2022")</f>
        <v/>
      </c>
      <c r="Y772">
        <f>HYPERLINK("https://klasma.github.io/Logging_2506/tillsynsmail/A 45324-2022 tillsynsbegäran mail.docx", "A 45324-2022")</f>
        <v/>
      </c>
    </row>
    <row r="773" ht="15" customHeight="1">
      <c r="A773" t="inlineStr">
        <is>
          <t>A 45810-2022</t>
        </is>
      </c>
      <c r="B773" s="1" t="n">
        <v>44844</v>
      </c>
      <c r="C773" s="1" t="n">
        <v>45758</v>
      </c>
      <c r="D773" t="inlineStr">
        <is>
          <t>NORRBOTTENS LÄN</t>
        </is>
      </c>
      <c r="E773" t="inlineStr">
        <is>
          <t>KIRUNA</t>
        </is>
      </c>
      <c r="F773" t="inlineStr">
        <is>
          <t>Övriga statliga verk och myndigheter</t>
        </is>
      </c>
      <c r="G773" t="n">
        <v>6.8</v>
      </c>
      <c r="H773" t="n">
        <v>1</v>
      </c>
      <c r="I773" t="n">
        <v>0</v>
      </c>
      <c r="J773" t="n">
        <v>0</v>
      </c>
      <c r="K773" t="n">
        <v>0</v>
      </c>
      <c r="L773" t="n">
        <v>0</v>
      </c>
      <c r="M773" t="n">
        <v>0</v>
      </c>
      <c r="N773" t="n">
        <v>0</v>
      </c>
      <c r="O773" t="n">
        <v>0</v>
      </c>
      <c r="P773" t="n">
        <v>0</v>
      </c>
      <c r="Q773" t="n">
        <v>1</v>
      </c>
      <c r="R773" s="2" t="inlineStr">
        <is>
          <t>Revlummer</t>
        </is>
      </c>
      <c r="S773">
        <f>HYPERLINK("https://klasma.github.io/Logging_2584/artfynd/A 45810-2022 artfynd.xlsx", "A 45810-2022")</f>
        <v/>
      </c>
      <c r="T773">
        <f>HYPERLINK("https://klasma.github.io/Logging_2584/kartor/A 45810-2022 karta.png", "A 45810-2022")</f>
        <v/>
      </c>
      <c r="V773">
        <f>HYPERLINK("https://klasma.github.io/Logging_2584/klagomål/A 45810-2022 FSC-klagomål.docx", "A 45810-2022")</f>
        <v/>
      </c>
      <c r="W773">
        <f>HYPERLINK("https://klasma.github.io/Logging_2584/klagomålsmail/A 45810-2022 FSC-klagomål mail.docx", "A 45810-2022")</f>
        <v/>
      </c>
      <c r="X773">
        <f>HYPERLINK("https://klasma.github.io/Logging_2584/tillsyn/A 45810-2022 tillsynsbegäran.docx", "A 45810-2022")</f>
        <v/>
      </c>
      <c r="Y773">
        <f>HYPERLINK("https://klasma.github.io/Logging_2584/tillsynsmail/A 45810-2022 tillsynsbegäran mail.docx", "A 45810-2022")</f>
        <v/>
      </c>
    </row>
    <row r="774" ht="15" customHeight="1">
      <c r="A774" t="inlineStr">
        <is>
          <t>A 45665-2022</t>
        </is>
      </c>
      <c r="B774" s="1" t="n">
        <v>44845</v>
      </c>
      <c r="C774" s="1" t="n">
        <v>45758</v>
      </c>
      <c r="D774" t="inlineStr">
        <is>
          <t>NORRBOTTENS LÄN</t>
        </is>
      </c>
      <c r="E774" t="inlineStr">
        <is>
          <t>ÖVERTORNEÅ</t>
        </is>
      </c>
      <c r="F774" t="inlineStr">
        <is>
          <t>Sveaskog</t>
        </is>
      </c>
      <c r="G774" t="n">
        <v>4.6</v>
      </c>
      <c r="H774" t="n">
        <v>0</v>
      </c>
      <c r="I774" t="n">
        <v>0</v>
      </c>
      <c r="J774" t="n">
        <v>1</v>
      </c>
      <c r="K774" t="n">
        <v>0</v>
      </c>
      <c r="L774" t="n">
        <v>0</v>
      </c>
      <c r="M774" t="n">
        <v>0</v>
      </c>
      <c r="N774" t="n">
        <v>0</v>
      </c>
      <c r="O774" t="n">
        <v>1</v>
      </c>
      <c r="P774" t="n">
        <v>0</v>
      </c>
      <c r="Q774" t="n">
        <v>1</v>
      </c>
      <c r="R774" s="2" t="inlineStr">
        <is>
          <t>Garnlav</t>
        </is>
      </c>
      <c r="S774">
        <f>HYPERLINK("https://klasma.github.io/Logging_2518/artfynd/A 45665-2022 artfynd.xlsx", "A 45665-2022")</f>
        <v/>
      </c>
      <c r="T774">
        <f>HYPERLINK("https://klasma.github.io/Logging_2518/kartor/A 45665-2022 karta.png", "A 45665-2022")</f>
        <v/>
      </c>
      <c r="V774">
        <f>HYPERLINK("https://klasma.github.io/Logging_2518/klagomål/A 45665-2022 FSC-klagomål.docx", "A 45665-2022")</f>
        <v/>
      </c>
      <c r="W774">
        <f>HYPERLINK("https://klasma.github.io/Logging_2518/klagomålsmail/A 45665-2022 FSC-klagomål mail.docx", "A 45665-2022")</f>
        <v/>
      </c>
      <c r="X774">
        <f>HYPERLINK("https://klasma.github.io/Logging_2518/tillsyn/A 45665-2022 tillsynsbegäran.docx", "A 45665-2022")</f>
        <v/>
      </c>
      <c r="Y774">
        <f>HYPERLINK("https://klasma.github.io/Logging_2518/tillsynsmail/A 45665-2022 tillsynsbegäran mail.docx", "A 45665-2022")</f>
        <v/>
      </c>
    </row>
    <row r="775" ht="15" customHeight="1">
      <c r="A775" t="inlineStr">
        <is>
          <t>A 45941-2022</t>
        </is>
      </c>
      <c r="B775" s="1" t="n">
        <v>44846</v>
      </c>
      <c r="C775" s="1" t="n">
        <v>45758</v>
      </c>
      <c r="D775" t="inlineStr">
        <is>
          <t>NORRBOTTENS LÄN</t>
        </is>
      </c>
      <c r="E775" t="inlineStr">
        <is>
          <t>BODEN</t>
        </is>
      </c>
      <c r="F775" t="inlineStr">
        <is>
          <t>Sveaskog</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HYPERLINK("https://klasma.github.io/Logging_2582/artfynd/A 45941-2022 artfynd.xlsx", "A 45941-2022")</f>
        <v/>
      </c>
      <c r="T775">
        <f>HYPERLINK("https://klasma.github.io/Logging_2582/kartor/A 45941-2022 karta.png", "A 45941-2022")</f>
        <v/>
      </c>
      <c r="V775">
        <f>HYPERLINK("https://klasma.github.io/Logging_2582/klagomål/A 45941-2022 FSC-klagomål.docx", "A 45941-2022")</f>
        <v/>
      </c>
      <c r="W775">
        <f>HYPERLINK("https://klasma.github.io/Logging_2582/klagomålsmail/A 45941-2022 FSC-klagomål mail.docx", "A 45941-2022")</f>
        <v/>
      </c>
      <c r="X775">
        <f>HYPERLINK("https://klasma.github.io/Logging_2582/tillsyn/A 45941-2022 tillsynsbegäran.docx", "A 45941-2022")</f>
        <v/>
      </c>
      <c r="Y775">
        <f>HYPERLINK("https://klasma.github.io/Logging_2582/tillsynsmail/A 45941-2022 tillsynsbegäran mail.docx", "A 45941-2022")</f>
        <v/>
      </c>
    </row>
    <row r="776" ht="15" customHeight="1">
      <c r="A776" t="inlineStr">
        <is>
          <t>A 47498-2022</t>
        </is>
      </c>
      <c r="B776" s="1" t="n">
        <v>44853</v>
      </c>
      <c r="C776" s="1" t="n">
        <v>45758</v>
      </c>
      <c r="D776" t="inlineStr">
        <is>
          <t>NORRBOTTENS LÄN</t>
        </is>
      </c>
      <c r="E776" t="inlineStr">
        <is>
          <t>BODEN</t>
        </is>
      </c>
      <c r="F776" t="inlineStr">
        <is>
          <t>Kommuner</t>
        </is>
      </c>
      <c r="G776" t="n">
        <v>2.6</v>
      </c>
      <c r="H776" t="n">
        <v>1</v>
      </c>
      <c r="I776" t="n">
        <v>0</v>
      </c>
      <c r="J776" t="n">
        <v>1</v>
      </c>
      <c r="K776" t="n">
        <v>0</v>
      </c>
      <c r="L776" t="n">
        <v>0</v>
      </c>
      <c r="M776" t="n">
        <v>0</v>
      </c>
      <c r="N776" t="n">
        <v>0</v>
      </c>
      <c r="O776" t="n">
        <v>1</v>
      </c>
      <c r="P776" t="n">
        <v>0</v>
      </c>
      <c r="Q776" t="n">
        <v>1</v>
      </c>
      <c r="R776" s="2" t="inlineStr">
        <is>
          <t>Spillkråka</t>
        </is>
      </c>
      <c r="S776">
        <f>HYPERLINK("https://klasma.github.io/Logging_2582/artfynd/A 47498-2022 artfynd.xlsx", "A 47498-2022")</f>
        <v/>
      </c>
      <c r="T776">
        <f>HYPERLINK("https://klasma.github.io/Logging_2582/kartor/A 47498-2022 karta.png", "A 47498-2022")</f>
        <v/>
      </c>
      <c r="V776">
        <f>HYPERLINK("https://klasma.github.io/Logging_2582/klagomål/A 47498-2022 FSC-klagomål.docx", "A 47498-2022")</f>
        <v/>
      </c>
      <c r="W776">
        <f>HYPERLINK("https://klasma.github.io/Logging_2582/klagomålsmail/A 47498-2022 FSC-klagomål mail.docx", "A 47498-2022")</f>
        <v/>
      </c>
      <c r="X776">
        <f>HYPERLINK("https://klasma.github.io/Logging_2582/tillsyn/A 47498-2022 tillsynsbegäran.docx", "A 47498-2022")</f>
        <v/>
      </c>
      <c r="Y776">
        <f>HYPERLINK("https://klasma.github.io/Logging_2582/tillsynsmail/A 47498-2022 tillsynsbegäran mail.docx", "A 47498-2022")</f>
        <v/>
      </c>
      <c r="Z776">
        <f>HYPERLINK("https://klasma.github.io/Logging_2582/fåglar/A 47498-2022 prioriterade fågelarter.docx", "A 47498-2022")</f>
        <v/>
      </c>
    </row>
    <row r="777" ht="15" customHeight="1">
      <c r="A777" t="inlineStr">
        <is>
          <t>A 47505-2022</t>
        </is>
      </c>
      <c r="B777" s="1" t="n">
        <v>44853</v>
      </c>
      <c r="C777" s="1" t="n">
        <v>45758</v>
      </c>
      <c r="D777" t="inlineStr">
        <is>
          <t>NORRBOTTENS LÄN</t>
        </is>
      </c>
      <c r="E777" t="inlineStr">
        <is>
          <t>JOKKMOKK</t>
        </is>
      </c>
      <c r="F777" t="inlineStr">
        <is>
          <t>Sveaskog</t>
        </is>
      </c>
      <c r="G777" t="n">
        <v>2.7</v>
      </c>
      <c r="H777" t="n">
        <v>1</v>
      </c>
      <c r="I777" t="n">
        <v>0</v>
      </c>
      <c r="J777" t="n">
        <v>0</v>
      </c>
      <c r="K777" t="n">
        <v>0</v>
      </c>
      <c r="L777" t="n">
        <v>0</v>
      </c>
      <c r="M777" t="n">
        <v>0</v>
      </c>
      <c r="N777" t="n">
        <v>0</v>
      </c>
      <c r="O777" t="n">
        <v>0</v>
      </c>
      <c r="P777" t="n">
        <v>0</v>
      </c>
      <c r="Q777" t="n">
        <v>1</v>
      </c>
      <c r="R777" s="2" t="inlineStr">
        <is>
          <t>Lavskrika</t>
        </is>
      </c>
      <c r="S777">
        <f>HYPERLINK("https://klasma.github.io/Logging_2510/artfynd/A 47505-2022 artfynd.xlsx", "A 47505-2022")</f>
        <v/>
      </c>
      <c r="T777">
        <f>HYPERLINK("https://klasma.github.io/Logging_2510/kartor/A 47505-2022 karta.png", "A 47505-2022")</f>
        <v/>
      </c>
      <c r="V777">
        <f>HYPERLINK("https://klasma.github.io/Logging_2510/klagomål/A 47505-2022 FSC-klagomål.docx", "A 47505-2022")</f>
        <v/>
      </c>
      <c r="W777">
        <f>HYPERLINK("https://klasma.github.io/Logging_2510/klagomålsmail/A 47505-2022 FSC-klagomål mail.docx", "A 47505-2022")</f>
        <v/>
      </c>
      <c r="X777">
        <f>HYPERLINK("https://klasma.github.io/Logging_2510/tillsyn/A 47505-2022 tillsynsbegäran.docx", "A 47505-2022")</f>
        <v/>
      </c>
      <c r="Y777">
        <f>HYPERLINK("https://klasma.github.io/Logging_2510/tillsynsmail/A 47505-2022 tillsynsbegäran mail.docx", "A 47505-2022")</f>
        <v/>
      </c>
      <c r="Z777">
        <f>HYPERLINK("https://klasma.github.io/Logging_2510/fåglar/A 47505-2022 prioriterade fågelarter.docx", "A 47505-2022")</f>
        <v/>
      </c>
    </row>
    <row r="778" ht="15" customHeight="1">
      <c r="A778" t="inlineStr">
        <is>
          <t>A 47700-2022</t>
        </is>
      </c>
      <c r="B778" s="1" t="n">
        <v>44854</v>
      </c>
      <c r="C778" s="1" t="n">
        <v>45758</v>
      </c>
      <c r="D778" t="inlineStr">
        <is>
          <t>NORRBOTTENS LÄN</t>
        </is>
      </c>
      <c r="E778" t="inlineStr">
        <is>
          <t>PAJALA</t>
        </is>
      </c>
      <c r="F778" t="inlineStr">
        <is>
          <t>Sveaskog</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HYPERLINK("https://klasma.github.io/Logging_2521/artfynd/A 47700-2022 artfynd.xlsx", "A 47700-2022")</f>
        <v/>
      </c>
      <c r="T778">
        <f>HYPERLINK("https://klasma.github.io/Logging_2521/kartor/A 47700-2022 karta.png", "A 47700-2022")</f>
        <v/>
      </c>
      <c r="V778">
        <f>HYPERLINK("https://klasma.github.io/Logging_2521/klagomål/A 47700-2022 FSC-klagomål.docx", "A 47700-2022")</f>
        <v/>
      </c>
      <c r="W778">
        <f>HYPERLINK("https://klasma.github.io/Logging_2521/klagomålsmail/A 47700-2022 FSC-klagomål mail.docx", "A 47700-2022")</f>
        <v/>
      </c>
      <c r="X778">
        <f>HYPERLINK("https://klasma.github.io/Logging_2521/tillsyn/A 47700-2022 tillsynsbegäran.docx", "A 47700-2022")</f>
        <v/>
      </c>
      <c r="Y778">
        <f>HYPERLINK("https://klasma.github.io/Logging_2521/tillsynsmail/A 47700-2022 tillsynsbegäran mail.docx", "A 47700-2022")</f>
        <v/>
      </c>
    </row>
    <row r="779" ht="15" customHeight="1">
      <c r="A779" t="inlineStr">
        <is>
          <t>A 47954-2022</t>
        </is>
      </c>
      <c r="B779" s="1" t="n">
        <v>44855</v>
      </c>
      <c r="C779" s="1" t="n">
        <v>45758</v>
      </c>
      <c r="D779" t="inlineStr">
        <is>
          <t>NORRBOTTENS LÄN</t>
        </is>
      </c>
      <c r="E779" t="inlineStr">
        <is>
          <t>ARVIDSJAUR</t>
        </is>
      </c>
      <c r="F779" t="inlineStr">
        <is>
          <t>Sveaskog</t>
        </is>
      </c>
      <c r="G779" t="n">
        <v>3.3</v>
      </c>
      <c r="H779" t="n">
        <v>1</v>
      </c>
      <c r="I779" t="n">
        <v>0</v>
      </c>
      <c r="J779" t="n">
        <v>1</v>
      </c>
      <c r="K779" t="n">
        <v>0</v>
      </c>
      <c r="L779" t="n">
        <v>0</v>
      </c>
      <c r="M779" t="n">
        <v>0</v>
      </c>
      <c r="N779" t="n">
        <v>0</v>
      </c>
      <c r="O779" t="n">
        <v>1</v>
      </c>
      <c r="P779" t="n">
        <v>0</v>
      </c>
      <c r="Q779" t="n">
        <v>1</v>
      </c>
      <c r="R779" s="2" t="inlineStr">
        <is>
          <t>Spillkråka</t>
        </is>
      </c>
      <c r="S779">
        <f>HYPERLINK("https://klasma.github.io/Logging_2505/artfynd/A 47954-2022 artfynd.xlsx", "A 47954-2022")</f>
        <v/>
      </c>
      <c r="T779">
        <f>HYPERLINK("https://klasma.github.io/Logging_2505/kartor/A 47954-2022 karta.png", "A 47954-2022")</f>
        <v/>
      </c>
      <c r="V779">
        <f>HYPERLINK("https://klasma.github.io/Logging_2505/klagomål/A 47954-2022 FSC-klagomål.docx", "A 47954-2022")</f>
        <v/>
      </c>
      <c r="W779">
        <f>HYPERLINK("https://klasma.github.io/Logging_2505/klagomålsmail/A 47954-2022 FSC-klagomål mail.docx", "A 47954-2022")</f>
        <v/>
      </c>
      <c r="X779">
        <f>HYPERLINK("https://klasma.github.io/Logging_2505/tillsyn/A 47954-2022 tillsynsbegäran.docx", "A 47954-2022")</f>
        <v/>
      </c>
      <c r="Y779">
        <f>HYPERLINK("https://klasma.github.io/Logging_2505/tillsynsmail/A 47954-2022 tillsynsbegäran mail.docx", "A 47954-2022")</f>
        <v/>
      </c>
      <c r="Z779">
        <f>HYPERLINK("https://klasma.github.io/Logging_2505/fåglar/A 47954-2022 prioriterade fågelarter.docx", "A 47954-2022")</f>
        <v/>
      </c>
    </row>
    <row r="780" ht="15" customHeight="1">
      <c r="A780" t="inlineStr">
        <is>
          <t>A 49188-2022</t>
        </is>
      </c>
      <c r="B780" s="1" t="n">
        <v>44860</v>
      </c>
      <c r="C780" s="1" t="n">
        <v>45758</v>
      </c>
      <c r="D780" t="inlineStr">
        <is>
          <t>NORRBOTTENS LÄN</t>
        </is>
      </c>
      <c r="E780" t="inlineStr">
        <is>
          <t>GÄLLIVARE</t>
        </is>
      </c>
      <c r="F780" t="inlineStr">
        <is>
          <t>SCA</t>
        </is>
      </c>
      <c r="G780" t="n">
        <v>5.4</v>
      </c>
      <c r="H780" t="n">
        <v>0</v>
      </c>
      <c r="I780" t="n">
        <v>1</v>
      </c>
      <c r="J780" t="n">
        <v>0</v>
      </c>
      <c r="K780" t="n">
        <v>0</v>
      </c>
      <c r="L780" t="n">
        <v>0</v>
      </c>
      <c r="M780" t="n">
        <v>0</v>
      </c>
      <c r="N780" t="n">
        <v>0</v>
      </c>
      <c r="O780" t="n">
        <v>0</v>
      </c>
      <c r="P780" t="n">
        <v>0</v>
      </c>
      <c r="Q780" t="n">
        <v>1</v>
      </c>
      <c r="R780" s="2" t="inlineStr">
        <is>
          <t>Dropptaggsvamp</t>
        </is>
      </c>
      <c r="S780">
        <f>HYPERLINK("https://klasma.github.io/Logging_2523/artfynd/A 49188-2022 artfynd.xlsx", "A 49188-2022")</f>
        <v/>
      </c>
      <c r="T780">
        <f>HYPERLINK("https://klasma.github.io/Logging_2523/kartor/A 49188-2022 karta.png", "A 49188-2022")</f>
        <v/>
      </c>
      <c r="V780">
        <f>HYPERLINK("https://klasma.github.io/Logging_2523/klagomål/A 49188-2022 FSC-klagomål.docx", "A 49188-2022")</f>
        <v/>
      </c>
      <c r="W780">
        <f>HYPERLINK("https://klasma.github.io/Logging_2523/klagomålsmail/A 49188-2022 FSC-klagomål mail.docx", "A 49188-2022")</f>
        <v/>
      </c>
      <c r="X780">
        <f>HYPERLINK("https://klasma.github.io/Logging_2523/tillsyn/A 49188-2022 tillsynsbegäran.docx", "A 49188-2022")</f>
        <v/>
      </c>
      <c r="Y780">
        <f>HYPERLINK("https://klasma.github.io/Logging_2523/tillsynsmail/A 49188-2022 tillsynsbegäran mail.docx", "A 49188-2022")</f>
        <v/>
      </c>
    </row>
    <row r="781" ht="15" customHeight="1">
      <c r="A781" t="inlineStr">
        <is>
          <t>A 49756-2022</t>
        </is>
      </c>
      <c r="B781" s="1" t="n">
        <v>44862</v>
      </c>
      <c r="C781" s="1" t="n">
        <v>45758</v>
      </c>
      <c r="D781" t="inlineStr">
        <is>
          <t>NORRBOTTENS LÄN</t>
        </is>
      </c>
      <c r="E781" t="inlineStr">
        <is>
          <t>PAJALA</t>
        </is>
      </c>
      <c r="F781" t="inlineStr">
        <is>
          <t>Sveaskog</t>
        </is>
      </c>
      <c r="G781" t="n">
        <v>2.9</v>
      </c>
      <c r="H781" t="n">
        <v>0</v>
      </c>
      <c r="I781" t="n">
        <v>0</v>
      </c>
      <c r="J781" t="n">
        <v>1</v>
      </c>
      <c r="K781" t="n">
        <v>0</v>
      </c>
      <c r="L781" t="n">
        <v>0</v>
      </c>
      <c r="M781" t="n">
        <v>0</v>
      </c>
      <c r="N781" t="n">
        <v>0</v>
      </c>
      <c r="O781" t="n">
        <v>1</v>
      </c>
      <c r="P781" t="n">
        <v>0</v>
      </c>
      <c r="Q781" t="n">
        <v>1</v>
      </c>
      <c r="R781" s="2" t="inlineStr">
        <is>
          <t>Lunglav</t>
        </is>
      </c>
      <c r="S781">
        <f>HYPERLINK("https://klasma.github.io/Logging_2521/artfynd/A 49756-2022 artfynd.xlsx", "A 49756-2022")</f>
        <v/>
      </c>
      <c r="T781">
        <f>HYPERLINK("https://klasma.github.io/Logging_2521/kartor/A 49756-2022 karta.png", "A 49756-2022")</f>
        <v/>
      </c>
      <c r="V781">
        <f>HYPERLINK("https://klasma.github.io/Logging_2521/klagomål/A 49756-2022 FSC-klagomål.docx", "A 49756-2022")</f>
        <v/>
      </c>
      <c r="W781">
        <f>HYPERLINK("https://klasma.github.io/Logging_2521/klagomålsmail/A 49756-2022 FSC-klagomål mail.docx", "A 49756-2022")</f>
        <v/>
      </c>
      <c r="X781">
        <f>HYPERLINK("https://klasma.github.io/Logging_2521/tillsyn/A 49756-2022 tillsynsbegäran.docx", "A 49756-2022")</f>
        <v/>
      </c>
      <c r="Y781">
        <f>HYPERLINK("https://klasma.github.io/Logging_2521/tillsynsmail/A 49756-2022 tillsynsbegäran mail.docx", "A 49756-2022")</f>
        <v/>
      </c>
    </row>
    <row r="782" ht="15" customHeight="1">
      <c r="A782" t="inlineStr">
        <is>
          <t>A 51641-2022</t>
        </is>
      </c>
      <c r="B782" s="1" t="n">
        <v>44867</v>
      </c>
      <c r="C782" s="1" t="n">
        <v>45758</v>
      </c>
      <c r="D782" t="inlineStr">
        <is>
          <t>NORRBOTTENS LÄN</t>
        </is>
      </c>
      <c r="E782" t="inlineStr">
        <is>
          <t>LULEÅ</t>
        </is>
      </c>
      <c r="G782" t="n">
        <v>5.7</v>
      </c>
      <c r="H782" t="n">
        <v>0</v>
      </c>
      <c r="I782" t="n">
        <v>0</v>
      </c>
      <c r="J782" t="n">
        <v>1</v>
      </c>
      <c r="K782" t="n">
        <v>0</v>
      </c>
      <c r="L782" t="n">
        <v>0</v>
      </c>
      <c r="M782" t="n">
        <v>0</v>
      </c>
      <c r="N782" t="n">
        <v>0</v>
      </c>
      <c r="O782" t="n">
        <v>1</v>
      </c>
      <c r="P782" t="n">
        <v>0</v>
      </c>
      <c r="Q782" t="n">
        <v>1</v>
      </c>
      <c r="R782" s="2" t="inlineStr">
        <is>
          <t>Granticka</t>
        </is>
      </c>
      <c r="S782">
        <f>HYPERLINK("https://klasma.github.io/Logging_2580/artfynd/A 51641-2022 artfynd.xlsx", "A 51641-2022")</f>
        <v/>
      </c>
      <c r="T782">
        <f>HYPERLINK("https://klasma.github.io/Logging_2580/kartor/A 51641-2022 karta.png", "A 51641-2022")</f>
        <v/>
      </c>
      <c r="V782">
        <f>HYPERLINK("https://klasma.github.io/Logging_2580/klagomål/A 51641-2022 FSC-klagomål.docx", "A 51641-2022")</f>
        <v/>
      </c>
      <c r="W782">
        <f>HYPERLINK("https://klasma.github.io/Logging_2580/klagomålsmail/A 51641-2022 FSC-klagomål mail.docx", "A 51641-2022")</f>
        <v/>
      </c>
      <c r="X782">
        <f>HYPERLINK("https://klasma.github.io/Logging_2580/tillsyn/A 51641-2022 tillsynsbegäran.docx", "A 51641-2022")</f>
        <v/>
      </c>
      <c r="Y782">
        <f>HYPERLINK("https://klasma.github.io/Logging_2580/tillsynsmail/A 51641-2022 tillsynsbegäran mail.docx", "A 51641-2022")</f>
        <v/>
      </c>
    </row>
    <row r="783" ht="15" customHeight="1">
      <c r="A783" t="inlineStr">
        <is>
          <t>A 54181-2022</t>
        </is>
      </c>
      <c r="B783" s="1" t="n">
        <v>44881</v>
      </c>
      <c r="C783" s="1" t="n">
        <v>45758</v>
      </c>
      <c r="D783" t="inlineStr">
        <is>
          <t>NORRBOTTENS LÄN</t>
        </is>
      </c>
      <c r="E783" t="inlineStr">
        <is>
          <t>BODEN</t>
        </is>
      </c>
      <c r="F783" t="inlineStr">
        <is>
          <t>Sveaskog</t>
        </is>
      </c>
      <c r="G783" t="n">
        <v>3.3</v>
      </c>
      <c r="H783" t="n">
        <v>0</v>
      </c>
      <c r="I783" t="n">
        <v>0</v>
      </c>
      <c r="J783" t="n">
        <v>1</v>
      </c>
      <c r="K783" t="n">
        <v>0</v>
      </c>
      <c r="L783" t="n">
        <v>0</v>
      </c>
      <c r="M783" t="n">
        <v>0</v>
      </c>
      <c r="N783" t="n">
        <v>0</v>
      </c>
      <c r="O783" t="n">
        <v>1</v>
      </c>
      <c r="P783" t="n">
        <v>0</v>
      </c>
      <c r="Q783" t="n">
        <v>1</v>
      </c>
      <c r="R783" s="2" t="inlineStr">
        <is>
          <t>Lunglav</t>
        </is>
      </c>
      <c r="S783">
        <f>HYPERLINK("https://klasma.github.io/Logging_2582/artfynd/A 54181-2022 artfynd.xlsx", "A 54181-2022")</f>
        <v/>
      </c>
      <c r="T783">
        <f>HYPERLINK("https://klasma.github.io/Logging_2582/kartor/A 54181-2022 karta.png", "A 54181-2022")</f>
        <v/>
      </c>
      <c r="V783">
        <f>HYPERLINK("https://klasma.github.io/Logging_2582/klagomål/A 54181-2022 FSC-klagomål.docx", "A 54181-2022")</f>
        <v/>
      </c>
      <c r="W783">
        <f>HYPERLINK("https://klasma.github.io/Logging_2582/klagomålsmail/A 54181-2022 FSC-klagomål mail.docx", "A 54181-2022")</f>
        <v/>
      </c>
      <c r="X783">
        <f>HYPERLINK("https://klasma.github.io/Logging_2582/tillsyn/A 54181-2022 tillsynsbegäran.docx", "A 54181-2022")</f>
        <v/>
      </c>
      <c r="Y783">
        <f>HYPERLINK("https://klasma.github.io/Logging_2582/tillsynsmail/A 54181-2022 tillsynsbegäran mail.docx", "A 54181-2022")</f>
        <v/>
      </c>
    </row>
    <row r="784" ht="15" customHeight="1">
      <c r="A784" t="inlineStr">
        <is>
          <t>A 58717-2022</t>
        </is>
      </c>
      <c r="B784" s="1" t="n">
        <v>44902</v>
      </c>
      <c r="C784" s="1" t="n">
        <v>45758</v>
      </c>
      <c r="D784" t="inlineStr">
        <is>
          <t>NORRBOTTENS LÄN</t>
        </is>
      </c>
      <c r="E784" t="inlineStr">
        <is>
          <t>LULEÅ</t>
        </is>
      </c>
      <c r="G784" t="n">
        <v>5.9</v>
      </c>
      <c r="H784" t="n">
        <v>0</v>
      </c>
      <c r="I784" t="n">
        <v>1</v>
      </c>
      <c r="J784" t="n">
        <v>0</v>
      </c>
      <c r="K784" t="n">
        <v>0</v>
      </c>
      <c r="L784" t="n">
        <v>0</v>
      </c>
      <c r="M784" t="n">
        <v>0</v>
      </c>
      <c r="N784" t="n">
        <v>0</v>
      </c>
      <c r="O784" t="n">
        <v>0</v>
      </c>
      <c r="P784" t="n">
        <v>0</v>
      </c>
      <c r="Q784" t="n">
        <v>1</v>
      </c>
      <c r="R784" s="2" t="inlineStr">
        <is>
          <t>Dropptaggsvamp</t>
        </is>
      </c>
      <c r="S784">
        <f>HYPERLINK("https://klasma.github.io/Logging_2580/artfynd/A 58717-2022 artfynd.xlsx", "A 58717-2022")</f>
        <v/>
      </c>
      <c r="T784">
        <f>HYPERLINK("https://klasma.github.io/Logging_2580/kartor/A 58717-2022 karta.png", "A 58717-2022")</f>
        <v/>
      </c>
      <c r="V784">
        <f>HYPERLINK("https://klasma.github.io/Logging_2580/klagomål/A 58717-2022 FSC-klagomål.docx", "A 58717-2022")</f>
        <v/>
      </c>
      <c r="W784">
        <f>HYPERLINK("https://klasma.github.io/Logging_2580/klagomålsmail/A 58717-2022 FSC-klagomål mail.docx", "A 58717-2022")</f>
        <v/>
      </c>
      <c r="X784">
        <f>HYPERLINK("https://klasma.github.io/Logging_2580/tillsyn/A 58717-2022 tillsynsbegäran.docx", "A 58717-2022")</f>
        <v/>
      </c>
      <c r="Y784">
        <f>HYPERLINK("https://klasma.github.io/Logging_2580/tillsynsmail/A 58717-2022 tillsynsbegäran mail.docx", "A 58717-2022")</f>
        <v/>
      </c>
    </row>
    <row r="785" ht="15" customHeight="1">
      <c r="A785" t="inlineStr">
        <is>
          <t>A 59071-2022</t>
        </is>
      </c>
      <c r="B785" s="1" t="n">
        <v>44904</v>
      </c>
      <c r="C785" s="1" t="n">
        <v>45758</v>
      </c>
      <c r="D785" t="inlineStr">
        <is>
          <t>NORRBOTTENS LÄN</t>
        </is>
      </c>
      <c r="E785" t="inlineStr">
        <is>
          <t>PAJALA</t>
        </is>
      </c>
      <c r="F785" t="inlineStr">
        <is>
          <t>Sveaskog</t>
        </is>
      </c>
      <c r="G785" t="n">
        <v>9</v>
      </c>
      <c r="H785" t="n">
        <v>0</v>
      </c>
      <c r="I785" t="n">
        <v>0</v>
      </c>
      <c r="J785" t="n">
        <v>1</v>
      </c>
      <c r="K785" t="n">
        <v>0</v>
      </c>
      <c r="L785" t="n">
        <v>0</v>
      </c>
      <c r="M785" t="n">
        <v>0</v>
      </c>
      <c r="N785" t="n">
        <v>0</v>
      </c>
      <c r="O785" t="n">
        <v>1</v>
      </c>
      <c r="P785" t="n">
        <v>0</v>
      </c>
      <c r="Q785" t="n">
        <v>1</v>
      </c>
      <c r="R785" s="2" t="inlineStr">
        <is>
          <t>Garnlav</t>
        </is>
      </c>
      <c r="S785">
        <f>HYPERLINK("https://klasma.github.io/Logging_2521/artfynd/A 59071-2022 artfynd.xlsx", "A 59071-2022")</f>
        <v/>
      </c>
      <c r="T785">
        <f>HYPERLINK("https://klasma.github.io/Logging_2521/kartor/A 59071-2022 karta.png", "A 59071-2022")</f>
        <v/>
      </c>
      <c r="V785">
        <f>HYPERLINK("https://klasma.github.io/Logging_2521/klagomål/A 59071-2022 FSC-klagomål.docx", "A 59071-2022")</f>
        <v/>
      </c>
      <c r="W785">
        <f>HYPERLINK("https://klasma.github.io/Logging_2521/klagomålsmail/A 59071-2022 FSC-klagomål mail.docx", "A 59071-2022")</f>
        <v/>
      </c>
      <c r="X785">
        <f>HYPERLINK("https://klasma.github.io/Logging_2521/tillsyn/A 59071-2022 tillsynsbegäran.docx", "A 59071-2022")</f>
        <v/>
      </c>
      <c r="Y785">
        <f>HYPERLINK("https://klasma.github.io/Logging_2521/tillsynsmail/A 59071-2022 tillsynsbegäran mail.docx", "A 59071-2022")</f>
        <v/>
      </c>
    </row>
    <row r="786" ht="15" customHeight="1">
      <c r="A786" t="inlineStr">
        <is>
          <t>A 59362-2022</t>
        </is>
      </c>
      <c r="B786" s="1" t="n">
        <v>44904</v>
      </c>
      <c r="C786" s="1" t="n">
        <v>45758</v>
      </c>
      <c r="D786" t="inlineStr">
        <is>
          <t>NORRBOTTENS LÄN</t>
        </is>
      </c>
      <c r="E786" t="inlineStr">
        <is>
          <t>LULEÅ</t>
        </is>
      </c>
      <c r="G786" t="n">
        <v>5.1</v>
      </c>
      <c r="H786" t="n">
        <v>1</v>
      </c>
      <c r="I786" t="n">
        <v>0</v>
      </c>
      <c r="J786" t="n">
        <v>1</v>
      </c>
      <c r="K786" t="n">
        <v>0</v>
      </c>
      <c r="L786" t="n">
        <v>0</v>
      </c>
      <c r="M786" t="n">
        <v>0</v>
      </c>
      <c r="N786" t="n">
        <v>0</v>
      </c>
      <c r="O786" t="n">
        <v>1</v>
      </c>
      <c r="P786" t="n">
        <v>0</v>
      </c>
      <c r="Q786" t="n">
        <v>1</v>
      </c>
      <c r="R786" s="2" t="inlineStr">
        <is>
          <t>Tretåig hackspett</t>
        </is>
      </c>
      <c r="S786">
        <f>HYPERLINK("https://klasma.github.io/Logging_2580/artfynd/A 59362-2022 artfynd.xlsx", "A 59362-2022")</f>
        <v/>
      </c>
      <c r="T786">
        <f>HYPERLINK("https://klasma.github.io/Logging_2580/kartor/A 59362-2022 karta.png", "A 59362-2022")</f>
        <v/>
      </c>
      <c r="V786">
        <f>HYPERLINK("https://klasma.github.io/Logging_2580/klagomål/A 59362-2022 FSC-klagomål.docx", "A 59362-2022")</f>
        <v/>
      </c>
      <c r="W786">
        <f>HYPERLINK("https://klasma.github.io/Logging_2580/klagomålsmail/A 59362-2022 FSC-klagomål mail.docx", "A 59362-2022")</f>
        <v/>
      </c>
      <c r="X786">
        <f>HYPERLINK("https://klasma.github.io/Logging_2580/tillsyn/A 59362-2022 tillsynsbegäran.docx", "A 59362-2022")</f>
        <v/>
      </c>
      <c r="Y786">
        <f>HYPERLINK("https://klasma.github.io/Logging_2580/tillsynsmail/A 59362-2022 tillsynsbegäran mail.docx", "A 59362-2022")</f>
        <v/>
      </c>
      <c r="Z786">
        <f>HYPERLINK("https://klasma.github.io/Logging_2580/fåglar/A 59362-2022 prioriterade fågelarter.docx", "A 59362-2022")</f>
        <v/>
      </c>
    </row>
    <row r="787" ht="15" customHeight="1">
      <c r="A787" t="inlineStr">
        <is>
          <t>A 61496-2022</t>
        </is>
      </c>
      <c r="B787" s="1" t="n">
        <v>44910</v>
      </c>
      <c r="C787" s="1" t="n">
        <v>45758</v>
      </c>
      <c r="D787" t="inlineStr">
        <is>
          <t>NORRBOTTENS LÄN</t>
        </is>
      </c>
      <c r="E787" t="inlineStr">
        <is>
          <t>BODEN</t>
        </is>
      </c>
      <c r="F787" t="inlineStr">
        <is>
          <t>Sveaskog</t>
        </is>
      </c>
      <c r="G787" t="n">
        <v>2.8</v>
      </c>
      <c r="H787" t="n">
        <v>0</v>
      </c>
      <c r="I787" t="n">
        <v>0</v>
      </c>
      <c r="J787" t="n">
        <v>1</v>
      </c>
      <c r="K787" t="n">
        <v>0</v>
      </c>
      <c r="L787" t="n">
        <v>0</v>
      </c>
      <c r="M787" t="n">
        <v>0</v>
      </c>
      <c r="N787" t="n">
        <v>0</v>
      </c>
      <c r="O787" t="n">
        <v>1</v>
      </c>
      <c r="P787" t="n">
        <v>0</v>
      </c>
      <c r="Q787" t="n">
        <v>1</v>
      </c>
      <c r="R787" s="2" t="inlineStr">
        <is>
          <t>Gammelgransskål</t>
        </is>
      </c>
      <c r="S787">
        <f>HYPERLINK("https://klasma.github.io/Logging_2582/artfynd/A 61496-2022 artfynd.xlsx", "A 61496-2022")</f>
        <v/>
      </c>
      <c r="T787">
        <f>HYPERLINK("https://klasma.github.io/Logging_2582/kartor/A 61496-2022 karta.png", "A 61496-2022")</f>
        <v/>
      </c>
      <c r="V787">
        <f>HYPERLINK("https://klasma.github.io/Logging_2582/klagomål/A 61496-2022 FSC-klagomål.docx", "A 61496-2022")</f>
        <v/>
      </c>
      <c r="W787">
        <f>HYPERLINK("https://klasma.github.io/Logging_2582/klagomålsmail/A 61496-2022 FSC-klagomål mail.docx", "A 61496-2022")</f>
        <v/>
      </c>
      <c r="X787">
        <f>HYPERLINK("https://klasma.github.io/Logging_2582/tillsyn/A 61496-2022 tillsynsbegäran.docx", "A 61496-2022")</f>
        <v/>
      </c>
      <c r="Y787">
        <f>HYPERLINK("https://klasma.github.io/Logging_2582/tillsynsmail/A 61496-2022 tillsynsbegäran mail.docx", "A 61496-2022")</f>
        <v/>
      </c>
    </row>
    <row r="788" ht="15" customHeight="1">
      <c r="A788" t="inlineStr">
        <is>
          <t>A 61713-2022</t>
        </is>
      </c>
      <c r="B788" s="1" t="n">
        <v>44917</v>
      </c>
      <c r="C788" s="1" t="n">
        <v>45758</v>
      </c>
      <c r="D788" t="inlineStr">
        <is>
          <t>NORRBOTTENS LÄN</t>
        </is>
      </c>
      <c r="E788" t="inlineStr">
        <is>
          <t>PITEÅ</t>
        </is>
      </c>
      <c r="F788" t="inlineStr">
        <is>
          <t>Sveaskog</t>
        </is>
      </c>
      <c r="G788" t="n">
        <v>8.4</v>
      </c>
      <c r="H788" t="n">
        <v>1</v>
      </c>
      <c r="I788" t="n">
        <v>0</v>
      </c>
      <c r="J788" t="n">
        <v>0</v>
      </c>
      <c r="K788" t="n">
        <v>0</v>
      </c>
      <c r="L788" t="n">
        <v>0</v>
      </c>
      <c r="M788" t="n">
        <v>0</v>
      </c>
      <c r="N788" t="n">
        <v>0</v>
      </c>
      <c r="O788" t="n">
        <v>0</v>
      </c>
      <c r="P788" t="n">
        <v>0</v>
      </c>
      <c r="Q788" t="n">
        <v>1</v>
      </c>
      <c r="R788" s="2" t="inlineStr">
        <is>
          <t>Revlummer</t>
        </is>
      </c>
      <c r="S788">
        <f>HYPERLINK("https://klasma.github.io/Logging_2581/artfynd/A 61713-2022 artfynd.xlsx", "A 61713-2022")</f>
        <v/>
      </c>
      <c r="T788">
        <f>HYPERLINK("https://klasma.github.io/Logging_2581/kartor/A 61713-2022 karta.png", "A 61713-2022")</f>
        <v/>
      </c>
      <c r="V788">
        <f>HYPERLINK("https://klasma.github.io/Logging_2581/klagomål/A 61713-2022 FSC-klagomål.docx", "A 61713-2022")</f>
        <v/>
      </c>
      <c r="W788">
        <f>HYPERLINK("https://klasma.github.io/Logging_2581/klagomålsmail/A 61713-2022 FSC-klagomål mail.docx", "A 61713-2022")</f>
        <v/>
      </c>
      <c r="X788">
        <f>HYPERLINK("https://klasma.github.io/Logging_2581/tillsyn/A 61713-2022 tillsynsbegäran.docx", "A 61713-2022")</f>
        <v/>
      </c>
      <c r="Y788">
        <f>HYPERLINK("https://klasma.github.io/Logging_2581/tillsynsmail/A 61713-2022 tillsynsbegäran mail.docx", "A 61713-2022")</f>
        <v/>
      </c>
    </row>
    <row r="789" ht="15" customHeight="1">
      <c r="A789" t="inlineStr">
        <is>
          <t>A 2397-2023</t>
        </is>
      </c>
      <c r="B789" s="1" t="n">
        <v>44942</v>
      </c>
      <c r="C789" s="1" t="n">
        <v>45758</v>
      </c>
      <c r="D789" t="inlineStr">
        <is>
          <t>NORRBOTTENS LÄN</t>
        </is>
      </c>
      <c r="E789" t="inlineStr">
        <is>
          <t>ARVIDSJAUR</t>
        </is>
      </c>
      <c r="G789" t="n">
        <v>9.5</v>
      </c>
      <c r="H789" t="n">
        <v>0</v>
      </c>
      <c r="I789" t="n">
        <v>1</v>
      </c>
      <c r="J789" t="n">
        <v>0</v>
      </c>
      <c r="K789" t="n">
        <v>0</v>
      </c>
      <c r="L789" t="n">
        <v>0</v>
      </c>
      <c r="M789" t="n">
        <v>0</v>
      </c>
      <c r="N789" t="n">
        <v>0</v>
      </c>
      <c r="O789" t="n">
        <v>0</v>
      </c>
      <c r="P789" t="n">
        <v>0</v>
      </c>
      <c r="Q789" t="n">
        <v>1</v>
      </c>
      <c r="R789" s="2" t="inlineStr">
        <is>
          <t>Stuplav</t>
        </is>
      </c>
      <c r="S789">
        <f>HYPERLINK("https://klasma.github.io/Logging_2505/artfynd/A 2397-2023 artfynd.xlsx", "A 2397-2023")</f>
        <v/>
      </c>
      <c r="T789">
        <f>HYPERLINK("https://klasma.github.io/Logging_2505/kartor/A 2397-2023 karta.png", "A 2397-2023")</f>
        <v/>
      </c>
      <c r="V789">
        <f>HYPERLINK("https://klasma.github.io/Logging_2505/klagomål/A 2397-2023 FSC-klagomål.docx", "A 2397-2023")</f>
        <v/>
      </c>
      <c r="W789">
        <f>HYPERLINK("https://klasma.github.io/Logging_2505/klagomålsmail/A 2397-2023 FSC-klagomål mail.docx", "A 2397-2023")</f>
        <v/>
      </c>
      <c r="X789">
        <f>HYPERLINK("https://klasma.github.io/Logging_2505/tillsyn/A 2397-2023 tillsynsbegäran.docx", "A 2397-2023")</f>
        <v/>
      </c>
      <c r="Y789">
        <f>HYPERLINK("https://klasma.github.io/Logging_2505/tillsynsmail/A 2397-2023 tillsynsbegäran mail.docx", "A 2397-2023")</f>
        <v/>
      </c>
    </row>
    <row r="790" ht="15" customHeight="1">
      <c r="A790" t="inlineStr">
        <is>
          <t>A 4561-2023</t>
        </is>
      </c>
      <c r="B790" s="1" t="n">
        <v>44951</v>
      </c>
      <c r="C790" s="1" t="n">
        <v>45758</v>
      </c>
      <c r="D790" t="inlineStr">
        <is>
          <t>NORRBOTTENS LÄN</t>
        </is>
      </c>
      <c r="E790" t="inlineStr">
        <is>
          <t>LULEÅ</t>
        </is>
      </c>
      <c r="G790" t="n">
        <v>4.1</v>
      </c>
      <c r="H790" t="n">
        <v>1</v>
      </c>
      <c r="I790" t="n">
        <v>0</v>
      </c>
      <c r="J790" t="n">
        <v>0</v>
      </c>
      <c r="K790" t="n">
        <v>1</v>
      </c>
      <c r="L790" t="n">
        <v>0</v>
      </c>
      <c r="M790" t="n">
        <v>0</v>
      </c>
      <c r="N790" t="n">
        <v>0</v>
      </c>
      <c r="O790" t="n">
        <v>1</v>
      </c>
      <c r="P790" t="n">
        <v>1</v>
      </c>
      <c r="Q790" t="n">
        <v>1</v>
      </c>
      <c r="R790" s="2" t="inlineStr">
        <is>
          <t>Topplåsbräken</t>
        </is>
      </c>
      <c r="S790">
        <f>HYPERLINK("https://klasma.github.io/Logging_2580/artfynd/A 4561-2023 artfynd.xlsx", "A 4561-2023")</f>
        <v/>
      </c>
      <c r="T790">
        <f>HYPERLINK("https://klasma.github.io/Logging_2580/kartor/A 4561-2023 karta.png", "A 4561-2023")</f>
        <v/>
      </c>
      <c r="V790">
        <f>HYPERLINK("https://klasma.github.io/Logging_2580/klagomål/A 4561-2023 FSC-klagomål.docx", "A 4561-2023")</f>
        <v/>
      </c>
      <c r="W790">
        <f>HYPERLINK("https://klasma.github.io/Logging_2580/klagomålsmail/A 4561-2023 FSC-klagomål mail.docx", "A 4561-2023")</f>
        <v/>
      </c>
      <c r="X790">
        <f>HYPERLINK("https://klasma.github.io/Logging_2580/tillsyn/A 4561-2023 tillsynsbegäran.docx", "A 4561-2023")</f>
        <v/>
      </c>
      <c r="Y790">
        <f>HYPERLINK("https://klasma.github.io/Logging_2580/tillsynsmail/A 4561-2023 tillsynsbegäran mail.docx", "A 4561-2023")</f>
        <v/>
      </c>
    </row>
    <row r="791" ht="15" customHeight="1">
      <c r="A791" t="inlineStr">
        <is>
          <t>A 5824-2023</t>
        </is>
      </c>
      <c r="B791" s="1" t="n">
        <v>44958</v>
      </c>
      <c r="C791" s="1" t="n">
        <v>45758</v>
      </c>
      <c r="D791" t="inlineStr">
        <is>
          <t>NORRBOTTENS LÄN</t>
        </is>
      </c>
      <c r="E791" t="inlineStr">
        <is>
          <t>JOKKMOKK</t>
        </is>
      </c>
      <c r="G791" t="n">
        <v>6.7</v>
      </c>
      <c r="H791" t="n">
        <v>0</v>
      </c>
      <c r="I791" t="n">
        <v>0</v>
      </c>
      <c r="J791" t="n">
        <v>1</v>
      </c>
      <c r="K791" t="n">
        <v>0</v>
      </c>
      <c r="L791" t="n">
        <v>0</v>
      </c>
      <c r="M791" t="n">
        <v>0</v>
      </c>
      <c r="N791" t="n">
        <v>0</v>
      </c>
      <c r="O791" t="n">
        <v>1</v>
      </c>
      <c r="P791" t="n">
        <v>0</v>
      </c>
      <c r="Q791" t="n">
        <v>1</v>
      </c>
      <c r="R791" s="2" t="inlineStr">
        <is>
          <t>Granticka</t>
        </is>
      </c>
      <c r="S791">
        <f>HYPERLINK("https://klasma.github.io/Logging_2510/artfynd/A 5824-2023 artfynd.xlsx", "A 5824-2023")</f>
        <v/>
      </c>
      <c r="T791">
        <f>HYPERLINK("https://klasma.github.io/Logging_2510/kartor/A 5824-2023 karta.png", "A 5824-2023")</f>
        <v/>
      </c>
      <c r="V791">
        <f>HYPERLINK("https://klasma.github.io/Logging_2510/klagomål/A 5824-2023 FSC-klagomål.docx", "A 5824-2023")</f>
        <v/>
      </c>
      <c r="W791">
        <f>HYPERLINK("https://klasma.github.io/Logging_2510/klagomålsmail/A 5824-2023 FSC-klagomål mail.docx", "A 5824-2023")</f>
        <v/>
      </c>
      <c r="X791">
        <f>HYPERLINK("https://klasma.github.io/Logging_2510/tillsyn/A 5824-2023 tillsynsbegäran.docx", "A 5824-2023")</f>
        <v/>
      </c>
      <c r="Y791">
        <f>HYPERLINK("https://klasma.github.io/Logging_2510/tillsynsmail/A 5824-2023 tillsynsbegäran mail.docx", "A 5824-2023")</f>
        <v/>
      </c>
    </row>
    <row r="792" ht="15" customHeight="1">
      <c r="A792" t="inlineStr">
        <is>
          <t>A 6239-2023</t>
        </is>
      </c>
      <c r="B792" s="1" t="n">
        <v>44964</v>
      </c>
      <c r="C792" s="1" t="n">
        <v>45758</v>
      </c>
      <c r="D792" t="inlineStr">
        <is>
          <t>NORRBOTTENS LÄN</t>
        </is>
      </c>
      <c r="E792" t="inlineStr">
        <is>
          <t>BODEN</t>
        </is>
      </c>
      <c r="F792" t="inlineStr">
        <is>
          <t>SCA</t>
        </is>
      </c>
      <c r="G792" t="n">
        <v>7.3</v>
      </c>
      <c r="H792" t="n">
        <v>0</v>
      </c>
      <c r="I792" t="n">
        <v>0</v>
      </c>
      <c r="J792" t="n">
        <v>0</v>
      </c>
      <c r="K792" t="n">
        <v>1</v>
      </c>
      <c r="L792" t="n">
        <v>0</v>
      </c>
      <c r="M792" t="n">
        <v>0</v>
      </c>
      <c r="N792" t="n">
        <v>0</v>
      </c>
      <c r="O792" t="n">
        <v>1</v>
      </c>
      <c r="P792" t="n">
        <v>1</v>
      </c>
      <c r="Q792" t="n">
        <v>1</v>
      </c>
      <c r="R792" s="2" t="inlineStr">
        <is>
          <t>Liten aspgelélav</t>
        </is>
      </c>
      <c r="S792">
        <f>HYPERLINK("https://klasma.github.io/Logging_2582/artfynd/A 6239-2023 artfynd.xlsx", "A 6239-2023")</f>
        <v/>
      </c>
      <c r="T792">
        <f>HYPERLINK("https://klasma.github.io/Logging_2582/kartor/A 6239-2023 karta.png", "A 6239-2023")</f>
        <v/>
      </c>
      <c r="V792">
        <f>HYPERLINK("https://klasma.github.io/Logging_2582/klagomål/A 6239-2023 FSC-klagomål.docx", "A 6239-2023")</f>
        <v/>
      </c>
      <c r="W792">
        <f>HYPERLINK("https://klasma.github.io/Logging_2582/klagomålsmail/A 6239-2023 FSC-klagomål mail.docx", "A 6239-2023")</f>
        <v/>
      </c>
      <c r="X792">
        <f>HYPERLINK("https://klasma.github.io/Logging_2582/tillsyn/A 6239-2023 tillsynsbegäran.docx", "A 6239-2023")</f>
        <v/>
      </c>
      <c r="Y792">
        <f>HYPERLINK("https://klasma.github.io/Logging_2582/tillsynsmail/A 6239-2023 tillsynsbegäran mail.docx", "A 6239-2023")</f>
        <v/>
      </c>
    </row>
    <row r="793" ht="15" customHeight="1">
      <c r="A793" t="inlineStr">
        <is>
          <t>A 7477-2023</t>
        </is>
      </c>
      <c r="B793" s="1" t="n">
        <v>44966</v>
      </c>
      <c r="C793" s="1" t="n">
        <v>45758</v>
      </c>
      <c r="D793" t="inlineStr">
        <is>
          <t>NORRBOTTENS LÄN</t>
        </is>
      </c>
      <c r="E793" t="inlineStr">
        <is>
          <t>ÖVERKALIX</t>
        </is>
      </c>
      <c r="G793" t="n">
        <v>2.6</v>
      </c>
      <c r="H793" t="n">
        <v>0</v>
      </c>
      <c r="I793" t="n">
        <v>1</v>
      </c>
      <c r="J793" t="n">
        <v>0</v>
      </c>
      <c r="K793" t="n">
        <v>0</v>
      </c>
      <c r="L793" t="n">
        <v>0</v>
      </c>
      <c r="M793" t="n">
        <v>0</v>
      </c>
      <c r="N793" t="n">
        <v>0</v>
      </c>
      <c r="O793" t="n">
        <v>0</v>
      </c>
      <c r="P793" t="n">
        <v>0</v>
      </c>
      <c r="Q793" t="n">
        <v>1</v>
      </c>
      <c r="R793" s="2" t="inlineStr">
        <is>
          <t>Skarp dropptaggsvamp</t>
        </is>
      </c>
      <c r="S793">
        <f>HYPERLINK("https://klasma.github.io/Logging_2513/artfynd/A 7477-2023 artfynd.xlsx", "A 7477-2023")</f>
        <v/>
      </c>
      <c r="T793">
        <f>HYPERLINK("https://klasma.github.io/Logging_2513/kartor/A 7477-2023 karta.png", "A 7477-2023")</f>
        <v/>
      </c>
      <c r="V793">
        <f>HYPERLINK("https://klasma.github.io/Logging_2513/klagomål/A 7477-2023 FSC-klagomål.docx", "A 7477-2023")</f>
        <v/>
      </c>
      <c r="W793">
        <f>HYPERLINK("https://klasma.github.io/Logging_2513/klagomålsmail/A 7477-2023 FSC-klagomål mail.docx", "A 7477-2023")</f>
        <v/>
      </c>
      <c r="X793">
        <f>HYPERLINK("https://klasma.github.io/Logging_2513/tillsyn/A 7477-2023 tillsynsbegäran.docx", "A 7477-2023")</f>
        <v/>
      </c>
      <c r="Y793">
        <f>HYPERLINK("https://klasma.github.io/Logging_2513/tillsynsmail/A 7477-2023 tillsynsbegäran mail.docx", "A 7477-2023")</f>
        <v/>
      </c>
    </row>
    <row r="794" ht="15" customHeight="1">
      <c r="A794" t="inlineStr">
        <is>
          <t>A 11208-2023</t>
        </is>
      </c>
      <c r="B794" s="1" t="n">
        <v>44992</v>
      </c>
      <c r="C794" s="1" t="n">
        <v>45758</v>
      </c>
      <c r="D794" t="inlineStr">
        <is>
          <t>NORRBOTTENS LÄN</t>
        </is>
      </c>
      <c r="E794" t="inlineStr">
        <is>
          <t>BODEN</t>
        </is>
      </c>
      <c r="G794" t="n">
        <v>14.9</v>
      </c>
      <c r="H794" t="n">
        <v>0</v>
      </c>
      <c r="I794" t="n">
        <v>1</v>
      </c>
      <c r="J794" t="n">
        <v>0</v>
      </c>
      <c r="K794" t="n">
        <v>0</v>
      </c>
      <c r="L794" t="n">
        <v>0</v>
      </c>
      <c r="M794" t="n">
        <v>0</v>
      </c>
      <c r="N794" t="n">
        <v>0</v>
      </c>
      <c r="O794" t="n">
        <v>0</v>
      </c>
      <c r="P794" t="n">
        <v>0</v>
      </c>
      <c r="Q794" t="n">
        <v>1</v>
      </c>
      <c r="R794" s="2" t="inlineStr">
        <is>
          <t>Ögonpyrola</t>
        </is>
      </c>
      <c r="S794">
        <f>HYPERLINK("https://klasma.github.io/Logging_2582/artfynd/A 11208-2023 artfynd.xlsx", "A 11208-2023")</f>
        <v/>
      </c>
      <c r="T794">
        <f>HYPERLINK("https://klasma.github.io/Logging_2582/kartor/A 11208-2023 karta.png", "A 11208-2023")</f>
        <v/>
      </c>
      <c r="V794">
        <f>HYPERLINK("https://klasma.github.io/Logging_2582/klagomål/A 11208-2023 FSC-klagomål.docx", "A 11208-2023")</f>
        <v/>
      </c>
      <c r="W794">
        <f>HYPERLINK("https://klasma.github.io/Logging_2582/klagomålsmail/A 11208-2023 FSC-klagomål mail.docx", "A 11208-2023")</f>
        <v/>
      </c>
      <c r="X794">
        <f>HYPERLINK("https://klasma.github.io/Logging_2582/tillsyn/A 11208-2023 tillsynsbegäran.docx", "A 11208-2023")</f>
        <v/>
      </c>
      <c r="Y794">
        <f>HYPERLINK("https://klasma.github.io/Logging_2582/tillsynsmail/A 11208-2023 tillsynsbegäran mail.docx", "A 11208-2023")</f>
        <v/>
      </c>
    </row>
    <row r="795" ht="15" customHeight="1">
      <c r="A795" t="inlineStr">
        <is>
          <t>A 14979-2023</t>
        </is>
      </c>
      <c r="B795" s="1" t="n">
        <v>45014</v>
      </c>
      <c r="C795" s="1" t="n">
        <v>45758</v>
      </c>
      <c r="D795" t="inlineStr">
        <is>
          <t>NORRBOTTENS LÄN</t>
        </is>
      </c>
      <c r="E795" t="inlineStr">
        <is>
          <t>PAJALA</t>
        </is>
      </c>
      <c r="F795" t="inlineStr">
        <is>
          <t>Allmännings- och besparingsskogar</t>
        </is>
      </c>
      <c r="G795" t="n">
        <v>26.1</v>
      </c>
      <c r="H795" t="n">
        <v>0</v>
      </c>
      <c r="I795" t="n">
        <v>0</v>
      </c>
      <c r="J795" t="n">
        <v>1</v>
      </c>
      <c r="K795" t="n">
        <v>0</v>
      </c>
      <c r="L795" t="n">
        <v>0</v>
      </c>
      <c r="M795" t="n">
        <v>0</v>
      </c>
      <c r="N795" t="n">
        <v>0</v>
      </c>
      <c r="O795" t="n">
        <v>1</v>
      </c>
      <c r="P795" t="n">
        <v>0</v>
      </c>
      <c r="Q795" t="n">
        <v>1</v>
      </c>
      <c r="R795" s="2" t="inlineStr">
        <is>
          <t>Garnlav</t>
        </is>
      </c>
      <c r="S795">
        <f>HYPERLINK("https://klasma.github.io/Logging_2521/artfynd/A 14979-2023 artfynd.xlsx", "A 14979-2023")</f>
        <v/>
      </c>
      <c r="T795">
        <f>HYPERLINK("https://klasma.github.io/Logging_2521/kartor/A 14979-2023 karta.png", "A 14979-2023")</f>
        <v/>
      </c>
      <c r="V795">
        <f>HYPERLINK("https://klasma.github.io/Logging_2521/klagomål/A 14979-2023 FSC-klagomål.docx", "A 14979-2023")</f>
        <v/>
      </c>
      <c r="W795">
        <f>HYPERLINK("https://klasma.github.io/Logging_2521/klagomålsmail/A 14979-2023 FSC-klagomål mail.docx", "A 14979-2023")</f>
        <v/>
      </c>
      <c r="X795">
        <f>HYPERLINK("https://klasma.github.io/Logging_2521/tillsyn/A 14979-2023 tillsynsbegäran.docx", "A 14979-2023")</f>
        <v/>
      </c>
      <c r="Y795">
        <f>HYPERLINK("https://klasma.github.io/Logging_2521/tillsynsmail/A 14979-2023 tillsynsbegäran mail.docx", "A 14979-2023")</f>
        <v/>
      </c>
    </row>
    <row r="796" ht="15" customHeight="1">
      <c r="A796" t="inlineStr">
        <is>
          <t>A 17740-2023</t>
        </is>
      </c>
      <c r="B796" s="1" t="n">
        <v>45035</v>
      </c>
      <c r="C796" s="1" t="n">
        <v>45758</v>
      </c>
      <c r="D796" t="inlineStr">
        <is>
          <t>NORRBOTTENS LÄN</t>
        </is>
      </c>
      <c r="E796" t="inlineStr">
        <is>
          <t>KIRUNA</t>
        </is>
      </c>
      <c r="F796" t="inlineStr">
        <is>
          <t>Allmännings- och besparingsskogar</t>
        </is>
      </c>
      <c r="G796" t="n">
        <v>20.1</v>
      </c>
      <c r="H796" t="n">
        <v>0</v>
      </c>
      <c r="I796" t="n">
        <v>0</v>
      </c>
      <c r="J796" t="n">
        <v>1</v>
      </c>
      <c r="K796" t="n">
        <v>0</v>
      </c>
      <c r="L796" t="n">
        <v>0</v>
      </c>
      <c r="M796" t="n">
        <v>0</v>
      </c>
      <c r="N796" t="n">
        <v>0</v>
      </c>
      <c r="O796" t="n">
        <v>1</v>
      </c>
      <c r="P796" t="n">
        <v>0</v>
      </c>
      <c r="Q796" t="n">
        <v>1</v>
      </c>
      <c r="R796" s="2" t="inlineStr">
        <is>
          <t>Knottrig blåslav</t>
        </is>
      </c>
      <c r="S796">
        <f>HYPERLINK("https://klasma.github.io/Logging_2584/artfynd/A 17740-2023 artfynd.xlsx", "A 17740-2023")</f>
        <v/>
      </c>
      <c r="T796">
        <f>HYPERLINK("https://klasma.github.io/Logging_2584/kartor/A 17740-2023 karta.png", "A 17740-2023")</f>
        <v/>
      </c>
      <c r="V796">
        <f>HYPERLINK("https://klasma.github.io/Logging_2584/klagomål/A 17740-2023 FSC-klagomål.docx", "A 17740-2023")</f>
        <v/>
      </c>
      <c r="W796">
        <f>HYPERLINK("https://klasma.github.io/Logging_2584/klagomålsmail/A 17740-2023 FSC-klagomål mail.docx", "A 17740-2023")</f>
        <v/>
      </c>
      <c r="X796">
        <f>HYPERLINK("https://klasma.github.io/Logging_2584/tillsyn/A 17740-2023 tillsynsbegäran.docx", "A 17740-2023")</f>
        <v/>
      </c>
      <c r="Y796">
        <f>HYPERLINK("https://klasma.github.io/Logging_2584/tillsynsmail/A 17740-2023 tillsynsbegäran mail.docx", "A 17740-2023")</f>
        <v/>
      </c>
    </row>
    <row r="797" ht="15" customHeight="1">
      <c r="A797" t="inlineStr">
        <is>
          <t>A 17428-2023</t>
        </is>
      </c>
      <c r="B797" s="1" t="n">
        <v>45036</v>
      </c>
      <c r="C797" s="1" t="n">
        <v>45758</v>
      </c>
      <c r="D797" t="inlineStr">
        <is>
          <t>NORRBOTTENS LÄN</t>
        </is>
      </c>
      <c r="E797" t="inlineStr">
        <is>
          <t>LULEÅ</t>
        </is>
      </c>
      <c r="G797" t="n">
        <v>2</v>
      </c>
      <c r="H797" t="n">
        <v>0</v>
      </c>
      <c r="I797" t="n">
        <v>1</v>
      </c>
      <c r="J797" t="n">
        <v>0</v>
      </c>
      <c r="K797" t="n">
        <v>0</v>
      </c>
      <c r="L797" t="n">
        <v>0</v>
      </c>
      <c r="M797" t="n">
        <v>0</v>
      </c>
      <c r="N797" t="n">
        <v>0</v>
      </c>
      <c r="O797" t="n">
        <v>0</v>
      </c>
      <c r="P797" t="n">
        <v>0</v>
      </c>
      <c r="Q797" t="n">
        <v>1</v>
      </c>
      <c r="R797" s="2" t="inlineStr">
        <is>
          <t>Mindre märgborre</t>
        </is>
      </c>
      <c r="S797">
        <f>HYPERLINK("https://klasma.github.io/Logging_2580/artfynd/A 17428-2023 artfynd.xlsx", "A 17428-2023")</f>
        <v/>
      </c>
      <c r="T797">
        <f>HYPERLINK("https://klasma.github.io/Logging_2580/kartor/A 17428-2023 karta.png", "A 17428-2023")</f>
        <v/>
      </c>
      <c r="V797">
        <f>HYPERLINK("https://klasma.github.io/Logging_2580/klagomål/A 17428-2023 FSC-klagomål.docx", "A 17428-2023")</f>
        <v/>
      </c>
      <c r="W797">
        <f>HYPERLINK("https://klasma.github.io/Logging_2580/klagomålsmail/A 17428-2023 FSC-klagomål mail.docx", "A 17428-2023")</f>
        <v/>
      </c>
      <c r="X797">
        <f>HYPERLINK("https://klasma.github.io/Logging_2580/tillsyn/A 17428-2023 tillsynsbegäran.docx", "A 17428-2023")</f>
        <v/>
      </c>
      <c r="Y797">
        <f>HYPERLINK("https://klasma.github.io/Logging_2580/tillsynsmail/A 17428-2023 tillsynsbegäran mail.docx", "A 17428-2023")</f>
        <v/>
      </c>
    </row>
    <row r="798" ht="15" customHeight="1">
      <c r="A798" t="inlineStr">
        <is>
          <t>A 19375-2023</t>
        </is>
      </c>
      <c r="B798" s="1" t="n">
        <v>45049</v>
      </c>
      <c r="C798" s="1" t="n">
        <v>45758</v>
      </c>
      <c r="D798" t="inlineStr">
        <is>
          <t>NORRBOTTENS LÄN</t>
        </is>
      </c>
      <c r="E798" t="inlineStr">
        <is>
          <t>PITEÅ</t>
        </is>
      </c>
      <c r="G798" t="n">
        <v>1.1</v>
      </c>
      <c r="H798" t="n">
        <v>1</v>
      </c>
      <c r="I798" t="n">
        <v>0</v>
      </c>
      <c r="J798" t="n">
        <v>0</v>
      </c>
      <c r="K798" t="n">
        <v>1</v>
      </c>
      <c r="L798" t="n">
        <v>0</v>
      </c>
      <c r="M798" t="n">
        <v>0</v>
      </c>
      <c r="N798" t="n">
        <v>0</v>
      </c>
      <c r="O798" t="n">
        <v>1</v>
      </c>
      <c r="P798" t="n">
        <v>1</v>
      </c>
      <c r="Q798" t="n">
        <v>1</v>
      </c>
      <c r="R798" s="2" t="inlineStr">
        <is>
          <t>Lappuggla</t>
        </is>
      </c>
      <c r="S798">
        <f>HYPERLINK("https://klasma.github.io/Logging_2581/artfynd/A 19375-2023 artfynd.xlsx", "A 19375-2023")</f>
        <v/>
      </c>
      <c r="T798">
        <f>HYPERLINK("https://klasma.github.io/Logging_2581/kartor/A 19375-2023 karta.png", "A 19375-2023")</f>
        <v/>
      </c>
      <c r="V798">
        <f>HYPERLINK("https://klasma.github.io/Logging_2581/klagomål/A 19375-2023 FSC-klagomål.docx", "A 19375-2023")</f>
        <v/>
      </c>
      <c r="W798">
        <f>HYPERLINK("https://klasma.github.io/Logging_2581/klagomålsmail/A 19375-2023 FSC-klagomål mail.docx", "A 19375-2023")</f>
        <v/>
      </c>
      <c r="X798">
        <f>HYPERLINK("https://klasma.github.io/Logging_2581/tillsyn/A 19375-2023 tillsynsbegäran.docx", "A 19375-2023")</f>
        <v/>
      </c>
      <c r="Y798">
        <f>HYPERLINK("https://klasma.github.io/Logging_2581/tillsynsmail/A 19375-2023 tillsynsbegäran mail.docx", "A 19375-2023")</f>
        <v/>
      </c>
      <c r="Z798">
        <f>HYPERLINK("https://klasma.github.io/Logging_2581/fåglar/A 19375-2023 prioriterade fågelarter.docx", "A 19375-2023")</f>
        <v/>
      </c>
    </row>
    <row r="799" ht="15" customHeight="1">
      <c r="A799" t="inlineStr">
        <is>
          <t>A 21019-2023</t>
        </is>
      </c>
      <c r="B799" s="1" t="n">
        <v>45056</v>
      </c>
      <c r="C799" s="1" t="n">
        <v>45758</v>
      </c>
      <c r="D799" t="inlineStr">
        <is>
          <t>NORRBOTTENS LÄN</t>
        </is>
      </c>
      <c r="E799" t="inlineStr">
        <is>
          <t>BODEN</t>
        </is>
      </c>
      <c r="G799" t="n">
        <v>7.5</v>
      </c>
      <c r="H799" t="n">
        <v>1</v>
      </c>
      <c r="I799" t="n">
        <v>0</v>
      </c>
      <c r="J799" t="n">
        <v>0</v>
      </c>
      <c r="K799" t="n">
        <v>0</v>
      </c>
      <c r="L799" t="n">
        <v>0</v>
      </c>
      <c r="M799" t="n">
        <v>0</v>
      </c>
      <c r="N799" t="n">
        <v>0</v>
      </c>
      <c r="O799" t="n">
        <v>0</v>
      </c>
      <c r="P799" t="n">
        <v>0</v>
      </c>
      <c r="Q799" t="n">
        <v>1</v>
      </c>
      <c r="R799" s="2" t="inlineStr">
        <is>
          <t>Sångsvan</t>
        </is>
      </c>
      <c r="S799">
        <f>HYPERLINK("https://klasma.github.io/Logging_2582/artfynd/A 21019-2023 artfynd.xlsx", "A 21019-2023")</f>
        <v/>
      </c>
      <c r="T799">
        <f>HYPERLINK("https://klasma.github.io/Logging_2582/kartor/A 21019-2023 karta.png", "A 21019-2023")</f>
        <v/>
      </c>
      <c r="V799">
        <f>HYPERLINK("https://klasma.github.io/Logging_2582/klagomål/A 21019-2023 FSC-klagomål.docx", "A 21019-2023")</f>
        <v/>
      </c>
      <c r="W799">
        <f>HYPERLINK("https://klasma.github.io/Logging_2582/klagomålsmail/A 21019-2023 FSC-klagomål mail.docx", "A 21019-2023")</f>
        <v/>
      </c>
      <c r="X799">
        <f>HYPERLINK("https://klasma.github.io/Logging_2582/tillsyn/A 21019-2023 tillsynsbegäran.docx", "A 21019-2023")</f>
        <v/>
      </c>
      <c r="Y799">
        <f>HYPERLINK("https://klasma.github.io/Logging_2582/tillsynsmail/A 21019-2023 tillsynsbegäran mail.docx", "A 21019-2023")</f>
        <v/>
      </c>
      <c r="Z799">
        <f>HYPERLINK("https://klasma.github.io/Logging_2582/fåglar/A 21019-2023 prioriterade fågelarter.docx", "A 21019-2023")</f>
        <v/>
      </c>
    </row>
    <row r="800" ht="15" customHeight="1">
      <c r="A800" t="inlineStr">
        <is>
          <t>A 21552-2023</t>
        </is>
      </c>
      <c r="B800" s="1" t="n">
        <v>45063</v>
      </c>
      <c r="C800" s="1" t="n">
        <v>45758</v>
      </c>
      <c r="D800" t="inlineStr">
        <is>
          <t>NORRBOTTENS LÄN</t>
        </is>
      </c>
      <c r="E800" t="inlineStr">
        <is>
          <t>KALIX</t>
        </is>
      </c>
      <c r="G800" t="n">
        <v>3.7</v>
      </c>
      <c r="H800" t="n">
        <v>1</v>
      </c>
      <c r="I800" t="n">
        <v>0</v>
      </c>
      <c r="J800" t="n">
        <v>0</v>
      </c>
      <c r="K800" t="n">
        <v>0</v>
      </c>
      <c r="L800" t="n">
        <v>0</v>
      </c>
      <c r="M800" t="n">
        <v>0</v>
      </c>
      <c r="N800" t="n">
        <v>0</v>
      </c>
      <c r="O800" t="n">
        <v>0</v>
      </c>
      <c r="P800" t="n">
        <v>0</v>
      </c>
      <c r="Q800" t="n">
        <v>1</v>
      </c>
      <c r="R800" s="2" t="inlineStr">
        <is>
          <t>Mattlummer</t>
        </is>
      </c>
      <c r="S800">
        <f>HYPERLINK("https://klasma.github.io/Logging_2514/artfynd/A 21552-2023 artfynd.xlsx", "A 21552-2023")</f>
        <v/>
      </c>
      <c r="T800">
        <f>HYPERLINK("https://klasma.github.io/Logging_2514/kartor/A 21552-2023 karta.png", "A 21552-2023")</f>
        <v/>
      </c>
      <c r="V800">
        <f>HYPERLINK("https://klasma.github.io/Logging_2514/klagomål/A 21552-2023 FSC-klagomål.docx", "A 21552-2023")</f>
        <v/>
      </c>
      <c r="W800">
        <f>HYPERLINK("https://klasma.github.io/Logging_2514/klagomålsmail/A 21552-2023 FSC-klagomål mail.docx", "A 21552-2023")</f>
        <v/>
      </c>
      <c r="X800">
        <f>HYPERLINK("https://klasma.github.io/Logging_2514/tillsyn/A 21552-2023 tillsynsbegäran.docx", "A 21552-2023")</f>
        <v/>
      </c>
      <c r="Y800">
        <f>HYPERLINK("https://klasma.github.io/Logging_2514/tillsynsmail/A 21552-2023 tillsynsbegäran mail.docx", "A 21552-2023")</f>
        <v/>
      </c>
    </row>
    <row r="801" ht="15" customHeight="1">
      <c r="A801" t="inlineStr">
        <is>
          <t>A 23026-2023</t>
        </is>
      </c>
      <c r="B801" s="1" t="n">
        <v>45073</v>
      </c>
      <c r="C801" s="1" t="n">
        <v>45758</v>
      </c>
      <c r="D801" t="inlineStr">
        <is>
          <t>NORRBOTTENS LÄN</t>
        </is>
      </c>
      <c r="E801" t="inlineStr">
        <is>
          <t>JOKKMOKK</t>
        </is>
      </c>
      <c r="F801" t="inlineStr">
        <is>
          <t>SCA</t>
        </is>
      </c>
      <c r="G801" t="n">
        <v>3.1</v>
      </c>
      <c r="H801" t="n">
        <v>0</v>
      </c>
      <c r="I801" t="n">
        <v>1</v>
      </c>
      <c r="J801" t="n">
        <v>0</v>
      </c>
      <c r="K801" t="n">
        <v>0</v>
      </c>
      <c r="L801" t="n">
        <v>0</v>
      </c>
      <c r="M801" t="n">
        <v>0</v>
      </c>
      <c r="N801" t="n">
        <v>0</v>
      </c>
      <c r="O801" t="n">
        <v>0</v>
      </c>
      <c r="P801" t="n">
        <v>0</v>
      </c>
      <c r="Q801" t="n">
        <v>1</v>
      </c>
      <c r="R801" s="2" t="inlineStr">
        <is>
          <t>Bollvitmossa</t>
        </is>
      </c>
      <c r="S801">
        <f>HYPERLINK("https://klasma.github.io/Logging_2510/artfynd/A 23026-2023 artfynd.xlsx", "A 23026-2023")</f>
        <v/>
      </c>
      <c r="T801">
        <f>HYPERLINK("https://klasma.github.io/Logging_2510/kartor/A 23026-2023 karta.png", "A 23026-2023")</f>
        <v/>
      </c>
      <c r="V801">
        <f>HYPERLINK("https://klasma.github.io/Logging_2510/klagomål/A 23026-2023 FSC-klagomål.docx", "A 23026-2023")</f>
        <v/>
      </c>
      <c r="W801">
        <f>HYPERLINK("https://klasma.github.io/Logging_2510/klagomålsmail/A 23026-2023 FSC-klagomål mail.docx", "A 23026-2023")</f>
        <v/>
      </c>
      <c r="X801">
        <f>HYPERLINK("https://klasma.github.io/Logging_2510/tillsyn/A 23026-2023 tillsynsbegäran.docx", "A 23026-2023")</f>
        <v/>
      </c>
      <c r="Y801">
        <f>HYPERLINK("https://klasma.github.io/Logging_2510/tillsynsmail/A 23026-2023 tillsynsbegäran mail.docx", "A 23026-2023")</f>
        <v/>
      </c>
    </row>
    <row r="802" ht="15" customHeight="1">
      <c r="A802" t="inlineStr">
        <is>
          <t>A 25279-2023</t>
        </is>
      </c>
      <c r="B802" s="1" t="n">
        <v>45079</v>
      </c>
      <c r="C802" s="1" t="n">
        <v>45758</v>
      </c>
      <c r="D802" t="inlineStr">
        <is>
          <t>NORRBOTTENS LÄN</t>
        </is>
      </c>
      <c r="E802" t="inlineStr">
        <is>
          <t>ARJEPLOG</t>
        </is>
      </c>
      <c r="F802" t="inlineStr">
        <is>
          <t>Övriga statliga verk och myndigheter</t>
        </is>
      </c>
      <c r="G802" t="n">
        <v>6.9</v>
      </c>
      <c r="H802" t="n">
        <v>1</v>
      </c>
      <c r="I802" t="n">
        <v>1</v>
      </c>
      <c r="J802" t="n">
        <v>0</v>
      </c>
      <c r="K802" t="n">
        <v>0</v>
      </c>
      <c r="L802" t="n">
        <v>0</v>
      </c>
      <c r="M802" t="n">
        <v>0</v>
      </c>
      <c r="N802" t="n">
        <v>0</v>
      </c>
      <c r="O802" t="n">
        <v>0</v>
      </c>
      <c r="P802" t="n">
        <v>0</v>
      </c>
      <c r="Q802" t="n">
        <v>1</v>
      </c>
      <c r="R802" s="2" t="inlineStr">
        <is>
          <t>Plattlummer</t>
        </is>
      </c>
      <c r="S802">
        <f>HYPERLINK("https://klasma.github.io/Logging_2506/artfynd/A 25279-2023 artfynd.xlsx", "A 25279-2023")</f>
        <v/>
      </c>
      <c r="T802">
        <f>HYPERLINK("https://klasma.github.io/Logging_2506/kartor/A 25279-2023 karta.png", "A 25279-2023")</f>
        <v/>
      </c>
      <c r="V802">
        <f>HYPERLINK("https://klasma.github.io/Logging_2506/klagomål/A 25279-2023 FSC-klagomål.docx", "A 25279-2023")</f>
        <v/>
      </c>
      <c r="W802">
        <f>HYPERLINK("https://klasma.github.io/Logging_2506/klagomålsmail/A 25279-2023 FSC-klagomål mail.docx", "A 25279-2023")</f>
        <v/>
      </c>
      <c r="X802">
        <f>HYPERLINK("https://klasma.github.io/Logging_2506/tillsyn/A 25279-2023 tillsynsbegäran.docx", "A 25279-2023")</f>
        <v/>
      </c>
      <c r="Y802">
        <f>HYPERLINK("https://klasma.github.io/Logging_2506/tillsynsmail/A 25279-2023 tillsynsbegäran mail.docx", "A 25279-2023")</f>
        <v/>
      </c>
    </row>
    <row r="803" ht="15" customHeight="1">
      <c r="A803" t="inlineStr">
        <is>
          <t>A 26966-2023</t>
        </is>
      </c>
      <c r="B803" s="1" t="n">
        <v>45093</v>
      </c>
      <c r="C803" s="1" t="n">
        <v>45758</v>
      </c>
      <c r="D803" t="inlineStr">
        <is>
          <t>NORRBOTTENS LÄN</t>
        </is>
      </c>
      <c r="E803" t="inlineStr">
        <is>
          <t>BODEN</t>
        </is>
      </c>
      <c r="F803" t="inlineStr">
        <is>
          <t>Sveaskog</t>
        </is>
      </c>
      <c r="G803" t="n">
        <v>19.1</v>
      </c>
      <c r="H803" t="n">
        <v>1</v>
      </c>
      <c r="I803" t="n">
        <v>0</v>
      </c>
      <c r="J803" t="n">
        <v>1</v>
      </c>
      <c r="K803" t="n">
        <v>0</v>
      </c>
      <c r="L803" t="n">
        <v>0</v>
      </c>
      <c r="M803" t="n">
        <v>0</v>
      </c>
      <c r="N803" t="n">
        <v>0</v>
      </c>
      <c r="O803" t="n">
        <v>1</v>
      </c>
      <c r="P803" t="n">
        <v>0</v>
      </c>
      <c r="Q803" t="n">
        <v>1</v>
      </c>
      <c r="R803" s="2" t="inlineStr">
        <is>
          <t>Talltita</t>
        </is>
      </c>
      <c r="S803">
        <f>HYPERLINK("https://klasma.github.io/Logging_2582/artfynd/A 26966-2023 artfynd.xlsx", "A 26966-2023")</f>
        <v/>
      </c>
      <c r="T803">
        <f>HYPERLINK("https://klasma.github.io/Logging_2582/kartor/A 26966-2023 karta.png", "A 26966-2023")</f>
        <v/>
      </c>
      <c r="V803">
        <f>HYPERLINK("https://klasma.github.io/Logging_2582/klagomål/A 26966-2023 FSC-klagomål.docx", "A 26966-2023")</f>
        <v/>
      </c>
      <c r="W803">
        <f>HYPERLINK("https://klasma.github.io/Logging_2582/klagomålsmail/A 26966-2023 FSC-klagomål mail.docx", "A 26966-2023")</f>
        <v/>
      </c>
      <c r="X803">
        <f>HYPERLINK("https://klasma.github.io/Logging_2582/tillsyn/A 26966-2023 tillsynsbegäran.docx", "A 26966-2023")</f>
        <v/>
      </c>
      <c r="Y803">
        <f>HYPERLINK("https://klasma.github.io/Logging_2582/tillsynsmail/A 26966-2023 tillsynsbegäran mail.docx", "A 26966-2023")</f>
        <v/>
      </c>
      <c r="Z803">
        <f>HYPERLINK("https://klasma.github.io/Logging_2582/fåglar/A 26966-2023 prioriterade fågelarter.docx", "A 26966-2023")</f>
        <v/>
      </c>
    </row>
    <row r="804" ht="15" customHeight="1">
      <c r="A804" t="inlineStr">
        <is>
          <t>A 27336-2023</t>
        </is>
      </c>
      <c r="B804" s="1" t="n">
        <v>45096</v>
      </c>
      <c r="C804" s="1" t="n">
        <v>45758</v>
      </c>
      <c r="D804" t="inlineStr">
        <is>
          <t>NORRBOTTENS LÄN</t>
        </is>
      </c>
      <c r="E804" t="inlineStr">
        <is>
          <t>GÄLLIVARE</t>
        </is>
      </c>
      <c r="G804" t="n">
        <v>1.8</v>
      </c>
      <c r="H804" t="n">
        <v>0</v>
      </c>
      <c r="I804" t="n">
        <v>1</v>
      </c>
      <c r="J804" t="n">
        <v>0</v>
      </c>
      <c r="K804" t="n">
        <v>0</v>
      </c>
      <c r="L804" t="n">
        <v>0</v>
      </c>
      <c r="M804" t="n">
        <v>0</v>
      </c>
      <c r="N804" t="n">
        <v>0</v>
      </c>
      <c r="O804" t="n">
        <v>0</v>
      </c>
      <c r="P804" t="n">
        <v>0</v>
      </c>
      <c r="Q804" t="n">
        <v>1</v>
      </c>
      <c r="R804" s="2" t="inlineStr">
        <is>
          <t>Dropptaggsvamp</t>
        </is>
      </c>
      <c r="S804">
        <f>HYPERLINK("https://klasma.github.io/Logging_2523/artfynd/A 27336-2023 artfynd.xlsx", "A 27336-2023")</f>
        <v/>
      </c>
      <c r="T804">
        <f>HYPERLINK("https://klasma.github.io/Logging_2523/kartor/A 27336-2023 karta.png", "A 27336-2023")</f>
        <v/>
      </c>
      <c r="V804">
        <f>HYPERLINK("https://klasma.github.io/Logging_2523/klagomål/A 27336-2023 FSC-klagomål.docx", "A 27336-2023")</f>
        <v/>
      </c>
      <c r="W804">
        <f>HYPERLINK("https://klasma.github.io/Logging_2523/klagomålsmail/A 27336-2023 FSC-klagomål mail.docx", "A 27336-2023")</f>
        <v/>
      </c>
      <c r="X804">
        <f>HYPERLINK("https://klasma.github.io/Logging_2523/tillsyn/A 27336-2023 tillsynsbegäran.docx", "A 27336-2023")</f>
        <v/>
      </c>
      <c r="Y804">
        <f>HYPERLINK("https://klasma.github.io/Logging_2523/tillsynsmail/A 27336-2023 tillsynsbegäran mail.docx", "A 27336-2023")</f>
        <v/>
      </c>
    </row>
    <row r="805" ht="15" customHeight="1">
      <c r="A805" t="inlineStr">
        <is>
          <t>A 27804-2023</t>
        </is>
      </c>
      <c r="B805" s="1" t="n">
        <v>45098</v>
      </c>
      <c r="C805" s="1" t="n">
        <v>45758</v>
      </c>
      <c r="D805" t="inlineStr">
        <is>
          <t>NORRBOTTENS LÄN</t>
        </is>
      </c>
      <c r="E805" t="inlineStr">
        <is>
          <t>BODEN</t>
        </is>
      </c>
      <c r="F805" t="inlineStr">
        <is>
          <t>Sveaskog</t>
        </is>
      </c>
      <c r="G805" t="n">
        <v>21</v>
      </c>
      <c r="H805" t="n">
        <v>1</v>
      </c>
      <c r="I805" t="n">
        <v>0</v>
      </c>
      <c r="J805" t="n">
        <v>0</v>
      </c>
      <c r="K805" t="n">
        <v>1</v>
      </c>
      <c r="L805" t="n">
        <v>0</v>
      </c>
      <c r="M805" t="n">
        <v>0</v>
      </c>
      <c r="N805" t="n">
        <v>0</v>
      </c>
      <c r="O805" t="n">
        <v>1</v>
      </c>
      <c r="P805" t="n">
        <v>1</v>
      </c>
      <c r="Q805" t="n">
        <v>1</v>
      </c>
      <c r="R805" s="2" t="inlineStr">
        <is>
          <t>Doftticka</t>
        </is>
      </c>
      <c r="S805">
        <f>HYPERLINK("https://klasma.github.io/Logging_2582/artfynd/A 27804-2023 artfynd.xlsx", "A 27804-2023")</f>
        <v/>
      </c>
      <c r="T805">
        <f>HYPERLINK("https://klasma.github.io/Logging_2582/kartor/A 27804-2023 karta.png", "A 27804-2023")</f>
        <v/>
      </c>
      <c r="V805">
        <f>HYPERLINK("https://klasma.github.io/Logging_2582/klagomål/A 27804-2023 FSC-klagomål.docx", "A 27804-2023")</f>
        <v/>
      </c>
      <c r="W805">
        <f>HYPERLINK("https://klasma.github.io/Logging_2582/klagomålsmail/A 27804-2023 FSC-klagomål mail.docx", "A 27804-2023")</f>
        <v/>
      </c>
      <c r="X805">
        <f>HYPERLINK("https://klasma.github.io/Logging_2582/tillsyn/A 27804-2023 tillsynsbegäran.docx", "A 27804-2023")</f>
        <v/>
      </c>
      <c r="Y805">
        <f>HYPERLINK("https://klasma.github.io/Logging_2582/tillsynsmail/A 27804-2023 tillsynsbegäran mail.docx", "A 27804-2023")</f>
        <v/>
      </c>
    </row>
    <row r="806" ht="15" customHeight="1">
      <c r="A806" t="inlineStr">
        <is>
          <t>A 27927-2023</t>
        </is>
      </c>
      <c r="B806" s="1" t="n">
        <v>45098</v>
      </c>
      <c r="C806" s="1" t="n">
        <v>45758</v>
      </c>
      <c r="D806" t="inlineStr">
        <is>
          <t>NORRBOTTENS LÄN</t>
        </is>
      </c>
      <c r="E806" t="inlineStr">
        <is>
          <t>PITEÅ</t>
        </is>
      </c>
      <c r="F806" t="inlineStr">
        <is>
          <t>Sveaskog</t>
        </is>
      </c>
      <c r="G806" t="n">
        <v>13.7</v>
      </c>
      <c r="H806" t="n">
        <v>0</v>
      </c>
      <c r="I806" t="n">
        <v>0</v>
      </c>
      <c r="J806" t="n">
        <v>1</v>
      </c>
      <c r="K806" t="n">
        <v>0</v>
      </c>
      <c r="L806" t="n">
        <v>0</v>
      </c>
      <c r="M806" t="n">
        <v>0</v>
      </c>
      <c r="N806" t="n">
        <v>0</v>
      </c>
      <c r="O806" t="n">
        <v>1</v>
      </c>
      <c r="P806" t="n">
        <v>0</v>
      </c>
      <c r="Q806" t="n">
        <v>1</v>
      </c>
      <c r="R806" s="2" t="inlineStr">
        <is>
          <t>Garnlav</t>
        </is>
      </c>
      <c r="S806">
        <f>HYPERLINK("https://klasma.github.io/Logging_2581/artfynd/A 27927-2023 artfynd.xlsx", "A 27927-2023")</f>
        <v/>
      </c>
      <c r="T806">
        <f>HYPERLINK("https://klasma.github.io/Logging_2581/kartor/A 27927-2023 karta.png", "A 27927-2023")</f>
        <v/>
      </c>
      <c r="V806">
        <f>HYPERLINK("https://klasma.github.io/Logging_2581/klagomål/A 27927-2023 FSC-klagomål.docx", "A 27927-2023")</f>
        <v/>
      </c>
      <c r="W806">
        <f>HYPERLINK("https://klasma.github.io/Logging_2581/klagomålsmail/A 27927-2023 FSC-klagomål mail.docx", "A 27927-2023")</f>
        <v/>
      </c>
      <c r="X806">
        <f>HYPERLINK("https://klasma.github.io/Logging_2581/tillsyn/A 27927-2023 tillsynsbegäran.docx", "A 27927-2023")</f>
        <v/>
      </c>
      <c r="Y806">
        <f>HYPERLINK("https://klasma.github.io/Logging_2581/tillsynsmail/A 27927-2023 tillsynsbegäran mail.docx", "A 27927-2023")</f>
        <v/>
      </c>
    </row>
    <row r="807" ht="15" customHeight="1">
      <c r="A807" t="inlineStr">
        <is>
          <t>A 28089-2023</t>
        </is>
      </c>
      <c r="B807" s="1" t="n">
        <v>45099</v>
      </c>
      <c r="C807" s="1" t="n">
        <v>45758</v>
      </c>
      <c r="D807" t="inlineStr">
        <is>
          <t>NORRBOTTENS LÄN</t>
        </is>
      </c>
      <c r="E807" t="inlineStr">
        <is>
          <t>JOKKMOKK</t>
        </is>
      </c>
      <c r="F807" t="inlineStr">
        <is>
          <t>Sveaskog</t>
        </is>
      </c>
      <c r="G807" t="n">
        <v>2.1</v>
      </c>
      <c r="H807" t="n">
        <v>0</v>
      </c>
      <c r="I807" t="n">
        <v>0</v>
      </c>
      <c r="J807" t="n">
        <v>1</v>
      </c>
      <c r="K807" t="n">
        <v>0</v>
      </c>
      <c r="L807" t="n">
        <v>0</v>
      </c>
      <c r="M807" t="n">
        <v>0</v>
      </c>
      <c r="N807" t="n">
        <v>0</v>
      </c>
      <c r="O807" t="n">
        <v>1</v>
      </c>
      <c r="P807" t="n">
        <v>0</v>
      </c>
      <c r="Q807" t="n">
        <v>1</v>
      </c>
      <c r="R807" s="2" t="inlineStr">
        <is>
          <t>Kolflarnlav</t>
        </is>
      </c>
      <c r="S807">
        <f>HYPERLINK("https://klasma.github.io/Logging_2510/artfynd/A 28089-2023 artfynd.xlsx", "A 28089-2023")</f>
        <v/>
      </c>
      <c r="T807">
        <f>HYPERLINK("https://klasma.github.io/Logging_2510/kartor/A 28089-2023 karta.png", "A 28089-2023")</f>
        <v/>
      </c>
      <c r="V807">
        <f>HYPERLINK("https://klasma.github.io/Logging_2510/klagomål/A 28089-2023 FSC-klagomål.docx", "A 28089-2023")</f>
        <v/>
      </c>
      <c r="W807">
        <f>HYPERLINK("https://klasma.github.io/Logging_2510/klagomålsmail/A 28089-2023 FSC-klagomål mail.docx", "A 28089-2023")</f>
        <v/>
      </c>
      <c r="X807">
        <f>HYPERLINK("https://klasma.github.io/Logging_2510/tillsyn/A 28089-2023 tillsynsbegäran.docx", "A 28089-2023")</f>
        <v/>
      </c>
      <c r="Y807">
        <f>HYPERLINK("https://klasma.github.io/Logging_2510/tillsynsmail/A 28089-2023 tillsynsbegäran mail.docx", "A 28089-2023")</f>
        <v/>
      </c>
    </row>
    <row r="808" ht="15" customHeight="1">
      <c r="A808" t="inlineStr">
        <is>
          <t>A 28614-2023</t>
        </is>
      </c>
      <c r="B808" s="1" t="n">
        <v>45103</v>
      </c>
      <c r="C808" s="1" t="n">
        <v>45758</v>
      </c>
      <c r="D808" t="inlineStr">
        <is>
          <t>NORRBOTTENS LÄN</t>
        </is>
      </c>
      <c r="E808" t="inlineStr">
        <is>
          <t>PITEÅ</t>
        </is>
      </c>
      <c r="F808" t="inlineStr">
        <is>
          <t>Sveaskog</t>
        </is>
      </c>
      <c r="G808" t="n">
        <v>4.1</v>
      </c>
      <c r="H808" t="n">
        <v>0</v>
      </c>
      <c r="I808" t="n">
        <v>0</v>
      </c>
      <c r="J808" t="n">
        <v>1</v>
      </c>
      <c r="K808" t="n">
        <v>0</v>
      </c>
      <c r="L808" t="n">
        <v>0</v>
      </c>
      <c r="M808" t="n">
        <v>0</v>
      </c>
      <c r="N808" t="n">
        <v>0</v>
      </c>
      <c r="O808" t="n">
        <v>1</v>
      </c>
      <c r="P808" t="n">
        <v>0</v>
      </c>
      <c r="Q808" t="n">
        <v>1</v>
      </c>
      <c r="R808" s="2" t="inlineStr">
        <is>
          <t>Kolflarnlav</t>
        </is>
      </c>
      <c r="S808">
        <f>HYPERLINK("https://klasma.github.io/Logging_2581/artfynd/A 28614-2023 artfynd.xlsx", "A 28614-2023")</f>
        <v/>
      </c>
      <c r="T808">
        <f>HYPERLINK("https://klasma.github.io/Logging_2581/kartor/A 28614-2023 karta.png", "A 28614-2023")</f>
        <v/>
      </c>
      <c r="V808">
        <f>HYPERLINK("https://klasma.github.io/Logging_2581/klagomål/A 28614-2023 FSC-klagomål.docx", "A 28614-2023")</f>
        <v/>
      </c>
      <c r="W808">
        <f>HYPERLINK("https://klasma.github.io/Logging_2581/klagomålsmail/A 28614-2023 FSC-klagomål mail.docx", "A 28614-2023")</f>
        <v/>
      </c>
      <c r="X808">
        <f>HYPERLINK("https://klasma.github.io/Logging_2581/tillsyn/A 28614-2023 tillsynsbegäran.docx", "A 28614-2023")</f>
        <v/>
      </c>
      <c r="Y808">
        <f>HYPERLINK("https://klasma.github.io/Logging_2581/tillsynsmail/A 28614-2023 tillsynsbegäran mail.docx", "A 28614-2023")</f>
        <v/>
      </c>
    </row>
    <row r="809" ht="15" customHeight="1">
      <c r="A809" t="inlineStr">
        <is>
          <t>A 30746-2023</t>
        </is>
      </c>
      <c r="B809" s="1" t="n">
        <v>45103</v>
      </c>
      <c r="C809" s="1" t="n">
        <v>45758</v>
      </c>
      <c r="D809" t="inlineStr">
        <is>
          <t>NORRBOTTENS LÄN</t>
        </is>
      </c>
      <c r="E809" t="inlineStr">
        <is>
          <t>GÄLLIVARE</t>
        </is>
      </c>
      <c r="F809" t="inlineStr">
        <is>
          <t>Allmännings- och besparingsskogar</t>
        </is>
      </c>
      <c r="G809" t="n">
        <v>13.9</v>
      </c>
      <c r="H809" t="n">
        <v>0</v>
      </c>
      <c r="I809" t="n">
        <v>0</v>
      </c>
      <c r="J809" t="n">
        <v>1</v>
      </c>
      <c r="K809" t="n">
        <v>0</v>
      </c>
      <c r="L809" t="n">
        <v>0</v>
      </c>
      <c r="M809" t="n">
        <v>0</v>
      </c>
      <c r="N809" t="n">
        <v>0</v>
      </c>
      <c r="O809" t="n">
        <v>1</v>
      </c>
      <c r="P809" t="n">
        <v>0</v>
      </c>
      <c r="Q809" t="n">
        <v>1</v>
      </c>
      <c r="R809" s="2" t="inlineStr">
        <is>
          <t>Mörk kolflarnlav</t>
        </is>
      </c>
      <c r="S809">
        <f>HYPERLINK("https://klasma.github.io/Logging_2523/artfynd/A 30746-2023 artfynd.xlsx", "A 30746-2023")</f>
        <v/>
      </c>
      <c r="T809">
        <f>HYPERLINK("https://klasma.github.io/Logging_2523/kartor/A 30746-2023 karta.png", "A 30746-2023")</f>
        <v/>
      </c>
      <c r="V809">
        <f>HYPERLINK("https://klasma.github.io/Logging_2523/klagomål/A 30746-2023 FSC-klagomål.docx", "A 30746-2023")</f>
        <v/>
      </c>
      <c r="W809">
        <f>HYPERLINK("https://klasma.github.io/Logging_2523/klagomålsmail/A 30746-2023 FSC-klagomål mail.docx", "A 30746-2023")</f>
        <v/>
      </c>
      <c r="X809">
        <f>HYPERLINK("https://klasma.github.io/Logging_2523/tillsyn/A 30746-2023 tillsynsbegäran.docx", "A 30746-2023")</f>
        <v/>
      </c>
      <c r="Y809">
        <f>HYPERLINK("https://klasma.github.io/Logging_2523/tillsynsmail/A 30746-2023 tillsynsbegäran mail.docx", "A 30746-2023")</f>
        <v/>
      </c>
    </row>
    <row r="810" ht="15" customHeight="1">
      <c r="A810" t="inlineStr">
        <is>
          <t>A 28772-2023</t>
        </is>
      </c>
      <c r="B810" s="1" t="n">
        <v>45104</v>
      </c>
      <c r="C810" s="1" t="n">
        <v>45758</v>
      </c>
      <c r="D810" t="inlineStr">
        <is>
          <t>NORRBOTTENS LÄN</t>
        </is>
      </c>
      <c r="E810" t="inlineStr">
        <is>
          <t>BODEN</t>
        </is>
      </c>
      <c r="F810" t="inlineStr">
        <is>
          <t>Sveaskog</t>
        </is>
      </c>
      <c r="G810" t="n">
        <v>9</v>
      </c>
      <c r="H810" t="n">
        <v>0</v>
      </c>
      <c r="I810" t="n">
        <v>1</v>
      </c>
      <c r="J810" t="n">
        <v>0</v>
      </c>
      <c r="K810" t="n">
        <v>0</v>
      </c>
      <c r="L810" t="n">
        <v>0</v>
      </c>
      <c r="M810" t="n">
        <v>0</v>
      </c>
      <c r="N810" t="n">
        <v>0</v>
      </c>
      <c r="O810" t="n">
        <v>0</v>
      </c>
      <c r="P810" t="n">
        <v>0</v>
      </c>
      <c r="Q810" t="n">
        <v>1</v>
      </c>
      <c r="R810" s="2" t="inlineStr">
        <is>
          <t>Bollvitmossa</t>
        </is>
      </c>
      <c r="S810">
        <f>HYPERLINK("https://klasma.github.io/Logging_2582/artfynd/A 28772-2023 artfynd.xlsx", "A 28772-2023")</f>
        <v/>
      </c>
      <c r="T810">
        <f>HYPERLINK("https://klasma.github.io/Logging_2582/kartor/A 28772-2023 karta.png", "A 28772-2023")</f>
        <v/>
      </c>
      <c r="V810">
        <f>HYPERLINK("https://klasma.github.io/Logging_2582/klagomål/A 28772-2023 FSC-klagomål.docx", "A 28772-2023")</f>
        <v/>
      </c>
      <c r="W810">
        <f>HYPERLINK("https://klasma.github.io/Logging_2582/klagomålsmail/A 28772-2023 FSC-klagomål mail.docx", "A 28772-2023")</f>
        <v/>
      </c>
      <c r="X810">
        <f>HYPERLINK("https://klasma.github.io/Logging_2582/tillsyn/A 28772-2023 tillsynsbegäran.docx", "A 28772-2023")</f>
        <v/>
      </c>
      <c r="Y810">
        <f>HYPERLINK("https://klasma.github.io/Logging_2582/tillsynsmail/A 28772-2023 tillsynsbegäran mail.docx", "A 28772-2023")</f>
        <v/>
      </c>
    </row>
    <row r="811" ht="15" customHeight="1">
      <c r="A811" t="inlineStr">
        <is>
          <t>A 29314-2023</t>
        </is>
      </c>
      <c r="B811" s="1" t="n">
        <v>45105</v>
      </c>
      <c r="C811" s="1" t="n">
        <v>45758</v>
      </c>
      <c r="D811" t="inlineStr">
        <is>
          <t>NORRBOTTENS LÄN</t>
        </is>
      </c>
      <c r="E811" t="inlineStr">
        <is>
          <t>ARVIDSJAUR</t>
        </is>
      </c>
      <c r="G811" t="n">
        <v>1.7</v>
      </c>
      <c r="H811" t="n">
        <v>1</v>
      </c>
      <c r="I811" t="n">
        <v>0</v>
      </c>
      <c r="J811" t="n">
        <v>0</v>
      </c>
      <c r="K811" t="n">
        <v>0</v>
      </c>
      <c r="L811" t="n">
        <v>0</v>
      </c>
      <c r="M811" t="n">
        <v>0</v>
      </c>
      <c r="N811" t="n">
        <v>0</v>
      </c>
      <c r="O811" t="n">
        <v>0</v>
      </c>
      <c r="P811" t="n">
        <v>0</v>
      </c>
      <c r="Q811" t="n">
        <v>1</v>
      </c>
      <c r="R811" s="2" t="inlineStr">
        <is>
          <t>Lavskrika</t>
        </is>
      </c>
      <c r="S811">
        <f>HYPERLINK("https://klasma.github.io/Logging_2505/artfynd/A 29314-2023 artfynd.xlsx", "A 29314-2023")</f>
        <v/>
      </c>
      <c r="T811">
        <f>HYPERLINK("https://klasma.github.io/Logging_2505/kartor/A 29314-2023 karta.png", "A 29314-2023")</f>
        <v/>
      </c>
      <c r="V811">
        <f>HYPERLINK("https://klasma.github.io/Logging_2505/klagomål/A 29314-2023 FSC-klagomål.docx", "A 29314-2023")</f>
        <v/>
      </c>
      <c r="W811">
        <f>HYPERLINK("https://klasma.github.io/Logging_2505/klagomålsmail/A 29314-2023 FSC-klagomål mail.docx", "A 29314-2023")</f>
        <v/>
      </c>
      <c r="X811">
        <f>HYPERLINK("https://klasma.github.io/Logging_2505/tillsyn/A 29314-2023 tillsynsbegäran.docx", "A 29314-2023")</f>
        <v/>
      </c>
      <c r="Y811">
        <f>HYPERLINK("https://klasma.github.io/Logging_2505/tillsynsmail/A 29314-2023 tillsynsbegäran mail.docx", "A 29314-2023")</f>
        <v/>
      </c>
      <c r="Z811">
        <f>HYPERLINK("https://klasma.github.io/Logging_2505/fåglar/A 29314-2023 prioriterade fågelarter.docx", "A 29314-2023")</f>
        <v/>
      </c>
    </row>
    <row r="812" ht="15" customHeight="1">
      <c r="A812" t="inlineStr">
        <is>
          <t>A 29626-2023</t>
        </is>
      </c>
      <c r="B812" s="1" t="n">
        <v>45107</v>
      </c>
      <c r="C812" s="1" t="n">
        <v>45758</v>
      </c>
      <c r="D812" t="inlineStr">
        <is>
          <t>NORRBOTTENS LÄN</t>
        </is>
      </c>
      <c r="E812" t="inlineStr">
        <is>
          <t>JOKKMOKK</t>
        </is>
      </c>
      <c r="F812" t="inlineStr">
        <is>
          <t>SCA</t>
        </is>
      </c>
      <c r="G812" t="n">
        <v>3.2</v>
      </c>
      <c r="H812" t="n">
        <v>0</v>
      </c>
      <c r="I812" t="n">
        <v>1</v>
      </c>
      <c r="J812" t="n">
        <v>0</v>
      </c>
      <c r="K812" t="n">
        <v>0</v>
      </c>
      <c r="L812" t="n">
        <v>0</v>
      </c>
      <c r="M812" t="n">
        <v>0</v>
      </c>
      <c r="N812" t="n">
        <v>0</v>
      </c>
      <c r="O812" t="n">
        <v>0</v>
      </c>
      <c r="P812" t="n">
        <v>0</v>
      </c>
      <c r="Q812" t="n">
        <v>1</v>
      </c>
      <c r="R812" s="2" t="inlineStr">
        <is>
          <t>Norrlandslav</t>
        </is>
      </c>
      <c r="S812">
        <f>HYPERLINK("https://klasma.github.io/Logging_2510/artfynd/A 29626-2023 artfynd.xlsx", "A 29626-2023")</f>
        <v/>
      </c>
      <c r="T812">
        <f>HYPERLINK("https://klasma.github.io/Logging_2510/kartor/A 29626-2023 karta.png", "A 29626-2023")</f>
        <v/>
      </c>
      <c r="V812">
        <f>HYPERLINK("https://klasma.github.io/Logging_2510/klagomål/A 29626-2023 FSC-klagomål.docx", "A 29626-2023")</f>
        <v/>
      </c>
      <c r="W812">
        <f>HYPERLINK("https://klasma.github.io/Logging_2510/klagomålsmail/A 29626-2023 FSC-klagomål mail.docx", "A 29626-2023")</f>
        <v/>
      </c>
      <c r="X812">
        <f>HYPERLINK("https://klasma.github.io/Logging_2510/tillsyn/A 29626-2023 tillsynsbegäran.docx", "A 29626-2023")</f>
        <v/>
      </c>
      <c r="Y812">
        <f>HYPERLINK("https://klasma.github.io/Logging_2510/tillsynsmail/A 29626-2023 tillsynsbegäran mail.docx", "A 29626-2023")</f>
        <v/>
      </c>
    </row>
    <row r="813" ht="15" customHeight="1">
      <c r="A813" t="inlineStr">
        <is>
          <t>A 31829-2023</t>
        </is>
      </c>
      <c r="B813" s="1" t="n">
        <v>45106</v>
      </c>
      <c r="C813" s="1" t="n">
        <v>45758</v>
      </c>
      <c r="D813" t="inlineStr">
        <is>
          <t>NORRBOTTENS LÄN</t>
        </is>
      </c>
      <c r="E813" t="inlineStr">
        <is>
          <t>ÄLVSBYN</t>
        </is>
      </c>
      <c r="F813" t="inlineStr">
        <is>
          <t>Sveaskog</t>
        </is>
      </c>
      <c r="G813" t="n">
        <v>1.9</v>
      </c>
      <c r="H813" t="n">
        <v>1</v>
      </c>
      <c r="I813" t="n">
        <v>0</v>
      </c>
      <c r="J813" t="n">
        <v>1</v>
      </c>
      <c r="K813" t="n">
        <v>0</v>
      </c>
      <c r="L813" t="n">
        <v>0</v>
      </c>
      <c r="M813" t="n">
        <v>0</v>
      </c>
      <c r="N813" t="n">
        <v>0</v>
      </c>
      <c r="O813" t="n">
        <v>1</v>
      </c>
      <c r="P813" t="n">
        <v>0</v>
      </c>
      <c r="Q813" t="n">
        <v>1</v>
      </c>
      <c r="R813" s="2" t="inlineStr">
        <is>
          <t>Järpe</t>
        </is>
      </c>
      <c r="S813">
        <f>HYPERLINK("https://klasma.github.io/Logging_2560/artfynd/A 31829-2023 artfynd.xlsx", "A 31829-2023")</f>
        <v/>
      </c>
      <c r="T813">
        <f>HYPERLINK("https://klasma.github.io/Logging_2560/kartor/A 31829-2023 karta.png", "A 31829-2023")</f>
        <v/>
      </c>
      <c r="V813">
        <f>HYPERLINK("https://klasma.github.io/Logging_2560/klagomål/A 31829-2023 FSC-klagomål.docx", "A 31829-2023")</f>
        <v/>
      </c>
      <c r="W813">
        <f>HYPERLINK("https://klasma.github.io/Logging_2560/klagomålsmail/A 31829-2023 FSC-klagomål mail.docx", "A 31829-2023")</f>
        <v/>
      </c>
      <c r="X813">
        <f>HYPERLINK("https://klasma.github.io/Logging_2560/tillsyn/A 31829-2023 tillsynsbegäran.docx", "A 31829-2023")</f>
        <v/>
      </c>
      <c r="Y813">
        <f>HYPERLINK("https://klasma.github.io/Logging_2560/tillsynsmail/A 31829-2023 tillsynsbegäran mail.docx", "A 31829-2023")</f>
        <v/>
      </c>
      <c r="Z813">
        <f>HYPERLINK("https://klasma.github.io/Logging_2560/fåglar/A 31829-2023 prioriterade fågelarter.docx", "A 31829-2023")</f>
        <v/>
      </c>
    </row>
    <row r="814" ht="15" customHeight="1">
      <c r="A814" t="inlineStr">
        <is>
          <t>A 29651-2023</t>
        </is>
      </c>
      <c r="B814" s="1" t="n">
        <v>45107</v>
      </c>
      <c r="C814" s="1" t="n">
        <v>45758</v>
      </c>
      <c r="D814" t="inlineStr">
        <is>
          <t>NORRBOTTENS LÄN</t>
        </is>
      </c>
      <c r="E814" t="inlineStr">
        <is>
          <t>ÄLVSBYN</t>
        </is>
      </c>
      <c r="F814" t="inlineStr">
        <is>
          <t>Sveaskog</t>
        </is>
      </c>
      <c r="G814" t="n">
        <v>3.4</v>
      </c>
      <c r="H814" t="n">
        <v>0</v>
      </c>
      <c r="I814" t="n">
        <v>0</v>
      </c>
      <c r="J814" t="n">
        <v>1</v>
      </c>
      <c r="K814" t="n">
        <v>0</v>
      </c>
      <c r="L814" t="n">
        <v>0</v>
      </c>
      <c r="M814" t="n">
        <v>0</v>
      </c>
      <c r="N814" t="n">
        <v>0</v>
      </c>
      <c r="O814" t="n">
        <v>1</v>
      </c>
      <c r="P814" t="n">
        <v>0</v>
      </c>
      <c r="Q814" t="n">
        <v>1</v>
      </c>
      <c r="R814" s="2" t="inlineStr">
        <is>
          <t>Kolflarnlav</t>
        </is>
      </c>
      <c r="S814">
        <f>HYPERLINK("https://klasma.github.io/Logging_2560/artfynd/A 29651-2023 artfynd.xlsx", "A 29651-2023")</f>
        <v/>
      </c>
      <c r="T814">
        <f>HYPERLINK("https://klasma.github.io/Logging_2560/kartor/A 29651-2023 karta.png", "A 29651-2023")</f>
        <v/>
      </c>
      <c r="V814">
        <f>HYPERLINK("https://klasma.github.io/Logging_2560/klagomål/A 29651-2023 FSC-klagomål.docx", "A 29651-2023")</f>
        <v/>
      </c>
      <c r="W814">
        <f>HYPERLINK("https://klasma.github.io/Logging_2560/klagomålsmail/A 29651-2023 FSC-klagomål mail.docx", "A 29651-2023")</f>
        <v/>
      </c>
      <c r="X814">
        <f>HYPERLINK("https://klasma.github.io/Logging_2560/tillsyn/A 29651-2023 tillsynsbegäran.docx", "A 29651-2023")</f>
        <v/>
      </c>
      <c r="Y814">
        <f>HYPERLINK("https://klasma.github.io/Logging_2560/tillsynsmail/A 29651-2023 tillsynsbegäran mail.docx", "A 29651-2023")</f>
        <v/>
      </c>
    </row>
    <row r="815" ht="15" customHeight="1">
      <c r="A815" t="inlineStr">
        <is>
          <t>A 29650-2023</t>
        </is>
      </c>
      <c r="B815" s="1" t="n">
        <v>45107</v>
      </c>
      <c r="C815" s="1" t="n">
        <v>45758</v>
      </c>
      <c r="D815" t="inlineStr">
        <is>
          <t>NORRBOTTENS LÄN</t>
        </is>
      </c>
      <c r="E815" t="inlineStr">
        <is>
          <t>ÄLVSBYN</t>
        </is>
      </c>
      <c r="F815" t="inlineStr">
        <is>
          <t>Sveaskog</t>
        </is>
      </c>
      <c r="G815" t="n">
        <v>5.9</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29650-2023 artfynd.xlsx", "A 29650-2023")</f>
        <v/>
      </c>
      <c r="T815">
        <f>HYPERLINK("https://klasma.github.io/Logging_2560/kartor/A 29650-2023 karta.png", "A 29650-2023")</f>
        <v/>
      </c>
      <c r="V815">
        <f>HYPERLINK("https://klasma.github.io/Logging_2560/klagomål/A 29650-2023 FSC-klagomål.docx", "A 29650-2023")</f>
        <v/>
      </c>
      <c r="W815">
        <f>HYPERLINK("https://klasma.github.io/Logging_2560/klagomålsmail/A 29650-2023 FSC-klagomål mail.docx", "A 29650-2023")</f>
        <v/>
      </c>
      <c r="X815">
        <f>HYPERLINK("https://klasma.github.io/Logging_2560/tillsyn/A 29650-2023 tillsynsbegäran.docx", "A 29650-2023")</f>
        <v/>
      </c>
      <c r="Y815">
        <f>HYPERLINK("https://klasma.github.io/Logging_2560/tillsynsmail/A 29650-2023 tillsynsbegäran mail.docx", "A 29650-2023")</f>
        <v/>
      </c>
    </row>
    <row r="816" ht="15" customHeight="1">
      <c r="A816" t="inlineStr">
        <is>
          <t>A 30592-2023</t>
        </is>
      </c>
      <c r="B816" s="1" t="n">
        <v>45112</v>
      </c>
      <c r="C816" s="1" t="n">
        <v>45758</v>
      </c>
      <c r="D816" t="inlineStr">
        <is>
          <t>NORRBOTTENS LÄN</t>
        </is>
      </c>
      <c r="E816" t="inlineStr">
        <is>
          <t>ARJEPLOG</t>
        </is>
      </c>
      <c r="F816" t="inlineStr">
        <is>
          <t>Allmännings- och besparingsskogar</t>
        </is>
      </c>
      <c r="G816" t="n">
        <v>19</v>
      </c>
      <c r="H816" t="n">
        <v>1</v>
      </c>
      <c r="I816" t="n">
        <v>0</v>
      </c>
      <c r="J816" t="n">
        <v>1</v>
      </c>
      <c r="K816" t="n">
        <v>0</v>
      </c>
      <c r="L816" t="n">
        <v>0</v>
      </c>
      <c r="M816" t="n">
        <v>0</v>
      </c>
      <c r="N816" t="n">
        <v>0</v>
      </c>
      <c r="O816" t="n">
        <v>1</v>
      </c>
      <c r="P816" t="n">
        <v>0</v>
      </c>
      <c r="Q816" t="n">
        <v>1</v>
      </c>
      <c r="R816" s="2" t="inlineStr">
        <is>
          <t>Tretåig hackspett</t>
        </is>
      </c>
      <c r="S816">
        <f>HYPERLINK("https://klasma.github.io/Logging_2506/artfynd/A 30592-2023 artfynd.xlsx", "A 30592-2023")</f>
        <v/>
      </c>
      <c r="T816">
        <f>HYPERLINK("https://klasma.github.io/Logging_2506/kartor/A 30592-2023 karta.png", "A 30592-2023")</f>
        <v/>
      </c>
      <c r="V816">
        <f>HYPERLINK("https://klasma.github.io/Logging_2506/klagomål/A 30592-2023 FSC-klagomål.docx", "A 30592-2023")</f>
        <v/>
      </c>
      <c r="W816">
        <f>HYPERLINK("https://klasma.github.io/Logging_2506/klagomålsmail/A 30592-2023 FSC-klagomål mail.docx", "A 30592-2023")</f>
        <v/>
      </c>
      <c r="X816">
        <f>HYPERLINK("https://klasma.github.io/Logging_2506/tillsyn/A 30592-2023 tillsynsbegäran.docx", "A 30592-2023")</f>
        <v/>
      </c>
      <c r="Y816">
        <f>HYPERLINK("https://klasma.github.io/Logging_2506/tillsynsmail/A 30592-2023 tillsynsbegäran mail.docx", "A 30592-2023")</f>
        <v/>
      </c>
      <c r="Z816">
        <f>HYPERLINK("https://klasma.github.io/Logging_2506/fåglar/A 30592-2023 prioriterade fågelarter.docx", "A 30592-2023")</f>
        <v/>
      </c>
    </row>
    <row r="817" ht="15" customHeight="1">
      <c r="A817" t="inlineStr">
        <is>
          <t>A 31349-2023</t>
        </is>
      </c>
      <c r="B817" s="1" t="n">
        <v>45114</v>
      </c>
      <c r="C817" s="1" t="n">
        <v>45758</v>
      </c>
      <c r="D817" t="inlineStr">
        <is>
          <t>NORRBOTTENS LÄN</t>
        </is>
      </c>
      <c r="E817" t="inlineStr">
        <is>
          <t>PAJALA</t>
        </is>
      </c>
      <c r="G817" t="n">
        <v>8.300000000000001</v>
      </c>
      <c r="H817" t="n">
        <v>1</v>
      </c>
      <c r="I817" t="n">
        <v>0</v>
      </c>
      <c r="J817" t="n">
        <v>0</v>
      </c>
      <c r="K817" t="n">
        <v>0</v>
      </c>
      <c r="L817" t="n">
        <v>0</v>
      </c>
      <c r="M817" t="n">
        <v>0</v>
      </c>
      <c r="N817" t="n">
        <v>0</v>
      </c>
      <c r="O817" t="n">
        <v>0</v>
      </c>
      <c r="P817" t="n">
        <v>0</v>
      </c>
      <c r="Q817" t="n">
        <v>1</v>
      </c>
      <c r="R817" s="2" t="inlineStr">
        <is>
          <t>Revlummer</t>
        </is>
      </c>
      <c r="S817">
        <f>HYPERLINK("https://klasma.github.io/Logging_2521/artfynd/A 31349-2023 artfynd.xlsx", "A 31349-2023")</f>
        <v/>
      </c>
      <c r="T817">
        <f>HYPERLINK("https://klasma.github.io/Logging_2521/kartor/A 31349-2023 karta.png", "A 31349-2023")</f>
        <v/>
      </c>
      <c r="V817">
        <f>HYPERLINK("https://klasma.github.io/Logging_2521/klagomål/A 31349-2023 FSC-klagomål.docx", "A 31349-2023")</f>
        <v/>
      </c>
      <c r="W817">
        <f>HYPERLINK("https://klasma.github.io/Logging_2521/klagomålsmail/A 31349-2023 FSC-klagomål mail.docx", "A 31349-2023")</f>
        <v/>
      </c>
      <c r="X817">
        <f>HYPERLINK("https://klasma.github.io/Logging_2521/tillsyn/A 31349-2023 tillsynsbegäran.docx", "A 31349-2023")</f>
        <v/>
      </c>
      <c r="Y817">
        <f>HYPERLINK("https://klasma.github.io/Logging_2521/tillsynsmail/A 31349-2023 tillsynsbegäran mail.docx", "A 31349-2023")</f>
        <v/>
      </c>
    </row>
    <row r="818" ht="15" customHeight="1">
      <c r="A818" t="inlineStr">
        <is>
          <t>A 31490-2023</t>
        </is>
      </c>
      <c r="B818" s="1" t="n">
        <v>45114</v>
      </c>
      <c r="C818" s="1" t="n">
        <v>45758</v>
      </c>
      <c r="D818" t="inlineStr">
        <is>
          <t>NORRBOTTENS LÄN</t>
        </is>
      </c>
      <c r="E818" t="inlineStr">
        <is>
          <t>JOKKMOKK</t>
        </is>
      </c>
      <c r="F818" t="inlineStr">
        <is>
          <t>Allmännings- och besparingsskogar</t>
        </is>
      </c>
      <c r="G818" t="n">
        <v>7.7</v>
      </c>
      <c r="H818" t="n">
        <v>0</v>
      </c>
      <c r="I818" t="n">
        <v>1</v>
      </c>
      <c r="J818" t="n">
        <v>0</v>
      </c>
      <c r="K818" t="n">
        <v>0</v>
      </c>
      <c r="L818" t="n">
        <v>0</v>
      </c>
      <c r="M818" t="n">
        <v>0</v>
      </c>
      <c r="N818" t="n">
        <v>0</v>
      </c>
      <c r="O818" t="n">
        <v>0</v>
      </c>
      <c r="P818" t="n">
        <v>0</v>
      </c>
      <c r="Q818" t="n">
        <v>1</v>
      </c>
      <c r="R818" s="2" t="inlineStr">
        <is>
          <t>Norrlandslav</t>
        </is>
      </c>
      <c r="S818">
        <f>HYPERLINK("https://klasma.github.io/Logging_2510/artfynd/A 31490-2023 artfynd.xlsx", "A 31490-2023")</f>
        <v/>
      </c>
      <c r="T818">
        <f>HYPERLINK("https://klasma.github.io/Logging_2510/kartor/A 31490-2023 karta.png", "A 31490-2023")</f>
        <v/>
      </c>
      <c r="V818">
        <f>HYPERLINK("https://klasma.github.io/Logging_2510/klagomål/A 31490-2023 FSC-klagomål.docx", "A 31490-2023")</f>
        <v/>
      </c>
      <c r="W818">
        <f>HYPERLINK("https://klasma.github.io/Logging_2510/klagomålsmail/A 31490-2023 FSC-klagomål mail.docx", "A 31490-2023")</f>
        <v/>
      </c>
      <c r="X818">
        <f>HYPERLINK("https://klasma.github.io/Logging_2510/tillsyn/A 31490-2023 tillsynsbegäran.docx", "A 31490-2023")</f>
        <v/>
      </c>
      <c r="Y818">
        <f>HYPERLINK("https://klasma.github.io/Logging_2510/tillsynsmail/A 31490-2023 tillsynsbegäran mail.docx", "A 31490-2023")</f>
        <v/>
      </c>
    </row>
    <row r="819" ht="15" customHeight="1">
      <c r="A819" t="inlineStr">
        <is>
          <t>A 33388-2023</t>
        </is>
      </c>
      <c r="B819" s="1" t="n">
        <v>45117</v>
      </c>
      <c r="C819" s="1" t="n">
        <v>45758</v>
      </c>
      <c r="D819" t="inlineStr">
        <is>
          <t>NORRBOTTENS LÄN</t>
        </is>
      </c>
      <c r="E819" t="inlineStr">
        <is>
          <t>GÄLLIVARE</t>
        </is>
      </c>
      <c r="F819" t="inlineStr">
        <is>
          <t>Allmännings- och besparingsskogar</t>
        </is>
      </c>
      <c r="G819" t="n">
        <v>3.8</v>
      </c>
      <c r="H819" t="n">
        <v>0</v>
      </c>
      <c r="I819" t="n">
        <v>0</v>
      </c>
      <c r="J819" t="n">
        <v>1</v>
      </c>
      <c r="K819" t="n">
        <v>0</v>
      </c>
      <c r="L819" t="n">
        <v>0</v>
      </c>
      <c r="M819" t="n">
        <v>0</v>
      </c>
      <c r="N819" t="n">
        <v>0</v>
      </c>
      <c r="O819" t="n">
        <v>1</v>
      </c>
      <c r="P819" t="n">
        <v>0</v>
      </c>
      <c r="Q819" t="n">
        <v>1</v>
      </c>
      <c r="R819" s="2" t="inlineStr">
        <is>
          <t>Kolflarnlav</t>
        </is>
      </c>
      <c r="S819">
        <f>HYPERLINK("https://klasma.github.io/Logging_2523/artfynd/A 33388-2023 artfynd.xlsx", "A 33388-2023")</f>
        <v/>
      </c>
      <c r="T819">
        <f>HYPERLINK("https://klasma.github.io/Logging_2523/kartor/A 33388-2023 karta.png", "A 33388-2023")</f>
        <v/>
      </c>
      <c r="V819">
        <f>HYPERLINK("https://klasma.github.io/Logging_2523/klagomål/A 33388-2023 FSC-klagomål.docx", "A 33388-2023")</f>
        <v/>
      </c>
      <c r="W819">
        <f>HYPERLINK("https://klasma.github.io/Logging_2523/klagomålsmail/A 33388-2023 FSC-klagomål mail.docx", "A 33388-2023")</f>
        <v/>
      </c>
      <c r="X819">
        <f>HYPERLINK("https://klasma.github.io/Logging_2523/tillsyn/A 33388-2023 tillsynsbegäran.docx", "A 33388-2023")</f>
        <v/>
      </c>
      <c r="Y819">
        <f>HYPERLINK("https://klasma.github.io/Logging_2523/tillsynsmail/A 33388-2023 tillsynsbegäran mail.docx", "A 33388-2023")</f>
        <v/>
      </c>
    </row>
    <row r="820" ht="15" customHeight="1">
      <c r="A820" t="inlineStr">
        <is>
          <t>A 35898-2023</t>
        </is>
      </c>
      <c r="B820" s="1" t="n">
        <v>45148</v>
      </c>
      <c r="C820" s="1" t="n">
        <v>45758</v>
      </c>
      <c r="D820" t="inlineStr">
        <is>
          <t>NORRBOTTENS LÄN</t>
        </is>
      </c>
      <c r="E820" t="inlineStr">
        <is>
          <t>PITEÅ</t>
        </is>
      </c>
      <c r="G820" t="n">
        <v>12</v>
      </c>
      <c r="H820" t="n">
        <v>1</v>
      </c>
      <c r="I820" t="n">
        <v>0</v>
      </c>
      <c r="J820" t="n">
        <v>1</v>
      </c>
      <c r="K820" t="n">
        <v>0</v>
      </c>
      <c r="L820" t="n">
        <v>0</v>
      </c>
      <c r="M820" t="n">
        <v>0</v>
      </c>
      <c r="N820" t="n">
        <v>0</v>
      </c>
      <c r="O820" t="n">
        <v>1</v>
      </c>
      <c r="P820" t="n">
        <v>0</v>
      </c>
      <c r="Q820" t="n">
        <v>1</v>
      </c>
      <c r="R820" s="2" t="inlineStr">
        <is>
          <t>Spillkråka</t>
        </is>
      </c>
      <c r="S820">
        <f>HYPERLINK("https://klasma.github.io/Logging_2581/artfynd/A 35898-2023 artfynd.xlsx", "A 35898-2023")</f>
        <v/>
      </c>
      <c r="T820">
        <f>HYPERLINK("https://klasma.github.io/Logging_2581/kartor/A 35898-2023 karta.png", "A 35898-2023")</f>
        <v/>
      </c>
      <c r="V820">
        <f>HYPERLINK("https://klasma.github.io/Logging_2581/klagomål/A 35898-2023 FSC-klagomål.docx", "A 35898-2023")</f>
        <v/>
      </c>
      <c r="W820">
        <f>HYPERLINK("https://klasma.github.io/Logging_2581/klagomålsmail/A 35898-2023 FSC-klagomål mail.docx", "A 35898-2023")</f>
        <v/>
      </c>
      <c r="X820">
        <f>HYPERLINK("https://klasma.github.io/Logging_2581/tillsyn/A 35898-2023 tillsynsbegäran.docx", "A 35898-2023")</f>
        <v/>
      </c>
      <c r="Y820">
        <f>HYPERLINK("https://klasma.github.io/Logging_2581/tillsynsmail/A 35898-2023 tillsynsbegäran mail.docx", "A 35898-2023")</f>
        <v/>
      </c>
      <c r="Z820">
        <f>HYPERLINK("https://klasma.github.io/Logging_2581/fåglar/A 35898-2023 prioriterade fågelarter.docx", "A 35898-2023")</f>
        <v/>
      </c>
    </row>
    <row r="821" ht="15" customHeight="1">
      <c r="A821" t="inlineStr">
        <is>
          <t>A 37717-2023</t>
        </is>
      </c>
      <c r="B821" s="1" t="n">
        <v>45159</v>
      </c>
      <c r="C821" s="1" t="n">
        <v>45758</v>
      </c>
      <c r="D821" t="inlineStr">
        <is>
          <t>NORRBOTTENS LÄN</t>
        </is>
      </c>
      <c r="E821" t="inlineStr">
        <is>
          <t>ÄLVSBYN</t>
        </is>
      </c>
      <c r="F821" t="inlineStr">
        <is>
          <t>Sveaskog</t>
        </is>
      </c>
      <c r="G821" t="n">
        <v>1.2</v>
      </c>
      <c r="H821" t="n">
        <v>0</v>
      </c>
      <c r="I821" t="n">
        <v>0</v>
      </c>
      <c r="J821" t="n">
        <v>1</v>
      </c>
      <c r="K821" t="n">
        <v>0</v>
      </c>
      <c r="L821" t="n">
        <v>0</v>
      </c>
      <c r="M821" t="n">
        <v>0</v>
      </c>
      <c r="N821" t="n">
        <v>0</v>
      </c>
      <c r="O821" t="n">
        <v>1</v>
      </c>
      <c r="P821" t="n">
        <v>0</v>
      </c>
      <c r="Q821" t="n">
        <v>1</v>
      </c>
      <c r="R821" s="2" t="inlineStr">
        <is>
          <t>Kolflarnlav</t>
        </is>
      </c>
      <c r="S821">
        <f>HYPERLINK("https://klasma.github.io/Logging_2560/artfynd/A 37717-2023 artfynd.xlsx", "A 37717-2023")</f>
        <v/>
      </c>
      <c r="T821">
        <f>HYPERLINK("https://klasma.github.io/Logging_2560/kartor/A 37717-2023 karta.png", "A 37717-2023")</f>
        <v/>
      </c>
      <c r="V821">
        <f>HYPERLINK("https://klasma.github.io/Logging_2560/klagomål/A 37717-2023 FSC-klagomål.docx", "A 37717-2023")</f>
        <v/>
      </c>
      <c r="W821">
        <f>HYPERLINK("https://klasma.github.io/Logging_2560/klagomålsmail/A 37717-2023 FSC-klagomål mail.docx", "A 37717-2023")</f>
        <v/>
      </c>
      <c r="X821">
        <f>HYPERLINK("https://klasma.github.io/Logging_2560/tillsyn/A 37717-2023 tillsynsbegäran.docx", "A 37717-2023")</f>
        <v/>
      </c>
      <c r="Y821">
        <f>HYPERLINK("https://klasma.github.io/Logging_2560/tillsynsmail/A 37717-2023 tillsynsbegäran mail.docx", "A 37717-2023")</f>
        <v/>
      </c>
    </row>
    <row r="822" ht="15" customHeight="1">
      <c r="A822" t="inlineStr">
        <is>
          <t>A 38166-2023</t>
        </is>
      </c>
      <c r="B822" s="1" t="n">
        <v>45161</v>
      </c>
      <c r="C822" s="1" t="n">
        <v>45758</v>
      </c>
      <c r="D822" t="inlineStr">
        <is>
          <t>NORRBOTTENS LÄN</t>
        </is>
      </c>
      <c r="E822" t="inlineStr">
        <is>
          <t>ARVIDSJAUR</t>
        </is>
      </c>
      <c r="F822" t="inlineStr">
        <is>
          <t>Sveaskog</t>
        </is>
      </c>
      <c r="G822" t="n">
        <v>8.1</v>
      </c>
      <c r="H822" t="n">
        <v>0</v>
      </c>
      <c r="I822" t="n">
        <v>0</v>
      </c>
      <c r="J822" t="n">
        <v>1</v>
      </c>
      <c r="K822" t="n">
        <v>0</v>
      </c>
      <c r="L822" t="n">
        <v>0</v>
      </c>
      <c r="M822" t="n">
        <v>0</v>
      </c>
      <c r="N822" t="n">
        <v>0</v>
      </c>
      <c r="O822" t="n">
        <v>1</v>
      </c>
      <c r="P822" t="n">
        <v>0</v>
      </c>
      <c r="Q822" t="n">
        <v>1</v>
      </c>
      <c r="R822" s="2" t="inlineStr">
        <is>
          <t>Violmussling</t>
        </is>
      </c>
      <c r="S822">
        <f>HYPERLINK("https://klasma.github.io/Logging_2505/artfynd/A 38166-2023 artfynd.xlsx", "A 38166-2023")</f>
        <v/>
      </c>
      <c r="T822">
        <f>HYPERLINK("https://klasma.github.io/Logging_2505/kartor/A 38166-2023 karta.png", "A 38166-2023")</f>
        <v/>
      </c>
      <c r="V822">
        <f>HYPERLINK("https://klasma.github.io/Logging_2505/klagomål/A 38166-2023 FSC-klagomål.docx", "A 38166-2023")</f>
        <v/>
      </c>
      <c r="W822">
        <f>HYPERLINK("https://klasma.github.io/Logging_2505/klagomålsmail/A 38166-2023 FSC-klagomål mail.docx", "A 38166-2023")</f>
        <v/>
      </c>
      <c r="X822">
        <f>HYPERLINK("https://klasma.github.io/Logging_2505/tillsyn/A 38166-2023 tillsynsbegäran.docx", "A 38166-2023")</f>
        <v/>
      </c>
      <c r="Y822">
        <f>HYPERLINK("https://klasma.github.io/Logging_2505/tillsynsmail/A 38166-2023 tillsynsbegäran mail.docx", "A 38166-2023")</f>
        <v/>
      </c>
    </row>
    <row r="823" ht="15" customHeight="1">
      <c r="A823" t="inlineStr">
        <is>
          <t>A 38349-2023</t>
        </is>
      </c>
      <c r="B823" s="1" t="n">
        <v>45161</v>
      </c>
      <c r="C823" s="1" t="n">
        <v>45758</v>
      </c>
      <c r="D823" t="inlineStr">
        <is>
          <t>NORRBOTTENS LÄN</t>
        </is>
      </c>
      <c r="E823" t="inlineStr">
        <is>
          <t>ÖVERTORNEÅ</t>
        </is>
      </c>
      <c r="G823" t="n">
        <v>12.1</v>
      </c>
      <c r="H823" t="n">
        <v>0</v>
      </c>
      <c r="I823" t="n">
        <v>0</v>
      </c>
      <c r="J823" t="n">
        <v>1</v>
      </c>
      <c r="K823" t="n">
        <v>0</v>
      </c>
      <c r="L823" t="n">
        <v>0</v>
      </c>
      <c r="M823" t="n">
        <v>0</v>
      </c>
      <c r="N823" t="n">
        <v>0</v>
      </c>
      <c r="O823" t="n">
        <v>1</v>
      </c>
      <c r="P823" t="n">
        <v>0</v>
      </c>
      <c r="Q823" t="n">
        <v>1</v>
      </c>
      <c r="R823" s="2" t="inlineStr">
        <is>
          <t>Garnlav</t>
        </is>
      </c>
      <c r="S823">
        <f>HYPERLINK("https://klasma.github.io/Logging_2518/artfynd/A 38349-2023 artfynd.xlsx", "A 38349-2023")</f>
        <v/>
      </c>
      <c r="T823">
        <f>HYPERLINK("https://klasma.github.io/Logging_2518/kartor/A 38349-2023 karta.png", "A 38349-2023")</f>
        <v/>
      </c>
      <c r="V823">
        <f>HYPERLINK("https://klasma.github.io/Logging_2518/klagomål/A 38349-2023 FSC-klagomål.docx", "A 38349-2023")</f>
        <v/>
      </c>
      <c r="W823">
        <f>HYPERLINK("https://klasma.github.io/Logging_2518/klagomålsmail/A 38349-2023 FSC-klagomål mail.docx", "A 38349-2023")</f>
        <v/>
      </c>
      <c r="X823">
        <f>HYPERLINK("https://klasma.github.io/Logging_2518/tillsyn/A 38349-2023 tillsynsbegäran.docx", "A 38349-2023")</f>
        <v/>
      </c>
      <c r="Y823">
        <f>HYPERLINK("https://klasma.github.io/Logging_2518/tillsynsmail/A 38349-2023 tillsynsbegäran mail.docx", "A 38349-2023")</f>
        <v/>
      </c>
    </row>
    <row r="824" ht="15" customHeight="1">
      <c r="A824" t="inlineStr">
        <is>
          <t>A 38755-2023</t>
        </is>
      </c>
      <c r="B824" s="1" t="n">
        <v>45163</v>
      </c>
      <c r="C824" s="1" t="n">
        <v>45758</v>
      </c>
      <c r="D824" t="inlineStr">
        <is>
          <t>NORRBOTTENS LÄN</t>
        </is>
      </c>
      <c r="E824" t="inlineStr">
        <is>
          <t>ARVIDSJAUR</t>
        </is>
      </c>
      <c r="F824" t="inlineStr">
        <is>
          <t>Sveaskog</t>
        </is>
      </c>
      <c r="G824" t="n">
        <v>9.6</v>
      </c>
      <c r="H824" t="n">
        <v>1</v>
      </c>
      <c r="I824" t="n">
        <v>0</v>
      </c>
      <c r="J824" t="n">
        <v>1</v>
      </c>
      <c r="K824" t="n">
        <v>0</v>
      </c>
      <c r="L824" t="n">
        <v>0</v>
      </c>
      <c r="M824" t="n">
        <v>0</v>
      </c>
      <c r="N824" t="n">
        <v>0</v>
      </c>
      <c r="O824" t="n">
        <v>1</v>
      </c>
      <c r="P824" t="n">
        <v>0</v>
      </c>
      <c r="Q824" t="n">
        <v>1</v>
      </c>
      <c r="R824" s="2" t="inlineStr">
        <is>
          <t>Höstlåsbräken</t>
        </is>
      </c>
      <c r="S824">
        <f>HYPERLINK("https://klasma.github.io/Logging_2505/artfynd/A 38755-2023 artfynd.xlsx", "A 38755-2023")</f>
        <v/>
      </c>
      <c r="T824">
        <f>HYPERLINK("https://klasma.github.io/Logging_2505/kartor/A 38755-2023 karta.png", "A 38755-2023")</f>
        <v/>
      </c>
      <c r="V824">
        <f>HYPERLINK("https://klasma.github.io/Logging_2505/klagomål/A 38755-2023 FSC-klagomål.docx", "A 38755-2023")</f>
        <v/>
      </c>
      <c r="W824">
        <f>HYPERLINK("https://klasma.github.io/Logging_2505/klagomålsmail/A 38755-2023 FSC-klagomål mail.docx", "A 38755-2023")</f>
        <v/>
      </c>
      <c r="X824">
        <f>HYPERLINK("https://klasma.github.io/Logging_2505/tillsyn/A 38755-2023 tillsynsbegäran.docx", "A 38755-2023")</f>
        <v/>
      </c>
      <c r="Y824">
        <f>HYPERLINK("https://klasma.github.io/Logging_2505/tillsynsmail/A 38755-2023 tillsynsbegäran mail.docx", "A 38755-2023")</f>
        <v/>
      </c>
    </row>
    <row r="825" ht="15" customHeight="1">
      <c r="A825" t="inlineStr">
        <is>
          <t>A 39450-2023</t>
        </is>
      </c>
      <c r="B825" s="1" t="n">
        <v>45166</v>
      </c>
      <c r="C825" s="1" t="n">
        <v>45758</v>
      </c>
      <c r="D825" t="inlineStr">
        <is>
          <t>NORRBOTTENS LÄN</t>
        </is>
      </c>
      <c r="E825" t="inlineStr">
        <is>
          <t>BODEN</t>
        </is>
      </c>
      <c r="F825" t="inlineStr">
        <is>
          <t>Sveaskog</t>
        </is>
      </c>
      <c r="G825" t="n">
        <v>14.6</v>
      </c>
      <c r="H825" t="n">
        <v>0</v>
      </c>
      <c r="I825" t="n">
        <v>0</v>
      </c>
      <c r="J825" t="n">
        <v>1</v>
      </c>
      <c r="K825" t="n">
        <v>0</v>
      </c>
      <c r="L825" t="n">
        <v>0</v>
      </c>
      <c r="M825" t="n">
        <v>0</v>
      </c>
      <c r="N825" t="n">
        <v>0</v>
      </c>
      <c r="O825" t="n">
        <v>1</v>
      </c>
      <c r="P825" t="n">
        <v>0</v>
      </c>
      <c r="Q825" t="n">
        <v>1</v>
      </c>
      <c r="R825" s="2" t="inlineStr">
        <is>
          <t>Kolflarnlav</t>
        </is>
      </c>
      <c r="S825">
        <f>HYPERLINK("https://klasma.github.io/Logging_2582/artfynd/A 39450-2023 artfynd.xlsx", "A 39450-2023")</f>
        <v/>
      </c>
      <c r="T825">
        <f>HYPERLINK("https://klasma.github.io/Logging_2582/kartor/A 39450-2023 karta.png", "A 39450-2023")</f>
        <v/>
      </c>
      <c r="V825">
        <f>HYPERLINK("https://klasma.github.io/Logging_2582/klagomål/A 39450-2023 FSC-klagomål.docx", "A 39450-2023")</f>
        <v/>
      </c>
      <c r="W825">
        <f>HYPERLINK("https://klasma.github.io/Logging_2582/klagomålsmail/A 39450-2023 FSC-klagomål mail.docx", "A 39450-2023")</f>
        <v/>
      </c>
      <c r="X825">
        <f>HYPERLINK("https://klasma.github.io/Logging_2582/tillsyn/A 39450-2023 tillsynsbegäran.docx", "A 39450-2023")</f>
        <v/>
      </c>
      <c r="Y825">
        <f>HYPERLINK("https://klasma.github.io/Logging_2582/tillsynsmail/A 39450-2023 tillsynsbegäran mail.docx", "A 39450-2023")</f>
        <v/>
      </c>
    </row>
    <row r="826" ht="15" customHeight="1">
      <c r="A826" t="inlineStr">
        <is>
          <t>A 39583-2023</t>
        </is>
      </c>
      <c r="B826" s="1" t="n">
        <v>45167</v>
      </c>
      <c r="C826" s="1" t="n">
        <v>45758</v>
      </c>
      <c r="D826" t="inlineStr">
        <is>
          <t>NORRBOTTENS LÄN</t>
        </is>
      </c>
      <c r="E826" t="inlineStr">
        <is>
          <t>LULEÅ</t>
        </is>
      </c>
      <c r="G826" t="n">
        <v>20.5</v>
      </c>
      <c r="H826" t="n">
        <v>0</v>
      </c>
      <c r="I826" t="n">
        <v>1</v>
      </c>
      <c r="J826" t="n">
        <v>0</v>
      </c>
      <c r="K826" t="n">
        <v>0</v>
      </c>
      <c r="L826" t="n">
        <v>0</v>
      </c>
      <c r="M826" t="n">
        <v>0</v>
      </c>
      <c r="N826" t="n">
        <v>0</v>
      </c>
      <c r="O826" t="n">
        <v>0</v>
      </c>
      <c r="P826" t="n">
        <v>0</v>
      </c>
      <c r="Q826" t="n">
        <v>1</v>
      </c>
      <c r="R826" s="2" t="inlineStr">
        <is>
          <t>Dropptaggsvamp</t>
        </is>
      </c>
      <c r="S826">
        <f>HYPERLINK("https://klasma.github.io/Logging_2580/artfynd/A 39583-2023 artfynd.xlsx", "A 39583-2023")</f>
        <v/>
      </c>
      <c r="T826">
        <f>HYPERLINK("https://klasma.github.io/Logging_2580/kartor/A 39583-2023 karta.png", "A 39583-2023")</f>
        <v/>
      </c>
      <c r="V826">
        <f>HYPERLINK("https://klasma.github.io/Logging_2580/klagomål/A 39583-2023 FSC-klagomål.docx", "A 39583-2023")</f>
        <v/>
      </c>
      <c r="W826">
        <f>HYPERLINK("https://klasma.github.io/Logging_2580/klagomålsmail/A 39583-2023 FSC-klagomål mail.docx", "A 39583-2023")</f>
        <v/>
      </c>
      <c r="X826">
        <f>HYPERLINK("https://klasma.github.io/Logging_2580/tillsyn/A 39583-2023 tillsynsbegäran.docx", "A 39583-2023")</f>
        <v/>
      </c>
      <c r="Y826">
        <f>HYPERLINK("https://klasma.github.io/Logging_2580/tillsynsmail/A 39583-2023 tillsynsbegäran mail.docx", "A 39583-2023")</f>
        <v/>
      </c>
    </row>
    <row r="827" ht="15" customHeight="1">
      <c r="A827" t="inlineStr">
        <is>
          <t>A 39828-2023</t>
        </is>
      </c>
      <c r="B827" s="1" t="n">
        <v>45168</v>
      </c>
      <c r="C827" s="1" t="n">
        <v>45758</v>
      </c>
      <c r="D827" t="inlineStr">
        <is>
          <t>NORRBOTTENS LÄN</t>
        </is>
      </c>
      <c r="E827" t="inlineStr">
        <is>
          <t>ÄLVSBYN</t>
        </is>
      </c>
      <c r="G827" t="n">
        <v>14</v>
      </c>
      <c r="H827" t="n">
        <v>1</v>
      </c>
      <c r="I827" t="n">
        <v>1</v>
      </c>
      <c r="J827" t="n">
        <v>0</v>
      </c>
      <c r="K827" t="n">
        <v>0</v>
      </c>
      <c r="L827" t="n">
        <v>0</v>
      </c>
      <c r="M827" t="n">
        <v>0</v>
      </c>
      <c r="N827" t="n">
        <v>0</v>
      </c>
      <c r="O827" t="n">
        <v>0</v>
      </c>
      <c r="P827" t="n">
        <v>0</v>
      </c>
      <c r="Q827" t="n">
        <v>1</v>
      </c>
      <c r="R827" s="2" t="inlineStr">
        <is>
          <t>Korallrot</t>
        </is>
      </c>
      <c r="S827">
        <f>HYPERLINK("https://klasma.github.io/Logging_2560/artfynd/A 39828-2023 artfynd.xlsx", "A 39828-2023")</f>
        <v/>
      </c>
      <c r="T827">
        <f>HYPERLINK("https://klasma.github.io/Logging_2560/kartor/A 39828-2023 karta.png", "A 39828-2023")</f>
        <v/>
      </c>
      <c r="V827">
        <f>HYPERLINK("https://klasma.github.io/Logging_2560/klagomål/A 39828-2023 FSC-klagomål.docx", "A 39828-2023")</f>
        <v/>
      </c>
      <c r="W827">
        <f>HYPERLINK("https://klasma.github.io/Logging_2560/klagomålsmail/A 39828-2023 FSC-klagomål mail.docx", "A 39828-2023")</f>
        <v/>
      </c>
      <c r="X827">
        <f>HYPERLINK("https://klasma.github.io/Logging_2560/tillsyn/A 39828-2023 tillsynsbegäran.docx", "A 39828-2023")</f>
        <v/>
      </c>
      <c r="Y827">
        <f>HYPERLINK("https://klasma.github.io/Logging_2560/tillsynsmail/A 39828-2023 tillsynsbegäran mail.docx", "A 39828-2023")</f>
        <v/>
      </c>
    </row>
    <row r="828" ht="15" customHeight="1">
      <c r="A828" t="inlineStr">
        <is>
          <t>A 40265-2023</t>
        </is>
      </c>
      <c r="B828" s="1" t="n">
        <v>45169</v>
      </c>
      <c r="C828" s="1" t="n">
        <v>45758</v>
      </c>
      <c r="D828" t="inlineStr">
        <is>
          <t>NORRBOTTENS LÄN</t>
        </is>
      </c>
      <c r="E828" t="inlineStr">
        <is>
          <t>ÖVERKALIX</t>
        </is>
      </c>
      <c r="F828" t="inlineStr">
        <is>
          <t>Sveaskog</t>
        </is>
      </c>
      <c r="G828" t="n">
        <v>0.8</v>
      </c>
      <c r="H828" t="n">
        <v>0</v>
      </c>
      <c r="I828" t="n">
        <v>0</v>
      </c>
      <c r="J828" t="n">
        <v>1</v>
      </c>
      <c r="K828" t="n">
        <v>0</v>
      </c>
      <c r="L828" t="n">
        <v>0</v>
      </c>
      <c r="M828" t="n">
        <v>0</v>
      </c>
      <c r="N828" t="n">
        <v>0</v>
      </c>
      <c r="O828" t="n">
        <v>1</v>
      </c>
      <c r="P828" t="n">
        <v>0</v>
      </c>
      <c r="Q828" t="n">
        <v>1</v>
      </c>
      <c r="R828" s="2" t="inlineStr">
        <is>
          <t>Orange taggsvamp</t>
        </is>
      </c>
      <c r="S828">
        <f>HYPERLINK("https://klasma.github.io/Logging_2513/artfynd/A 40265-2023 artfynd.xlsx", "A 40265-2023")</f>
        <v/>
      </c>
      <c r="T828">
        <f>HYPERLINK("https://klasma.github.io/Logging_2513/kartor/A 40265-2023 karta.png", "A 40265-2023")</f>
        <v/>
      </c>
      <c r="V828">
        <f>HYPERLINK("https://klasma.github.io/Logging_2513/klagomål/A 40265-2023 FSC-klagomål.docx", "A 40265-2023")</f>
        <v/>
      </c>
      <c r="W828">
        <f>HYPERLINK("https://klasma.github.io/Logging_2513/klagomålsmail/A 40265-2023 FSC-klagomål mail.docx", "A 40265-2023")</f>
        <v/>
      </c>
      <c r="X828">
        <f>HYPERLINK("https://klasma.github.io/Logging_2513/tillsyn/A 40265-2023 tillsynsbegäran.docx", "A 40265-2023")</f>
        <v/>
      </c>
      <c r="Y828">
        <f>HYPERLINK("https://klasma.github.io/Logging_2513/tillsynsmail/A 40265-2023 tillsynsbegäran mail.docx", "A 40265-2023")</f>
        <v/>
      </c>
    </row>
    <row r="829" ht="15" customHeight="1">
      <c r="A829" t="inlineStr">
        <is>
          <t>A 40263-2023</t>
        </is>
      </c>
      <c r="B829" s="1" t="n">
        <v>45169</v>
      </c>
      <c r="C829" s="1" t="n">
        <v>45758</v>
      </c>
      <c r="D829" t="inlineStr">
        <is>
          <t>NORRBOTTENS LÄN</t>
        </is>
      </c>
      <c r="E829" t="inlineStr">
        <is>
          <t>ÖVERKALIX</t>
        </is>
      </c>
      <c r="F829" t="inlineStr">
        <is>
          <t>Sveaskog</t>
        </is>
      </c>
      <c r="G829" t="n">
        <v>1.5</v>
      </c>
      <c r="H829" t="n">
        <v>0</v>
      </c>
      <c r="I829" t="n">
        <v>0</v>
      </c>
      <c r="J829" t="n">
        <v>1</v>
      </c>
      <c r="K829" t="n">
        <v>0</v>
      </c>
      <c r="L829" t="n">
        <v>0</v>
      </c>
      <c r="M829" t="n">
        <v>0</v>
      </c>
      <c r="N829" t="n">
        <v>0</v>
      </c>
      <c r="O829" t="n">
        <v>1</v>
      </c>
      <c r="P829" t="n">
        <v>0</v>
      </c>
      <c r="Q829" t="n">
        <v>1</v>
      </c>
      <c r="R829" s="2" t="inlineStr">
        <is>
          <t>Blå taggsvamp</t>
        </is>
      </c>
      <c r="S829">
        <f>HYPERLINK("https://klasma.github.io/Logging_2513/artfynd/A 40263-2023 artfynd.xlsx", "A 40263-2023")</f>
        <v/>
      </c>
      <c r="T829">
        <f>HYPERLINK("https://klasma.github.io/Logging_2513/kartor/A 40263-2023 karta.png", "A 40263-2023")</f>
        <v/>
      </c>
      <c r="V829">
        <f>HYPERLINK("https://klasma.github.io/Logging_2513/klagomål/A 40263-2023 FSC-klagomål.docx", "A 40263-2023")</f>
        <v/>
      </c>
      <c r="W829">
        <f>HYPERLINK("https://klasma.github.io/Logging_2513/klagomålsmail/A 40263-2023 FSC-klagomål mail.docx", "A 40263-2023")</f>
        <v/>
      </c>
      <c r="X829">
        <f>HYPERLINK("https://klasma.github.io/Logging_2513/tillsyn/A 40263-2023 tillsynsbegäran.docx", "A 40263-2023")</f>
        <v/>
      </c>
      <c r="Y829">
        <f>HYPERLINK("https://klasma.github.io/Logging_2513/tillsynsmail/A 40263-2023 tillsynsbegäran mail.docx", "A 40263-2023")</f>
        <v/>
      </c>
    </row>
    <row r="830" ht="15" customHeight="1">
      <c r="A830" t="inlineStr">
        <is>
          <t>A 40463-2023</t>
        </is>
      </c>
      <c r="B830" s="1" t="n">
        <v>45170</v>
      </c>
      <c r="C830" s="1" t="n">
        <v>45758</v>
      </c>
      <c r="D830" t="inlineStr">
        <is>
          <t>NORRBOTTENS LÄN</t>
        </is>
      </c>
      <c r="E830" t="inlineStr">
        <is>
          <t>ÄLVSBYN</t>
        </is>
      </c>
      <c r="F830" t="inlineStr">
        <is>
          <t>Sveaskog</t>
        </is>
      </c>
      <c r="G830" t="n">
        <v>5.3</v>
      </c>
      <c r="H830" t="n">
        <v>0</v>
      </c>
      <c r="I830" t="n">
        <v>0</v>
      </c>
      <c r="J830" t="n">
        <v>1</v>
      </c>
      <c r="K830" t="n">
        <v>0</v>
      </c>
      <c r="L830" t="n">
        <v>0</v>
      </c>
      <c r="M830" t="n">
        <v>0</v>
      </c>
      <c r="N830" t="n">
        <v>0</v>
      </c>
      <c r="O830" t="n">
        <v>1</v>
      </c>
      <c r="P830" t="n">
        <v>0</v>
      </c>
      <c r="Q830" t="n">
        <v>1</v>
      </c>
      <c r="R830" s="2" t="inlineStr">
        <is>
          <t>Lunglav</t>
        </is>
      </c>
      <c r="S830">
        <f>HYPERLINK("https://klasma.github.io/Logging_2560/artfynd/A 40463-2023 artfynd.xlsx", "A 40463-2023")</f>
        <v/>
      </c>
      <c r="T830">
        <f>HYPERLINK("https://klasma.github.io/Logging_2560/kartor/A 40463-2023 karta.png", "A 40463-2023")</f>
        <v/>
      </c>
      <c r="V830">
        <f>HYPERLINK("https://klasma.github.io/Logging_2560/klagomål/A 40463-2023 FSC-klagomål.docx", "A 40463-2023")</f>
        <v/>
      </c>
      <c r="W830">
        <f>HYPERLINK("https://klasma.github.io/Logging_2560/klagomålsmail/A 40463-2023 FSC-klagomål mail.docx", "A 40463-2023")</f>
        <v/>
      </c>
      <c r="X830">
        <f>HYPERLINK("https://klasma.github.io/Logging_2560/tillsyn/A 40463-2023 tillsynsbegäran.docx", "A 40463-2023")</f>
        <v/>
      </c>
      <c r="Y830">
        <f>HYPERLINK("https://klasma.github.io/Logging_2560/tillsynsmail/A 40463-2023 tillsynsbegäran mail.docx", "A 40463-2023")</f>
        <v/>
      </c>
    </row>
    <row r="831" ht="15" customHeight="1">
      <c r="A831" t="inlineStr">
        <is>
          <t>A 40466-2023</t>
        </is>
      </c>
      <c r="B831" s="1" t="n">
        <v>45170</v>
      </c>
      <c r="C831" s="1" t="n">
        <v>45758</v>
      </c>
      <c r="D831" t="inlineStr">
        <is>
          <t>NORRBOTTENS LÄN</t>
        </is>
      </c>
      <c r="E831" t="inlineStr">
        <is>
          <t>JOKKMOKK</t>
        </is>
      </c>
      <c r="F831" t="inlineStr">
        <is>
          <t>Sveaskog</t>
        </is>
      </c>
      <c r="G831" t="n">
        <v>1.5</v>
      </c>
      <c r="H831" t="n">
        <v>0</v>
      </c>
      <c r="I831" t="n">
        <v>0</v>
      </c>
      <c r="J831" t="n">
        <v>1</v>
      </c>
      <c r="K831" t="n">
        <v>0</v>
      </c>
      <c r="L831" t="n">
        <v>0</v>
      </c>
      <c r="M831" t="n">
        <v>0</v>
      </c>
      <c r="N831" t="n">
        <v>0</v>
      </c>
      <c r="O831" t="n">
        <v>1</v>
      </c>
      <c r="P831" t="n">
        <v>0</v>
      </c>
      <c r="Q831" t="n">
        <v>1</v>
      </c>
      <c r="R831" s="2" t="inlineStr">
        <is>
          <t>Motaggsvamp</t>
        </is>
      </c>
      <c r="S831">
        <f>HYPERLINK("https://klasma.github.io/Logging_2510/artfynd/A 40466-2023 artfynd.xlsx", "A 40466-2023")</f>
        <v/>
      </c>
      <c r="T831">
        <f>HYPERLINK("https://klasma.github.io/Logging_2510/kartor/A 40466-2023 karta.png", "A 40466-2023")</f>
        <v/>
      </c>
      <c r="V831">
        <f>HYPERLINK("https://klasma.github.io/Logging_2510/klagomål/A 40466-2023 FSC-klagomål.docx", "A 40466-2023")</f>
        <v/>
      </c>
      <c r="W831">
        <f>HYPERLINK("https://klasma.github.io/Logging_2510/klagomålsmail/A 40466-2023 FSC-klagomål mail.docx", "A 40466-2023")</f>
        <v/>
      </c>
      <c r="X831">
        <f>HYPERLINK("https://klasma.github.io/Logging_2510/tillsyn/A 40466-2023 tillsynsbegäran.docx", "A 40466-2023")</f>
        <v/>
      </c>
      <c r="Y831">
        <f>HYPERLINK("https://klasma.github.io/Logging_2510/tillsynsmail/A 40466-2023 tillsynsbegäran mail.docx", "A 40466-2023")</f>
        <v/>
      </c>
    </row>
    <row r="832" ht="15" customHeight="1">
      <c r="A832" t="inlineStr">
        <is>
          <t>A 40815-2023</t>
        </is>
      </c>
      <c r="B832" s="1" t="n">
        <v>45171</v>
      </c>
      <c r="C832" s="1" t="n">
        <v>45758</v>
      </c>
      <c r="D832" t="inlineStr">
        <is>
          <t>NORRBOTTENS LÄN</t>
        </is>
      </c>
      <c r="E832" t="inlineStr">
        <is>
          <t>GÄLLIVARE</t>
        </is>
      </c>
      <c r="F832" t="inlineStr">
        <is>
          <t>Sveaskog</t>
        </is>
      </c>
      <c r="G832" t="n">
        <v>31.4</v>
      </c>
      <c r="H832" t="n">
        <v>0</v>
      </c>
      <c r="I832" t="n">
        <v>0</v>
      </c>
      <c r="J832" t="n">
        <v>1</v>
      </c>
      <c r="K832" t="n">
        <v>0</v>
      </c>
      <c r="L832" t="n">
        <v>0</v>
      </c>
      <c r="M832" t="n">
        <v>0</v>
      </c>
      <c r="N832" t="n">
        <v>0</v>
      </c>
      <c r="O832" t="n">
        <v>1</v>
      </c>
      <c r="P832" t="n">
        <v>0</v>
      </c>
      <c r="Q832" t="n">
        <v>1</v>
      </c>
      <c r="R832" s="2" t="inlineStr">
        <is>
          <t>Talltaggsvamp</t>
        </is>
      </c>
      <c r="S832">
        <f>HYPERLINK("https://klasma.github.io/Logging_2523/artfynd/A 40815-2023 artfynd.xlsx", "A 40815-2023")</f>
        <v/>
      </c>
      <c r="T832">
        <f>HYPERLINK("https://klasma.github.io/Logging_2523/kartor/A 40815-2023 karta.png", "A 40815-2023")</f>
        <v/>
      </c>
      <c r="V832">
        <f>HYPERLINK("https://klasma.github.io/Logging_2523/klagomål/A 40815-2023 FSC-klagomål.docx", "A 40815-2023")</f>
        <v/>
      </c>
      <c r="W832">
        <f>HYPERLINK("https://klasma.github.io/Logging_2523/klagomålsmail/A 40815-2023 FSC-klagomål mail.docx", "A 40815-2023")</f>
        <v/>
      </c>
      <c r="X832">
        <f>HYPERLINK("https://klasma.github.io/Logging_2523/tillsyn/A 40815-2023 tillsynsbegäran.docx", "A 40815-2023")</f>
        <v/>
      </c>
      <c r="Y832">
        <f>HYPERLINK("https://klasma.github.io/Logging_2523/tillsynsmail/A 40815-2023 tillsynsbegäran mail.docx", "A 40815-2023")</f>
        <v/>
      </c>
    </row>
    <row r="833" ht="15" customHeight="1">
      <c r="A833" t="inlineStr">
        <is>
          <t>A 41171-2023</t>
        </is>
      </c>
      <c r="B833" s="1" t="n">
        <v>45174</v>
      </c>
      <c r="C833" s="1" t="n">
        <v>45758</v>
      </c>
      <c r="D833" t="inlineStr">
        <is>
          <t>NORRBOTTENS LÄN</t>
        </is>
      </c>
      <c r="E833" t="inlineStr">
        <is>
          <t>ÖVERKALIX</t>
        </is>
      </c>
      <c r="F833" t="inlineStr">
        <is>
          <t>Sveaskog</t>
        </is>
      </c>
      <c r="G833" t="n">
        <v>17</v>
      </c>
      <c r="H833" t="n">
        <v>0</v>
      </c>
      <c r="I833" t="n">
        <v>0</v>
      </c>
      <c r="J833" t="n">
        <v>1</v>
      </c>
      <c r="K833" t="n">
        <v>0</v>
      </c>
      <c r="L833" t="n">
        <v>0</v>
      </c>
      <c r="M833" t="n">
        <v>0</v>
      </c>
      <c r="N833" t="n">
        <v>0</v>
      </c>
      <c r="O833" t="n">
        <v>1</v>
      </c>
      <c r="P833" t="n">
        <v>0</v>
      </c>
      <c r="Q833" t="n">
        <v>1</v>
      </c>
      <c r="R833" s="2" t="inlineStr">
        <is>
          <t>Lunglav</t>
        </is>
      </c>
      <c r="S833">
        <f>HYPERLINK("https://klasma.github.io/Logging_2513/artfynd/A 41171-2023 artfynd.xlsx", "A 41171-2023")</f>
        <v/>
      </c>
      <c r="T833">
        <f>HYPERLINK("https://klasma.github.io/Logging_2513/kartor/A 41171-2023 karta.png", "A 41171-2023")</f>
        <v/>
      </c>
      <c r="V833">
        <f>HYPERLINK("https://klasma.github.io/Logging_2513/klagomål/A 41171-2023 FSC-klagomål.docx", "A 41171-2023")</f>
        <v/>
      </c>
      <c r="W833">
        <f>HYPERLINK("https://klasma.github.io/Logging_2513/klagomålsmail/A 41171-2023 FSC-klagomål mail.docx", "A 41171-2023")</f>
        <v/>
      </c>
      <c r="X833">
        <f>HYPERLINK("https://klasma.github.io/Logging_2513/tillsyn/A 41171-2023 tillsynsbegäran.docx", "A 41171-2023")</f>
        <v/>
      </c>
      <c r="Y833">
        <f>HYPERLINK("https://klasma.github.io/Logging_2513/tillsynsmail/A 41171-2023 tillsynsbegäran mail.docx", "A 41171-2023")</f>
        <v/>
      </c>
    </row>
    <row r="834" ht="15" customHeight="1">
      <c r="A834" t="inlineStr">
        <is>
          <t>A 41664-2023</t>
        </is>
      </c>
      <c r="B834" s="1" t="n">
        <v>45175</v>
      </c>
      <c r="C834" s="1" t="n">
        <v>45758</v>
      </c>
      <c r="D834" t="inlineStr">
        <is>
          <t>NORRBOTTENS LÄN</t>
        </is>
      </c>
      <c r="E834" t="inlineStr">
        <is>
          <t>PITEÅ</t>
        </is>
      </c>
      <c r="F834" t="inlineStr">
        <is>
          <t>SCA</t>
        </is>
      </c>
      <c r="G834" t="n">
        <v>3.7</v>
      </c>
      <c r="H834" t="n">
        <v>0</v>
      </c>
      <c r="I834" t="n">
        <v>0</v>
      </c>
      <c r="J834" t="n">
        <v>1</v>
      </c>
      <c r="K834" t="n">
        <v>0</v>
      </c>
      <c r="L834" t="n">
        <v>0</v>
      </c>
      <c r="M834" t="n">
        <v>0</v>
      </c>
      <c r="N834" t="n">
        <v>0</v>
      </c>
      <c r="O834" t="n">
        <v>1</v>
      </c>
      <c r="P834" t="n">
        <v>0</v>
      </c>
      <c r="Q834" t="n">
        <v>1</v>
      </c>
      <c r="R834" s="2" t="inlineStr">
        <is>
          <t>Lunglav</t>
        </is>
      </c>
      <c r="S834">
        <f>HYPERLINK("https://klasma.github.io/Logging_2581/artfynd/A 41664-2023 artfynd.xlsx", "A 41664-2023")</f>
        <v/>
      </c>
      <c r="T834">
        <f>HYPERLINK("https://klasma.github.io/Logging_2581/kartor/A 41664-2023 karta.png", "A 41664-2023")</f>
        <v/>
      </c>
      <c r="V834">
        <f>HYPERLINK("https://klasma.github.io/Logging_2581/klagomål/A 41664-2023 FSC-klagomål.docx", "A 41664-2023")</f>
        <v/>
      </c>
      <c r="W834">
        <f>HYPERLINK("https://klasma.github.io/Logging_2581/klagomålsmail/A 41664-2023 FSC-klagomål mail.docx", "A 41664-2023")</f>
        <v/>
      </c>
      <c r="X834">
        <f>HYPERLINK("https://klasma.github.io/Logging_2581/tillsyn/A 41664-2023 tillsynsbegäran.docx", "A 41664-2023")</f>
        <v/>
      </c>
      <c r="Y834">
        <f>HYPERLINK("https://klasma.github.io/Logging_2581/tillsynsmail/A 41664-2023 tillsynsbegäran mail.docx", "A 41664-2023")</f>
        <v/>
      </c>
    </row>
    <row r="835" ht="15" customHeight="1">
      <c r="A835" t="inlineStr">
        <is>
          <t>A 42696-2023</t>
        </is>
      </c>
      <c r="B835" s="1" t="n">
        <v>45181</v>
      </c>
      <c r="C835" s="1" t="n">
        <v>45758</v>
      </c>
      <c r="D835" t="inlineStr">
        <is>
          <t>NORRBOTTENS LÄN</t>
        </is>
      </c>
      <c r="E835" t="inlineStr">
        <is>
          <t>PITEÅ</t>
        </is>
      </c>
      <c r="F835" t="inlineStr">
        <is>
          <t>Sveaskog</t>
        </is>
      </c>
      <c r="G835" t="n">
        <v>3</v>
      </c>
      <c r="H835" t="n">
        <v>0</v>
      </c>
      <c r="I835" t="n">
        <v>0</v>
      </c>
      <c r="J835" t="n">
        <v>1</v>
      </c>
      <c r="K835" t="n">
        <v>0</v>
      </c>
      <c r="L835" t="n">
        <v>0</v>
      </c>
      <c r="M835" t="n">
        <v>0</v>
      </c>
      <c r="N835" t="n">
        <v>0</v>
      </c>
      <c r="O835" t="n">
        <v>1</v>
      </c>
      <c r="P835" t="n">
        <v>0</v>
      </c>
      <c r="Q835" t="n">
        <v>1</v>
      </c>
      <c r="R835" s="2" t="inlineStr">
        <is>
          <t>Harticka</t>
        </is>
      </c>
      <c r="S835">
        <f>HYPERLINK("https://klasma.github.io/Logging_2581/artfynd/A 42696-2023 artfynd.xlsx", "A 42696-2023")</f>
        <v/>
      </c>
      <c r="T835">
        <f>HYPERLINK("https://klasma.github.io/Logging_2581/kartor/A 42696-2023 karta.png", "A 42696-2023")</f>
        <v/>
      </c>
      <c r="V835">
        <f>HYPERLINK("https://klasma.github.io/Logging_2581/klagomål/A 42696-2023 FSC-klagomål.docx", "A 42696-2023")</f>
        <v/>
      </c>
      <c r="W835">
        <f>HYPERLINK("https://klasma.github.io/Logging_2581/klagomålsmail/A 42696-2023 FSC-klagomål mail.docx", "A 42696-2023")</f>
        <v/>
      </c>
      <c r="X835">
        <f>HYPERLINK("https://klasma.github.io/Logging_2581/tillsyn/A 42696-2023 tillsynsbegäran.docx", "A 42696-2023")</f>
        <v/>
      </c>
      <c r="Y835">
        <f>HYPERLINK("https://klasma.github.io/Logging_2581/tillsynsmail/A 42696-2023 tillsynsbegäran mail.docx", "A 42696-2023")</f>
        <v/>
      </c>
    </row>
    <row r="836" ht="15" customHeight="1">
      <c r="A836" t="inlineStr">
        <is>
          <t>A 43323-2023</t>
        </is>
      </c>
      <c r="B836" s="1" t="n">
        <v>45183</v>
      </c>
      <c r="C836" s="1" t="n">
        <v>45758</v>
      </c>
      <c r="D836" t="inlineStr">
        <is>
          <t>NORRBOTTENS LÄN</t>
        </is>
      </c>
      <c r="E836" t="inlineStr">
        <is>
          <t>GÄLLIVARE</t>
        </is>
      </c>
      <c r="F836" t="inlineStr">
        <is>
          <t>Sveaskog</t>
        </is>
      </c>
      <c r="G836" t="n">
        <v>30.4</v>
      </c>
      <c r="H836" t="n">
        <v>1</v>
      </c>
      <c r="I836" t="n">
        <v>1</v>
      </c>
      <c r="J836" t="n">
        <v>0</v>
      </c>
      <c r="K836" t="n">
        <v>0</v>
      </c>
      <c r="L836" t="n">
        <v>0</v>
      </c>
      <c r="M836" t="n">
        <v>0</v>
      </c>
      <c r="N836" t="n">
        <v>0</v>
      </c>
      <c r="O836" t="n">
        <v>0</v>
      </c>
      <c r="P836" t="n">
        <v>0</v>
      </c>
      <c r="Q836" t="n">
        <v>1</v>
      </c>
      <c r="R836" s="2" t="inlineStr">
        <is>
          <t>Plattlummer</t>
        </is>
      </c>
      <c r="S836">
        <f>HYPERLINK("https://klasma.github.io/Logging_2523/artfynd/A 43323-2023 artfynd.xlsx", "A 43323-2023")</f>
        <v/>
      </c>
      <c r="T836">
        <f>HYPERLINK("https://klasma.github.io/Logging_2523/kartor/A 43323-2023 karta.png", "A 43323-2023")</f>
        <v/>
      </c>
      <c r="V836">
        <f>HYPERLINK("https://klasma.github.io/Logging_2523/klagomål/A 43323-2023 FSC-klagomål.docx", "A 43323-2023")</f>
        <v/>
      </c>
      <c r="W836">
        <f>HYPERLINK("https://klasma.github.io/Logging_2523/klagomålsmail/A 43323-2023 FSC-klagomål mail.docx", "A 43323-2023")</f>
        <v/>
      </c>
      <c r="X836">
        <f>HYPERLINK("https://klasma.github.io/Logging_2523/tillsyn/A 43323-2023 tillsynsbegäran.docx", "A 43323-2023")</f>
        <v/>
      </c>
      <c r="Y836">
        <f>HYPERLINK("https://klasma.github.io/Logging_2523/tillsynsmail/A 43323-2023 tillsynsbegäran mail.docx", "A 43323-2023")</f>
        <v/>
      </c>
    </row>
    <row r="837" ht="15" customHeight="1">
      <c r="A837" t="inlineStr">
        <is>
          <t>A 43851-2023</t>
        </is>
      </c>
      <c r="B837" s="1" t="n">
        <v>45187</v>
      </c>
      <c r="C837" s="1" t="n">
        <v>45758</v>
      </c>
      <c r="D837" t="inlineStr">
        <is>
          <t>NORRBOTTENS LÄN</t>
        </is>
      </c>
      <c r="E837" t="inlineStr">
        <is>
          <t>PAJALA</t>
        </is>
      </c>
      <c r="G837" t="n">
        <v>7.2</v>
      </c>
      <c r="H837" t="n">
        <v>0</v>
      </c>
      <c r="I837" t="n">
        <v>0</v>
      </c>
      <c r="J837" t="n">
        <v>1</v>
      </c>
      <c r="K837" t="n">
        <v>0</v>
      </c>
      <c r="L837" t="n">
        <v>0</v>
      </c>
      <c r="M837" t="n">
        <v>0</v>
      </c>
      <c r="N837" t="n">
        <v>0</v>
      </c>
      <c r="O837" t="n">
        <v>1</v>
      </c>
      <c r="P837" t="n">
        <v>0</v>
      </c>
      <c r="Q837" t="n">
        <v>1</v>
      </c>
      <c r="R837" s="2" t="inlineStr">
        <is>
          <t>Garnlav</t>
        </is>
      </c>
      <c r="S837">
        <f>HYPERLINK("https://klasma.github.io/Logging_2521/artfynd/A 43851-2023 artfynd.xlsx", "A 43851-2023")</f>
        <v/>
      </c>
      <c r="T837">
        <f>HYPERLINK("https://klasma.github.io/Logging_2521/kartor/A 43851-2023 karta.png", "A 43851-2023")</f>
        <v/>
      </c>
      <c r="V837">
        <f>HYPERLINK("https://klasma.github.io/Logging_2521/klagomål/A 43851-2023 FSC-klagomål.docx", "A 43851-2023")</f>
        <v/>
      </c>
      <c r="W837">
        <f>HYPERLINK("https://klasma.github.io/Logging_2521/klagomålsmail/A 43851-2023 FSC-klagomål mail.docx", "A 43851-2023")</f>
        <v/>
      </c>
      <c r="X837">
        <f>HYPERLINK("https://klasma.github.io/Logging_2521/tillsyn/A 43851-2023 tillsynsbegäran.docx", "A 43851-2023")</f>
        <v/>
      </c>
      <c r="Y837">
        <f>HYPERLINK("https://klasma.github.io/Logging_2521/tillsynsmail/A 43851-2023 tillsynsbegäran mail.docx", "A 43851-2023")</f>
        <v/>
      </c>
    </row>
    <row r="838" ht="15" customHeight="1">
      <c r="A838" t="inlineStr">
        <is>
          <t>A 44255-2023</t>
        </is>
      </c>
      <c r="B838" s="1" t="n">
        <v>45188</v>
      </c>
      <c r="C838" s="1" t="n">
        <v>45758</v>
      </c>
      <c r="D838" t="inlineStr">
        <is>
          <t>NORRBOTTENS LÄN</t>
        </is>
      </c>
      <c r="E838" t="inlineStr">
        <is>
          <t>PITEÅ</t>
        </is>
      </c>
      <c r="F838" t="inlineStr">
        <is>
          <t>Sveaskog</t>
        </is>
      </c>
      <c r="G838" t="n">
        <v>5.7</v>
      </c>
      <c r="H838" t="n">
        <v>0</v>
      </c>
      <c r="I838" t="n">
        <v>0</v>
      </c>
      <c r="J838" t="n">
        <v>1</v>
      </c>
      <c r="K838" t="n">
        <v>0</v>
      </c>
      <c r="L838" t="n">
        <v>0</v>
      </c>
      <c r="M838" t="n">
        <v>0</v>
      </c>
      <c r="N838" t="n">
        <v>0</v>
      </c>
      <c r="O838" t="n">
        <v>1</v>
      </c>
      <c r="P838" t="n">
        <v>0</v>
      </c>
      <c r="Q838" t="n">
        <v>1</v>
      </c>
      <c r="R838" s="2" t="inlineStr">
        <is>
          <t>Garnlav</t>
        </is>
      </c>
      <c r="S838">
        <f>HYPERLINK("https://klasma.github.io/Logging_2581/artfynd/A 44255-2023 artfynd.xlsx", "A 44255-2023")</f>
        <v/>
      </c>
      <c r="T838">
        <f>HYPERLINK("https://klasma.github.io/Logging_2581/kartor/A 44255-2023 karta.png", "A 44255-2023")</f>
        <v/>
      </c>
      <c r="V838">
        <f>HYPERLINK("https://klasma.github.io/Logging_2581/klagomål/A 44255-2023 FSC-klagomål.docx", "A 44255-2023")</f>
        <v/>
      </c>
      <c r="W838">
        <f>HYPERLINK("https://klasma.github.io/Logging_2581/klagomålsmail/A 44255-2023 FSC-klagomål mail.docx", "A 44255-2023")</f>
        <v/>
      </c>
      <c r="X838">
        <f>HYPERLINK("https://klasma.github.io/Logging_2581/tillsyn/A 44255-2023 tillsynsbegäran.docx", "A 44255-2023")</f>
        <v/>
      </c>
      <c r="Y838">
        <f>HYPERLINK("https://klasma.github.io/Logging_2581/tillsynsmail/A 44255-2023 tillsynsbegäran mail.docx", "A 44255-2023")</f>
        <v/>
      </c>
    </row>
    <row r="839" ht="15" customHeight="1">
      <c r="A839" t="inlineStr">
        <is>
          <t>A 46378-2023</t>
        </is>
      </c>
      <c r="B839" s="1" t="n">
        <v>45197</v>
      </c>
      <c r="C839" s="1" t="n">
        <v>45758</v>
      </c>
      <c r="D839" t="inlineStr">
        <is>
          <t>NORRBOTTENS LÄN</t>
        </is>
      </c>
      <c r="E839" t="inlineStr">
        <is>
          <t>ÖVERTORNEÅ</t>
        </is>
      </c>
      <c r="F839" t="inlineStr">
        <is>
          <t>Sveaskog</t>
        </is>
      </c>
      <c r="G839" t="n">
        <v>43.9</v>
      </c>
      <c r="H839" t="n">
        <v>1</v>
      </c>
      <c r="I839" t="n">
        <v>0</v>
      </c>
      <c r="J839" t="n">
        <v>1</v>
      </c>
      <c r="K839" t="n">
        <v>0</v>
      </c>
      <c r="L839" t="n">
        <v>0</v>
      </c>
      <c r="M839" t="n">
        <v>0</v>
      </c>
      <c r="N839" t="n">
        <v>0</v>
      </c>
      <c r="O839" t="n">
        <v>1</v>
      </c>
      <c r="P839" t="n">
        <v>0</v>
      </c>
      <c r="Q839" t="n">
        <v>1</v>
      </c>
      <c r="R839" s="2" t="inlineStr">
        <is>
          <t>Kungsörn</t>
        </is>
      </c>
      <c r="S839">
        <f>HYPERLINK("https://klasma.github.io/Logging_2518/artfynd/A 46378-2023 artfynd.xlsx", "A 46378-2023")</f>
        <v/>
      </c>
      <c r="T839">
        <f>HYPERLINK("https://klasma.github.io/Logging_2518/kartor/A 46378-2023 karta.png", "A 46378-2023")</f>
        <v/>
      </c>
      <c r="V839">
        <f>HYPERLINK("https://klasma.github.io/Logging_2518/klagomål/A 46378-2023 FSC-klagomål.docx", "A 46378-2023")</f>
        <v/>
      </c>
      <c r="W839">
        <f>HYPERLINK("https://klasma.github.io/Logging_2518/klagomålsmail/A 46378-2023 FSC-klagomål mail.docx", "A 46378-2023")</f>
        <v/>
      </c>
      <c r="X839">
        <f>HYPERLINK("https://klasma.github.io/Logging_2518/tillsyn/A 46378-2023 tillsynsbegäran.docx", "A 46378-2023")</f>
        <v/>
      </c>
      <c r="Y839">
        <f>HYPERLINK("https://klasma.github.io/Logging_2518/tillsynsmail/A 46378-2023 tillsynsbegäran mail.docx", "A 46378-2023")</f>
        <v/>
      </c>
      <c r="Z839">
        <f>HYPERLINK("https://klasma.github.io/Logging_2518/fåglar/A 46378-2023 prioriterade fågelarter.docx", "A 46378-2023")</f>
        <v/>
      </c>
    </row>
    <row r="840" ht="15" customHeight="1">
      <c r="A840" t="inlineStr">
        <is>
          <t>A 46853-2023</t>
        </is>
      </c>
      <c r="B840" s="1" t="n">
        <v>45199</v>
      </c>
      <c r="C840" s="1" t="n">
        <v>45758</v>
      </c>
      <c r="D840" t="inlineStr">
        <is>
          <t>NORRBOTTENS LÄN</t>
        </is>
      </c>
      <c r="E840" t="inlineStr">
        <is>
          <t>GÄLLIVARE</t>
        </is>
      </c>
      <c r="F840" t="inlineStr">
        <is>
          <t>SCA</t>
        </is>
      </c>
      <c r="G840" t="n">
        <v>6.7</v>
      </c>
      <c r="H840" t="n">
        <v>1</v>
      </c>
      <c r="I840" t="n">
        <v>0</v>
      </c>
      <c r="J840" t="n">
        <v>1</v>
      </c>
      <c r="K840" t="n">
        <v>0</v>
      </c>
      <c r="L840" t="n">
        <v>0</v>
      </c>
      <c r="M840" t="n">
        <v>0</v>
      </c>
      <c r="N840" t="n">
        <v>0</v>
      </c>
      <c r="O840" t="n">
        <v>1</v>
      </c>
      <c r="P840" t="n">
        <v>0</v>
      </c>
      <c r="Q840" t="n">
        <v>1</v>
      </c>
      <c r="R840" s="2" t="inlineStr">
        <is>
          <t>Utter</t>
        </is>
      </c>
      <c r="S840">
        <f>HYPERLINK("https://klasma.github.io/Logging_2523/artfynd/A 46853-2023 artfynd.xlsx", "A 46853-2023")</f>
        <v/>
      </c>
      <c r="T840">
        <f>HYPERLINK("https://klasma.github.io/Logging_2523/kartor/A 46853-2023 karta.png", "A 46853-2023")</f>
        <v/>
      </c>
      <c r="V840">
        <f>HYPERLINK("https://klasma.github.io/Logging_2523/klagomål/A 46853-2023 FSC-klagomål.docx", "A 46853-2023")</f>
        <v/>
      </c>
      <c r="W840">
        <f>HYPERLINK("https://klasma.github.io/Logging_2523/klagomålsmail/A 46853-2023 FSC-klagomål mail.docx", "A 46853-2023")</f>
        <v/>
      </c>
      <c r="X840">
        <f>HYPERLINK("https://klasma.github.io/Logging_2523/tillsyn/A 46853-2023 tillsynsbegäran.docx", "A 46853-2023")</f>
        <v/>
      </c>
      <c r="Y840">
        <f>HYPERLINK("https://klasma.github.io/Logging_2523/tillsynsmail/A 46853-2023 tillsynsbegäran mail.docx", "A 46853-2023")</f>
        <v/>
      </c>
    </row>
    <row r="841" ht="15" customHeight="1">
      <c r="A841" t="inlineStr">
        <is>
          <t>A 48418-2023</t>
        </is>
      </c>
      <c r="B841" s="1" t="n">
        <v>45205</v>
      </c>
      <c r="C841" s="1" t="n">
        <v>45758</v>
      </c>
      <c r="D841" t="inlineStr">
        <is>
          <t>NORRBOTTENS LÄN</t>
        </is>
      </c>
      <c r="E841" t="inlineStr">
        <is>
          <t>BODEN</t>
        </is>
      </c>
      <c r="F841" t="inlineStr">
        <is>
          <t>SCA</t>
        </is>
      </c>
      <c r="G841" t="n">
        <v>3.6</v>
      </c>
      <c r="H841" t="n">
        <v>1</v>
      </c>
      <c r="I841" t="n">
        <v>0</v>
      </c>
      <c r="J841" t="n">
        <v>1</v>
      </c>
      <c r="K841" t="n">
        <v>0</v>
      </c>
      <c r="L841" t="n">
        <v>0</v>
      </c>
      <c r="M841" t="n">
        <v>0</v>
      </c>
      <c r="N841" t="n">
        <v>0</v>
      </c>
      <c r="O841" t="n">
        <v>1</v>
      </c>
      <c r="P841" t="n">
        <v>0</v>
      </c>
      <c r="Q841" t="n">
        <v>1</v>
      </c>
      <c r="R841" s="2" t="inlineStr">
        <is>
          <t>Duvhök</t>
        </is>
      </c>
      <c r="S841">
        <f>HYPERLINK("https://klasma.github.io/Logging_2582/artfynd/A 48418-2023 artfynd.xlsx", "A 48418-2023")</f>
        <v/>
      </c>
      <c r="T841">
        <f>HYPERLINK("https://klasma.github.io/Logging_2582/kartor/A 48418-2023 karta.png", "A 48418-2023")</f>
        <v/>
      </c>
      <c r="V841">
        <f>HYPERLINK("https://klasma.github.io/Logging_2582/klagomål/A 48418-2023 FSC-klagomål.docx", "A 48418-2023")</f>
        <v/>
      </c>
      <c r="W841">
        <f>HYPERLINK("https://klasma.github.io/Logging_2582/klagomålsmail/A 48418-2023 FSC-klagomål mail.docx", "A 48418-2023")</f>
        <v/>
      </c>
      <c r="X841">
        <f>HYPERLINK("https://klasma.github.io/Logging_2582/tillsyn/A 48418-2023 tillsynsbegäran.docx", "A 48418-2023")</f>
        <v/>
      </c>
      <c r="Y841">
        <f>HYPERLINK("https://klasma.github.io/Logging_2582/tillsynsmail/A 48418-2023 tillsynsbegäran mail.docx", "A 48418-2023")</f>
        <v/>
      </c>
      <c r="Z841">
        <f>HYPERLINK("https://klasma.github.io/Logging_2582/fåglar/A 48418-2023 prioriterade fågelarter.docx", "A 48418-2023")</f>
        <v/>
      </c>
    </row>
    <row r="842" ht="15" customHeight="1">
      <c r="A842" t="inlineStr">
        <is>
          <t>A 51389-2023</t>
        </is>
      </c>
      <c r="B842" s="1" t="n">
        <v>45213</v>
      </c>
      <c r="C842" s="1" t="n">
        <v>45758</v>
      </c>
      <c r="D842" t="inlineStr">
        <is>
          <t>NORRBOTTENS LÄN</t>
        </is>
      </c>
      <c r="E842" t="inlineStr">
        <is>
          <t>GÄLLIVARE</t>
        </is>
      </c>
      <c r="G842" t="n">
        <v>4.5</v>
      </c>
      <c r="H842" t="n">
        <v>1</v>
      </c>
      <c r="I842" t="n">
        <v>0</v>
      </c>
      <c r="J842" t="n">
        <v>1</v>
      </c>
      <c r="K842" t="n">
        <v>0</v>
      </c>
      <c r="L842" t="n">
        <v>0</v>
      </c>
      <c r="M842" t="n">
        <v>0</v>
      </c>
      <c r="N842" t="n">
        <v>0</v>
      </c>
      <c r="O842" t="n">
        <v>1</v>
      </c>
      <c r="P842" t="n">
        <v>0</v>
      </c>
      <c r="Q842" t="n">
        <v>1</v>
      </c>
      <c r="R842" s="2" t="inlineStr">
        <is>
          <t>Spillkråka</t>
        </is>
      </c>
      <c r="S842">
        <f>HYPERLINK("https://klasma.github.io/Logging_2523/artfynd/A 51389-2023 artfynd.xlsx", "A 51389-2023")</f>
        <v/>
      </c>
      <c r="T842">
        <f>HYPERLINK("https://klasma.github.io/Logging_2523/kartor/A 51389-2023 karta.png", "A 51389-2023")</f>
        <v/>
      </c>
      <c r="V842">
        <f>HYPERLINK("https://klasma.github.io/Logging_2523/klagomål/A 51389-2023 FSC-klagomål.docx", "A 51389-2023")</f>
        <v/>
      </c>
      <c r="W842">
        <f>HYPERLINK("https://klasma.github.io/Logging_2523/klagomålsmail/A 51389-2023 FSC-klagomål mail.docx", "A 51389-2023")</f>
        <v/>
      </c>
      <c r="X842">
        <f>HYPERLINK("https://klasma.github.io/Logging_2523/tillsyn/A 51389-2023 tillsynsbegäran.docx", "A 51389-2023")</f>
        <v/>
      </c>
      <c r="Y842">
        <f>HYPERLINK("https://klasma.github.io/Logging_2523/tillsynsmail/A 51389-2023 tillsynsbegäran mail.docx", "A 51389-2023")</f>
        <v/>
      </c>
      <c r="Z842">
        <f>HYPERLINK("https://klasma.github.io/Logging_2523/fåglar/A 51389-2023 prioriterade fågelarter.docx", "A 51389-2023")</f>
        <v/>
      </c>
    </row>
    <row r="843" ht="15" customHeight="1">
      <c r="A843" t="inlineStr">
        <is>
          <t>A 50382-2023</t>
        </is>
      </c>
      <c r="B843" s="1" t="n">
        <v>45216</v>
      </c>
      <c r="C843" s="1" t="n">
        <v>45758</v>
      </c>
      <c r="D843" t="inlineStr">
        <is>
          <t>NORRBOTTENS LÄN</t>
        </is>
      </c>
      <c r="E843" t="inlineStr">
        <is>
          <t>PAJALA</t>
        </is>
      </c>
      <c r="F843" t="inlineStr">
        <is>
          <t>Sveaskog</t>
        </is>
      </c>
      <c r="G843" t="n">
        <v>4</v>
      </c>
      <c r="H843" t="n">
        <v>0</v>
      </c>
      <c r="I843" t="n">
        <v>0</v>
      </c>
      <c r="J843" t="n">
        <v>0</v>
      </c>
      <c r="K843" t="n">
        <v>1</v>
      </c>
      <c r="L843" t="n">
        <v>0</v>
      </c>
      <c r="M843" t="n">
        <v>0</v>
      </c>
      <c r="N843" t="n">
        <v>0</v>
      </c>
      <c r="O843" t="n">
        <v>1</v>
      </c>
      <c r="P843" t="n">
        <v>1</v>
      </c>
      <c r="Q843" t="n">
        <v>1</v>
      </c>
      <c r="R843" s="2" t="inlineStr">
        <is>
          <t>Lappticka</t>
        </is>
      </c>
      <c r="S843">
        <f>HYPERLINK("https://klasma.github.io/Logging_2521/artfynd/A 50382-2023 artfynd.xlsx", "A 50382-2023")</f>
        <v/>
      </c>
      <c r="T843">
        <f>HYPERLINK("https://klasma.github.io/Logging_2521/kartor/A 50382-2023 karta.png", "A 50382-2023")</f>
        <v/>
      </c>
      <c r="V843">
        <f>HYPERLINK("https://klasma.github.io/Logging_2521/klagomål/A 50382-2023 FSC-klagomål.docx", "A 50382-2023")</f>
        <v/>
      </c>
      <c r="W843">
        <f>HYPERLINK("https://klasma.github.io/Logging_2521/klagomålsmail/A 50382-2023 FSC-klagomål mail.docx", "A 50382-2023")</f>
        <v/>
      </c>
      <c r="X843">
        <f>HYPERLINK("https://klasma.github.io/Logging_2521/tillsyn/A 50382-2023 tillsynsbegäran.docx", "A 50382-2023")</f>
        <v/>
      </c>
      <c r="Y843">
        <f>HYPERLINK("https://klasma.github.io/Logging_2521/tillsynsmail/A 50382-2023 tillsynsbegäran mail.docx", "A 50382-2023")</f>
        <v/>
      </c>
    </row>
    <row r="844" ht="15" customHeight="1">
      <c r="A844" t="inlineStr">
        <is>
          <t>A 50377-2023</t>
        </is>
      </c>
      <c r="B844" s="1" t="n">
        <v>45216</v>
      </c>
      <c r="C844" s="1" t="n">
        <v>45758</v>
      </c>
      <c r="D844" t="inlineStr">
        <is>
          <t>NORRBOTTENS LÄN</t>
        </is>
      </c>
      <c r="E844" t="inlineStr">
        <is>
          <t>PAJALA</t>
        </is>
      </c>
      <c r="F844" t="inlineStr">
        <is>
          <t>Sveaskog</t>
        </is>
      </c>
      <c r="G844" t="n">
        <v>2.6</v>
      </c>
      <c r="H844" t="n">
        <v>0</v>
      </c>
      <c r="I844" t="n">
        <v>0</v>
      </c>
      <c r="J844" t="n">
        <v>1</v>
      </c>
      <c r="K844" t="n">
        <v>0</v>
      </c>
      <c r="L844" t="n">
        <v>0</v>
      </c>
      <c r="M844" t="n">
        <v>0</v>
      </c>
      <c r="N844" t="n">
        <v>0</v>
      </c>
      <c r="O844" t="n">
        <v>1</v>
      </c>
      <c r="P844" t="n">
        <v>0</v>
      </c>
      <c r="Q844" t="n">
        <v>1</v>
      </c>
      <c r="R844" s="2" t="inlineStr">
        <is>
          <t>Motaggsvamp</t>
        </is>
      </c>
      <c r="S844">
        <f>HYPERLINK("https://klasma.github.io/Logging_2521/artfynd/A 50377-2023 artfynd.xlsx", "A 50377-2023")</f>
        <v/>
      </c>
      <c r="T844">
        <f>HYPERLINK("https://klasma.github.io/Logging_2521/kartor/A 50377-2023 karta.png", "A 50377-2023")</f>
        <v/>
      </c>
      <c r="V844">
        <f>HYPERLINK("https://klasma.github.io/Logging_2521/klagomål/A 50377-2023 FSC-klagomål.docx", "A 50377-2023")</f>
        <v/>
      </c>
      <c r="W844">
        <f>HYPERLINK("https://klasma.github.io/Logging_2521/klagomålsmail/A 50377-2023 FSC-klagomål mail.docx", "A 50377-2023")</f>
        <v/>
      </c>
      <c r="X844">
        <f>HYPERLINK("https://klasma.github.io/Logging_2521/tillsyn/A 50377-2023 tillsynsbegäran.docx", "A 50377-2023")</f>
        <v/>
      </c>
      <c r="Y844">
        <f>HYPERLINK("https://klasma.github.io/Logging_2521/tillsynsmail/A 50377-2023 tillsynsbegäran mail.docx", "A 50377-2023")</f>
        <v/>
      </c>
    </row>
    <row r="845" ht="15" customHeight="1">
      <c r="A845" t="inlineStr">
        <is>
          <t>A 51371-2023</t>
        </is>
      </c>
      <c r="B845" s="1" t="n">
        <v>45219</v>
      </c>
      <c r="C845" s="1" t="n">
        <v>45758</v>
      </c>
      <c r="D845" t="inlineStr">
        <is>
          <t>NORRBOTTENS LÄN</t>
        </is>
      </c>
      <c r="E845" t="inlineStr">
        <is>
          <t>PITEÅ</t>
        </is>
      </c>
      <c r="G845" t="n">
        <v>9.800000000000001</v>
      </c>
      <c r="H845" t="n">
        <v>1</v>
      </c>
      <c r="I845" t="n">
        <v>0</v>
      </c>
      <c r="J845" t="n">
        <v>0</v>
      </c>
      <c r="K845" t="n">
        <v>1</v>
      </c>
      <c r="L845" t="n">
        <v>0</v>
      </c>
      <c r="M845" t="n">
        <v>0</v>
      </c>
      <c r="N845" t="n">
        <v>0</v>
      </c>
      <c r="O845" t="n">
        <v>1</v>
      </c>
      <c r="P845" t="n">
        <v>1</v>
      </c>
      <c r="Q845" t="n">
        <v>1</v>
      </c>
      <c r="R845" s="2" t="inlineStr">
        <is>
          <t>Norna</t>
        </is>
      </c>
      <c r="S845">
        <f>HYPERLINK("https://klasma.github.io/Logging_2581/artfynd/A 51371-2023 artfynd.xlsx", "A 51371-2023")</f>
        <v/>
      </c>
      <c r="T845">
        <f>HYPERLINK("https://klasma.github.io/Logging_2581/kartor/A 51371-2023 karta.png", "A 51371-2023")</f>
        <v/>
      </c>
      <c r="V845">
        <f>HYPERLINK("https://klasma.github.io/Logging_2581/klagomål/A 51371-2023 FSC-klagomål.docx", "A 51371-2023")</f>
        <v/>
      </c>
      <c r="W845">
        <f>HYPERLINK("https://klasma.github.io/Logging_2581/klagomålsmail/A 51371-2023 FSC-klagomål mail.docx", "A 51371-2023")</f>
        <v/>
      </c>
      <c r="X845">
        <f>HYPERLINK("https://klasma.github.io/Logging_2581/tillsyn/A 51371-2023 tillsynsbegäran.docx", "A 51371-2023")</f>
        <v/>
      </c>
      <c r="Y845">
        <f>HYPERLINK("https://klasma.github.io/Logging_2581/tillsynsmail/A 51371-2023 tillsynsbegäran mail.docx", "A 51371-2023")</f>
        <v/>
      </c>
    </row>
    <row r="846" ht="15" customHeight="1">
      <c r="A846" t="inlineStr">
        <is>
          <t>A 51580-2023</t>
        </is>
      </c>
      <c r="B846" s="1" t="n">
        <v>45222</v>
      </c>
      <c r="C846" s="1" t="n">
        <v>45758</v>
      </c>
      <c r="D846" t="inlineStr">
        <is>
          <t>NORRBOTTENS LÄN</t>
        </is>
      </c>
      <c r="E846" t="inlineStr">
        <is>
          <t>JOKKMOKK</t>
        </is>
      </c>
      <c r="G846" t="n">
        <v>11.1</v>
      </c>
      <c r="H846" t="n">
        <v>1</v>
      </c>
      <c r="I846" t="n">
        <v>0</v>
      </c>
      <c r="J846" t="n">
        <v>0</v>
      </c>
      <c r="K846" t="n">
        <v>1</v>
      </c>
      <c r="L846" t="n">
        <v>0</v>
      </c>
      <c r="M846" t="n">
        <v>0</v>
      </c>
      <c r="N846" t="n">
        <v>0</v>
      </c>
      <c r="O846" t="n">
        <v>1</v>
      </c>
      <c r="P846" t="n">
        <v>1</v>
      </c>
      <c r="Q846" t="n">
        <v>1</v>
      </c>
      <c r="R846" s="2" t="inlineStr">
        <is>
          <t>Norna</t>
        </is>
      </c>
      <c r="S846">
        <f>HYPERLINK("https://klasma.github.io/Logging_2510/artfynd/A 51580-2023 artfynd.xlsx", "A 51580-2023")</f>
        <v/>
      </c>
      <c r="T846">
        <f>HYPERLINK("https://klasma.github.io/Logging_2510/kartor/A 51580-2023 karta.png", "A 51580-2023")</f>
        <v/>
      </c>
      <c r="V846">
        <f>HYPERLINK("https://klasma.github.io/Logging_2510/klagomål/A 51580-2023 FSC-klagomål.docx", "A 51580-2023")</f>
        <v/>
      </c>
      <c r="W846">
        <f>HYPERLINK("https://klasma.github.io/Logging_2510/klagomålsmail/A 51580-2023 FSC-klagomål mail.docx", "A 51580-2023")</f>
        <v/>
      </c>
      <c r="X846">
        <f>HYPERLINK("https://klasma.github.io/Logging_2510/tillsyn/A 51580-2023 tillsynsbegäran.docx", "A 51580-2023")</f>
        <v/>
      </c>
      <c r="Y846">
        <f>HYPERLINK("https://klasma.github.io/Logging_2510/tillsynsmail/A 51580-2023 tillsynsbegäran mail.docx", "A 51580-2023")</f>
        <v/>
      </c>
    </row>
    <row r="847" ht="15" customHeight="1">
      <c r="A847" t="inlineStr">
        <is>
          <t>A 52268-2023</t>
        </is>
      </c>
      <c r="B847" s="1" t="n">
        <v>45224</v>
      </c>
      <c r="C847" s="1" t="n">
        <v>45758</v>
      </c>
      <c r="D847" t="inlineStr">
        <is>
          <t>NORRBOTTENS LÄN</t>
        </is>
      </c>
      <c r="E847" t="inlineStr">
        <is>
          <t>PITEÅ</t>
        </is>
      </c>
      <c r="G847" t="n">
        <v>4</v>
      </c>
      <c r="H847" t="n">
        <v>1</v>
      </c>
      <c r="I847" t="n">
        <v>0</v>
      </c>
      <c r="J847" t="n">
        <v>0</v>
      </c>
      <c r="K847" t="n">
        <v>0</v>
      </c>
      <c r="L847" t="n">
        <v>0</v>
      </c>
      <c r="M847" t="n">
        <v>0</v>
      </c>
      <c r="N847" t="n">
        <v>0</v>
      </c>
      <c r="O847" t="n">
        <v>0</v>
      </c>
      <c r="P847" t="n">
        <v>0</v>
      </c>
      <c r="Q847" t="n">
        <v>1</v>
      </c>
      <c r="R847" s="2" t="inlineStr">
        <is>
          <t>Revlummer</t>
        </is>
      </c>
      <c r="S847">
        <f>HYPERLINK("https://klasma.github.io/Logging_2581/artfynd/A 52268-2023 artfynd.xlsx", "A 52268-2023")</f>
        <v/>
      </c>
      <c r="T847">
        <f>HYPERLINK("https://klasma.github.io/Logging_2581/kartor/A 52268-2023 karta.png", "A 52268-2023")</f>
        <v/>
      </c>
      <c r="V847">
        <f>HYPERLINK("https://klasma.github.io/Logging_2581/klagomål/A 52268-2023 FSC-klagomål.docx", "A 52268-2023")</f>
        <v/>
      </c>
      <c r="W847">
        <f>HYPERLINK("https://klasma.github.io/Logging_2581/klagomålsmail/A 52268-2023 FSC-klagomål mail.docx", "A 52268-2023")</f>
        <v/>
      </c>
      <c r="X847">
        <f>HYPERLINK("https://klasma.github.io/Logging_2581/tillsyn/A 52268-2023 tillsynsbegäran.docx", "A 52268-2023")</f>
        <v/>
      </c>
      <c r="Y847">
        <f>HYPERLINK("https://klasma.github.io/Logging_2581/tillsynsmail/A 52268-2023 tillsynsbegäran mail.docx", "A 52268-2023")</f>
        <v/>
      </c>
    </row>
    <row r="848" ht="15" customHeight="1">
      <c r="A848" t="inlineStr">
        <is>
          <t>A 52394-2023</t>
        </is>
      </c>
      <c r="B848" s="1" t="n">
        <v>45224</v>
      </c>
      <c r="C848" s="1" t="n">
        <v>45758</v>
      </c>
      <c r="D848" t="inlineStr">
        <is>
          <t>NORRBOTTENS LÄN</t>
        </is>
      </c>
      <c r="E848" t="inlineStr">
        <is>
          <t>BODEN</t>
        </is>
      </c>
      <c r="F848" t="inlineStr">
        <is>
          <t>SCA</t>
        </is>
      </c>
      <c r="G848" t="n">
        <v>6.3</v>
      </c>
      <c r="H848" t="n">
        <v>0</v>
      </c>
      <c r="I848" t="n">
        <v>0</v>
      </c>
      <c r="J848" t="n">
        <v>1</v>
      </c>
      <c r="K848" t="n">
        <v>0</v>
      </c>
      <c r="L848" t="n">
        <v>0</v>
      </c>
      <c r="M848" t="n">
        <v>0</v>
      </c>
      <c r="N848" t="n">
        <v>0</v>
      </c>
      <c r="O848" t="n">
        <v>1</v>
      </c>
      <c r="P848" t="n">
        <v>0</v>
      </c>
      <c r="Q848" t="n">
        <v>1</v>
      </c>
      <c r="R848" s="2" t="inlineStr">
        <is>
          <t>Koralltaggsvamp</t>
        </is>
      </c>
      <c r="S848">
        <f>HYPERLINK("https://klasma.github.io/Logging_2582/artfynd/A 52394-2023 artfynd.xlsx", "A 52394-2023")</f>
        <v/>
      </c>
      <c r="T848">
        <f>HYPERLINK("https://klasma.github.io/Logging_2582/kartor/A 52394-2023 karta.png", "A 52394-2023")</f>
        <v/>
      </c>
      <c r="V848">
        <f>HYPERLINK("https://klasma.github.io/Logging_2582/klagomål/A 52394-2023 FSC-klagomål.docx", "A 52394-2023")</f>
        <v/>
      </c>
      <c r="W848">
        <f>HYPERLINK("https://klasma.github.io/Logging_2582/klagomålsmail/A 52394-2023 FSC-klagomål mail.docx", "A 52394-2023")</f>
        <v/>
      </c>
      <c r="X848">
        <f>HYPERLINK("https://klasma.github.io/Logging_2582/tillsyn/A 52394-2023 tillsynsbegäran.docx", "A 52394-2023")</f>
        <v/>
      </c>
      <c r="Y848">
        <f>HYPERLINK("https://klasma.github.io/Logging_2582/tillsynsmail/A 52394-2023 tillsynsbegäran mail.docx", "A 52394-2023")</f>
        <v/>
      </c>
    </row>
    <row r="849" ht="15" customHeight="1">
      <c r="A849" t="inlineStr">
        <is>
          <t>A 52537-2023</t>
        </is>
      </c>
      <c r="B849" s="1" t="n">
        <v>45225</v>
      </c>
      <c r="C849" s="1" t="n">
        <v>45758</v>
      </c>
      <c r="D849" t="inlineStr">
        <is>
          <t>NORRBOTTENS LÄN</t>
        </is>
      </c>
      <c r="E849" t="inlineStr">
        <is>
          <t>JOKKMOKK</t>
        </is>
      </c>
      <c r="F849" t="inlineStr">
        <is>
          <t>Övriga statliga verk och myndigheter</t>
        </is>
      </c>
      <c r="G849" t="n">
        <v>15.3</v>
      </c>
      <c r="H849" t="n">
        <v>0</v>
      </c>
      <c r="I849" t="n">
        <v>0</v>
      </c>
      <c r="J849" t="n">
        <v>1</v>
      </c>
      <c r="K849" t="n">
        <v>0</v>
      </c>
      <c r="L849" t="n">
        <v>0</v>
      </c>
      <c r="M849" t="n">
        <v>0</v>
      </c>
      <c r="N849" t="n">
        <v>0</v>
      </c>
      <c r="O849" t="n">
        <v>1</v>
      </c>
      <c r="P849" t="n">
        <v>0</v>
      </c>
      <c r="Q849" t="n">
        <v>1</v>
      </c>
      <c r="R849" s="2" t="inlineStr">
        <is>
          <t>Reliktbock</t>
        </is>
      </c>
      <c r="S849">
        <f>HYPERLINK("https://klasma.github.io/Logging_2510/artfynd/A 52537-2023 artfynd.xlsx", "A 52537-2023")</f>
        <v/>
      </c>
      <c r="T849">
        <f>HYPERLINK("https://klasma.github.io/Logging_2510/kartor/A 52537-2023 karta.png", "A 52537-2023")</f>
        <v/>
      </c>
      <c r="V849">
        <f>HYPERLINK("https://klasma.github.io/Logging_2510/klagomål/A 52537-2023 FSC-klagomål.docx", "A 52537-2023")</f>
        <v/>
      </c>
      <c r="W849">
        <f>HYPERLINK("https://klasma.github.io/Logging_2510/klagomålsmail/A 52537-2023 FSC-klagomål mail.docx", "A 52537-2023")</f>
        <v/>
      </c>
      <c r="X849">
        <f>HYPERLINK("https://klasma.github.io/Logging_2510/tillsyn/A 52537-2023 tillsynsbegäran.docx", "A 52537-2023")</f>
        <v/>
      </c>
      <c r="Y849">
        <f>HYPERLINK("https://klasma.github.io/Logging_2510/tillsynsmail/A 52537-2023 tillsynsbegäran mail.docx", "A 52537-2023")</f>
        <v/>
      </c>
    </row>
    <row r="850" ht="15" customHeight="1">
      <c r="A850" t="inlineStr">
        <is>
          <t>A 56190-2023</t>
        </is>
      </c>
      <c r="B850" s="1" t="n">
        <v>45240</v>
      </c>
      <c r="C850" s="1" t="n">
        <v>45758</v>
      </c>
      <c r="D850" t="inlineStr">
        <is>
          <t>NORRBOTTENS LÄN</t>
        </is>
      </c>
      <c r="E850" t="inlineStr">
        <is>
          <t>KALIX</t>
        </is>
      </c>
      <c r="G850" t="n">
        <v>1.5</v>
      </c>
      <c r="H850" t="n">
        <v>0</v>
      </c>
      <c r="I850" t="n">
        <v>0</v>
      </c>
      <c r="J850" t="n">
        <v>1</v>
      </c>
      <c r="K850" t="n">
        <v>0</v>
      </c>
      <c r="L850" t="n">
        <v>0</v>
      </c>
      <c r="M850" t="n">
        <v>0</v>
      </c>
      <c r="N850" t="n">
        <v>0</v>
      </c>
      <c r="O850" t="n">
        <v>1</v>
      </c>
      <c r="P850" t="n">
        <v>0</v>
      </c>
      <c r="Q850" t="n">
        <v>1</v>
      </c>
      <c r="R850" s="2" t="inlineStr">
        <is>
          <t>Garnlav</t>
        </is>
      </c>
      <c r="S850">
        <f>HYPERLINK("https://klasma.github.io/Logging_2514/artfynd/A 56190-2023 artfynd.xlsx", "A 56190-2023")</f>
        <v/>
      </c>
      <c r="T850">
        <f>HYPERLINK("https://klasma.github.io/Logging_2514/kartor/A 56190-2023 karta.png", "A 56190-2023")</f>
        <v/>
      </c>
      <c r="V850">
        <f>HYPERLINK("https://klasma.github.io/Logging_2514/klagomål/A 56190-2023 FSC-klagomål.docx", "A 56190-2023")</f>
        <v/>
      </c>
      <c r="W850">
        <f>HYPERLINK("https://klasma.github.io/Logging_2514/klagomålsmail/A 56190-2023 FSC-klagomål mail.docx", "A 56190-2023")</f>
        <v/>
      </c>
      <c r="X850">
        <f>HYPERLINK("https://klasma.github.io/Logging_2514/tillsyn/A 56190-2023 tillsynsbegäran.docx", "A 56190-2023")</f>
        <v/>
      </c>
      <c r="Y850">
        <f>HYPERLINK("https://klasma.github.io/Logging_2514/tillsynsmail/A 56190-2023 tillsynsbegäran mail.docx", "A 56190-2023")</f>
        <v/>
      </c>
    </row>
    <row r="851" ht="15" customHeight="1">
      <c r="A851" t="inlineStr">
        <is>
          <t>A 56592-2023</t>
        </is>
      </c>
      <c r="B851" s="1" t="n">
        <v>45243</v>
      </c>
      <c r="C851" s="1" t="n">
        <v>45758</v>
      </c>
      <c r="D851" t="inlineStr">
        <is>
          <t>NORRBOTTENS LÄN</t>
        </is>
      </c>
      <c r="E851" t="inlineStr">
        <is>
          <t>PITEÅ</t>
        </is>
      </c>
      <c r="F851" t="inlineStr">
        <is>
          <t>Sveaskog</t>
        </is>
      </c>
      <c r="G851" t="n">
        <v>22.6</v>
      </c>
      <c r="H851" t="n">
        <v>1</v>
      </c>
      <c r="I851" t="n">
        <v>0</v>
      </c>
      <c r="J851" t="n">
        <v>0</v>
      </c>
      <c r="K851" t="n">
        <v>0</v>
      </c>
      <c r="L851" t="n">
        <v>0</v>
      </c>
      <c r="M851" t="n">
        <v>0</v>
      </c>
      <c r="N851" t="n">
        <v>0</v>
      </c>
      <c r="O851" t="n">
        <v>0</v>
      </c>
      <c r="P851" t="n">
        <v>0</v>
      </c>
      <c r="Q851" t="n">
        <v>1</v>
      </c>
      <c r="R851" s="2" t="inlineStr">
        <is>
          <t>Mattlummer</t>
        </is>
      </c>
      <c r="S851">
        <f>HYPERLINK("https://klasma.github.io/Logging_2581/artfynd/A 56592-2023 artfynd.xlsx", "A 56592-2023")</f>
        <v/>
      </c>
      <c r="T851">
        <f>HYPERLINK("https://klasma.github.io/Logging_2581/kartor/A 56592-2023 karta.png", "A 56592-2023")</f>
        <v/>
      </c>
      <c r="V851">
        <f>HYPERLINK("https://klasma.github.io/Logging_2581/klagomål/A 56592-2023 FSC-klagomål.docx", "A 56592-2023")</f>
        <v/>
      </c>
      <c r="W851">
        <f>HYPERLINK("https://klasma.github.io/Logging_2581/klagomålsmail/A 56592-2023 FSC-klagomål mail.docx", "A 56592-2023")</f>
        <v/>
      </c>
      <c r="X851">
        <f>HYPERLINK("https://klasma.github.io/Logging_2581/tillsyn/A 56592-2023 tillsynsbegäran.docx", "A 56592-2023")</f>
        <v/>
      </c>
      <c r="Y851">
        <f>HYPERLINK("https://klasma.github.io/Logging_2581/tillsynsmail/A 56592-2023 tillsynsbegäran mail.docx", "A 56592-2023")</f>
        <v/>
      </c>
    </row>
    <row r="852" ht="15" customHeight="1">
      <c r="A852" t="inlineStr">
        <is>
          <t>A 58068-2023</t>
        </is>
      </c>
      <c r="B852" s="1" t="n">
        <v>45247</v>
      </c>
      <c r="C852" s="1" t="n">
        <v>45758</v>
      </c>
      <c r="D852" t="inlineStr">
        <is>
          <t>NORRBOTTENS LÄN</t>
        </is>
      </c>
      <c r="E852" t="inlineStr">
        <is>
          <t>JOKKMOKK</t>
        </is>
      </c>
      <c r="G852" t="n">
        <v>3.1</v>
      </c>
      <c r="H852" t="n">
        <v>0</v>
      </c>
      <c r="I852" t="n">
        <v>1</v>
      </c>
      <c r="J852" t="n">
        <v>0</v>
      </c>
      <c r="K852" t="n">
        <v>0</v>
      </c>
      <c r="L852" t="n">
        <v>0</v>
      </c>
      <c r="M852" t="n">
        <v>0</v>
      </c>
      <c r="N852" t="n">
        <v>0</v>
      </c>
      <c r="O852" t="n">
        <v>0</v>
      </c>
      <c r="P852" t="n">
        <v>0</v>
      </c>
      <c r="Q852" t="n">
        <v>1</v>
      </c>
      <c r="R852" s="2" t="inlineStr">
        <is>
          <t>Källmossa</t>
        </is>
      </c>
      <c r="S852">
        <f>HYPERLINK("https://klasma.github.io/Logging_2510/artfynd/A 58068-2023 artfynd.xlsx", "A 58068-2023")</f>
        <v/>
      </c>
      <c r="T852">
        <f>HYPERLINK("https://klasma.github.io/Logging_2510/kartor/A 58068-2023 karta.png", "A 58068-2023")</f>
        <v/>
      </c>
      <c r="V852">
        <f>HYPERLINK("https://klasma.github.io/Logging_2510/klagomål/A 58068-2023 FSC-klagomål.docx", "A 58068-2023")</f>
        <v/>
      </c>
      <c r="W852">
        <f>HYPERLINK("https://klasma.github.io/Logging_2510/klagomålsmail/A 58068-2023 FSC-klagomål mail.docx", "A 58068-2023")</f>
        <v/>
      </c>
      <c r="X852">
        <f>HYPERLINK("https://klasma.github.io/Logging_2510/tillsyn/A 58068-2023 tillsynsbegäran.docx", "A 58068-2023")</f>
        <v/>
      </c>
      <c r="Y852">
        <f>HYPERLINK("https://klasma.github.io/Logging_2510/tillsynsmail/A 58068-2023 tillsynsbegäran mail.docx", "A 58068-2023")</f>
        <v/>
      </c>
    </row>
    <row r="853" ht="15" customHeight="1">
      <c r="A853" t="inlineStr">
        <is>
          <t>A 59466-2023</t>
        </is>
      </c>
      <c r="B853" s="1" t="n">
        <v>45254</v>
      </c>
      <c r="C853" s="1" t="n">
        <v>45758</v>
      </c>
      <c r="D853" t="inlineStr">
        <is>
          <t>NORRBOTTENS LÄN</t>
        </is>
      </c>
      <c r="E853" t="inlineStr">
        <is>
          <t>LULEÅ</t>
        </is>
      </c>
      <c r="F853" t="inlineStr">
        <is>
          <t>Sveaskog</t>
        </is>
      </c>
      <c r="G853" t="n">
        <v>0.4</v>
      </c>
      <c r="H853" t="n">
        <v>0</v>
      </c>
      <c r="I853" t="n">
        <v>0</v>
      </c>
      <c r="J853" t="n">
        <v>1</v>
      </c>
      <c r="K853" t="n">
        <v>0</v>
      </c>
      <c r="L853" t="n">
        <v>0</v>
      </c>
      <c r="M853" t="n">
        <v>0</v>
      </c>
      <c r="N853" t="n">
        <v>0</v>
      </c>
      <c r="O853" t="n">
        <v>1</v>
      </c>
      <c r="P853" t="n">
        <v>0</v>
      </c>
      <c r="Q853" t="n">
        <v>1</v>
      </c>
      <c r="R853" s="2" t="inlineStr">
        <is>
          <t>Motaggsvamp</t>
        </is>
      </c>
      <c r="S853">
        <f>HYPERLINK("https://klasma.github.io/Logging_2580/artfynd/A 59466-2023 artfynd.xlsx", "A 59466-2023")</f>
        <v/>
      </c>
      <c r="T853">
        <f>HYPERLINK("https://klasma.github.io/Logging_2580/kartor/A 59466-2023 karta.png", "A 59466-2023")</f>
        <v/>
      </c>
      <c r="V853">
        <f>HYPERLINK("https://klasma.github.io/Logging_2580/klagomål/A 59466-2023 FSC-klagomål.docx", "A 59466-2023")</f>
        <v/>
      </c>
      <c r="W853">
        <f>HYPERLINK("https://klasma.github.io/Logging_2580/klagomålsmail/A 59466-2023 FSC-klagomål mail.docx", "A 59466-2023")</f>
        <v/>
      </c>
      <c r="X853">
        <f>HYPERLINK("https://klasma.github.io/Logging_2580/tillsyn/A 59466-2023 tillsynsbegäran.docx", "A 59466-2023")</f>
        <v/>
      </c>
      <c r="Y853">
        <f>HYPERLINK("https://klasma.github.io/Logging_2580/tillsynsmail/A 59466-2023 tillsynsbegäran mail.docx", "A 59466-2023")</f>
        <v/>
      </c>
    </row>
    <row r="854" ht="15" customHeight="1">
      <c r="A854" t="inlineStr">
        <is>
          <t>A 60069-2023</t>
        </is>
      </c>
      <c r="B854" s="1" t="n">
        <v>45258</v>
      </c>
      <c r="C854" s="1" t="n">
        <v>45758</v>
      </c>
      <c r="D854" t="inlineStr">
        <is>
          <t>NORRBOTTENS LÄN</t>
        </is>
      </c>
      <c r="E854" t="inlineStr">
        <is>
          <t>PAJALA</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HYPERLINK("https://klasma.github.io/Logging_2521/artfynd/A 60069-2023 artfynd.xlsx", "A 60069-2023")</f>
        <v/>
      </c>
      <c r="T854">
        <f>HYPERLINK("https://klasma.github.io/Logging_2521/kartor/A 60069-2023 karta.png", "A 60069-2023")</f>
        <v/>
      </c>
      <c r="V854">
        <f>HYPERLINK("https://klasma.github.io/Logging_2521/klagomål/A 60069-2023 FSC-klagomål.docx", "A 60069-2023")</f>
        <v/>
      </c>
      <c r="W854">
        <f>HYPERLINK("https://klasma.github.io/Logging_2521/klagomålsmail/A 60069-2023 FSC-klagomål mail.docx", "A 60069-2023")</f>
        <v/>
      </c>
      <c r="X854">
        <f>HYPERLINK("https://klasma.github.io/Logging_2521/tillsyn/A 60069-2023 tillsynsbegäran.docx", "A 60069-2023")</f>
        <v/>
      </c>
      <c r="Y854">
        <f>HYPERLINK("https://klasma.github.io/Logging_2521/tillsynsmail/A 60069-2023 tillsynsbegäran mail.docx", "A 60069-2023")</f>
        <v/>
      </c>
    </row>
    <row r="855" ht="15" customHeight="1">
      <c r="A855" t="inlineStr">
        <is>
          <t>A 60970-2023</t>
        </is>
      </c>
      <c r="B855" s="1" t="n">
        <v>45261</v>
      </c>
      <c r="C855" s="1" t="n">
        <v>45758</v>
      </c>
      <c r="D855" t="inlineStr">
        <is>
          <t>NORRBOTTENS LÄN</t>
        </is>
      </c>
      <c r="E855" t="inlineStr">
        <is>
          <t>ÖVERKALIX</t>
        </is>
      </c>
      <c r="G855" t="n">
        <v>2.1</v>
      </c>
      <c r="H855" t="n">
        <v>0</v>
      </c>
      <c r="I855" t="n">
        <v>0</v>
      </c>
      <c r="J855" t="n">
        <v>1</v>
      </c>
      <c r="K855" t="n">
        <v>0</v>
      </c>
      <c r="L855" t="n">
        <v>0</v>
      </c>
      <c r="M855" t="n">
        <v>0</v>
      </c>
      <c r="N855" t="n">
        <v>0</v>
      </c>
      <c r="O855" t="n">
        <v>1</v>
      </c>
      <c r="P855" t="n">
        <v>0</v>
      </c>
      <c r="Q855" t="n">
        <v>1</v>
      </c>
      <c r="R855" s="2" t="inlineStr">
        <is>
          <t>Gammelgransskål</t>
        </is>
      </c>
      <c r="S855">
        <f>HYPERLINK("https://klasma.github.io/Logging_2513/artfynd/A 60970-2023 artfynd.xlsx", "A 60970-2023")</f>
        <v/>
      </c>
      <c r="T855">
        <f>HYPERLINK("https://klasma.github.io/Logging_2513/kartor/A 60970-2023 karta.png", "A 60970-2023")</f>
        <v/>
      </c>
      <c r="V855">
        <f>HYPERLINK("https://klasma.github.io/Logging_2513/klagomål/A 60970-2023 FSC-klagomål.docx", "A 60970-2023")</f>
        <v/>
      </c>
      <c r="W855">
        <f>HYPERLINK("https://klasma.github.io/Logging_2513/klagomålsmail/A 60970-2023 FSC-klagomål mail.docx", "A 60970-2023")</f>
        <v/>
      </c>
      <c r="X855">
        <f>HYPERLINK("https://klasma.github.io/Logging_2513/tillsyn/A 60970-2023 tillsynsbegäran.docx", "A 60970-2023")</f>
        <v/>
      </c>
      <c r="Y855">
        <f>HYPERLINK("https://klasma.github.io/Logging_2513/tillsynsmail/A 60970-2023 tillsynsbegäran mail.docx", "A 60970-2023")</f>
        <v/>
      </c>
    </row>
    <row r="856" ht="15" customHeight="1">
      <c r="A856" t="inlineStr">
        <is>
          <t>A 61645-2023</t>
        </is>
      </c>
      <c r="B856" s="1" t="n">
        <v>45265</v>
      </c>
      <c r="C856" s="1" t="n">
        <v>45758</v>
      </c>
      <c r="D856" t="inlineStr">
        <is>
          <t>NORRBOTTENS LÄN</t>
        </is>
      </c>
      <c r="E856" t="inlineStr">
        <is>
          <t>PITEÅ</t>
        </is>
      </c>
      <c r="G856" t="n">
        <v>6.1</v>
      </c>
      <c r="H856" t="n">
        <v>0</v>
      </c>
      <c r="I856" t="n">
        <v>0</v>
      </c>
      <c r="J856" t="n">
        <v>1</v>
      </c>
      <c r="K856" t="n">
        <v>0</v>
      </c>
      <c r="L856" t="n">
        <v>0</v>
      </c>
      <c r="M856" t="n">
        <v>0</v>
      </c>
      <c r="N856" t="n">
        <v>0</v>
      </c>
      <c r="O856" t="n">
        <v>1</v>
      </c>
      <c r="P856" t="n">
        <v>0</v>
      </c>
      <c r="Q856" t="n">
        <v>1</v>
      </c>
      <c r="R856" s="2" t="inlineStr">
        <is>
          <t>Garnlav</t>
        </is>
      </c>
      <c r="S856">
        <f>HYPERLINK("https://klasma.github.io/Logging_2581/artfynd/A 61645-2023 artfynd.xlsx", "A 61645-2023")</f>
        <v/>
      </c>
      <c r="T856">
        <f>HYPERLINK("https://klasma.github.io/Logging_2581/kartor/A 61645-2023 karta.png", "A 61645-2023")</f>
        <v/>
      </c>
      <c r="V856">
        <f>HYPERLINK("https://klasma.github.io/Logging_2581/klagomål/A 61645-2023 FSC-klagomål.docx", "A 61645-2023")</f>
        <v/>
      </c>
      <c r="W856">
        <f>HYPERLINK("https://klasma.github.io/Logging_2581/klagomålsmail/A 61645-2023 FSC-klagomål mail.docx", "A 61645-2023")</f>
        <v/>
      </c>
      <c r="X856">
        <f>HYPERLINK("https://klasma.github.io/Logging_2581/tillsyn/A 61645-2023 tillsynsbegäran.docx", "A 61645-2023")</f>
        <v/>
      </c>
      <c r="Y856">
        <f>HYPERLINK("https://klasma.github.io/Logging_2581/tillsynsmail/A 61645-2023 tillsynsbegäran mail.docx", "A 61645-2023")</f>
        <v/>
      </c>
    </row>
    <row r="857" ht="15" customHeight="1">
      <c r="A857" t="inlineStr">
        <is>
          <t>A 63879-2023</t>
        </is>
      </c>
      <c r="B857" s="1" t="n">
        <v>45278</v>
      </c>
      <c r="C857" s="1" t="n">
        <v>45758</v>
      </c>
      <c r="D857" t="inlineStr">
        <is>
          <t>NORRBOTTENS LÄN</t>
        </is>
      </c>
      <c r="E857" t="inlineStr">
        <is>
          <t>LULEÅ</t>
        </is>
      </c>
      <c r="G857" t="n">
        <v>4</v>
      </c>
      <c r="H857" t="n">
        <v>1</v>
      </c>
      <c r="I857" t="n">
        <v>0</v>
      </c>
      <c r="J857" t="n">
        <v>0</v>
      </c>
      <c r="K857" t="n">
        <v>0</v>
      </c>
      <c r="L857" t="n">
        <v>0</v>
      </c>
      <c r="M857" t="n">
        <v>0</v>
      </c>
      <c r="N857" t="n">
        <v>0</v>
      </c>
      <c r="O857" t="n">
        <v>0</v>
      </c>
      <c r="P857" t="n">
        <v>0</v>
      </c>
      <c r="Q857" t="n">
        <v>1</v>
      </c>
      <c r="R857" s="2" t="inlineStr">
        <is>
          <t>Nattviol</t>
        </is>
      </c>
      <c r="S857">
        <f>HYPERLINK("https://klasma.github.io/Logging_2580/artfynd/A 63879-2023 artfynd.xlsx", "A 63879-2023")</f>
        <v/>
      </c>
      <c r="T857">
        <f>HYPERLINK("https://klasma.github.io/Logging_2580/kartor/A 63879-2023 karta.png", "A 63879-2023")</f>
        <v/>
      </c>
      <c r="V857">
        <f>HYPERLINK("https://klasma.github.io/Logging_2580/klagomål/A 63879-2023 FSC-klagomål.docx", "A 63879-2023")</f>
        <v/>
      </c>
      <c r="W857">
        <f>HYPERLINK("https://klasma.github.io/Logging_2580/klagomålsmail/A 63879-2023 FSC-klagomål mail.docx", "A 63879-2023")</f>
        <v/>
      </c>
      <c r="X857">
        <f>HYPERLINK("https://klasma.github.io/Logging_2580/tillsyn/A 63879-2023 tillsynsbegäran.docx", "A 63879-2023")</f>
        <v/>
      </c>
      <c r="Y857">
        <f>HYPERLINK("https://klasma.github.io/Logging_2580/tillsynsmail/A 63879-2023 tillsynsbegäran mail.docx", "A 63879-2023")</f>
        <v/>
      </c>
    </row>
    <row r="858" ht="15" customHeight="1">
      <c r="A858" t="inlineStr">
        <is>
          <t>A 65183-2023</t>
        </is>
      </c>
      <c r="B858" s="1" t="n">
        <v>45288</v>
      </c>
      <c r="C858" s="1" t="n">
        <v>45758</v>
      </c>
      <c r="D858" t="inlineStr">
        <is>
          <t>NORRBOTTENS LÄN</t>
        </is>
      </c>
      <c r="E858" t="inlineStr">
        <is>
          <t>ÖVERTORNEÅ</t>
        </is>
      </c>
      <c r="G858" t="n">
        <v>8.300000000000001</v>
      </c>
      <c r="H858" t="n">
        <v>0</v>
      </c>
      <c r="I858" t="n">
        <v>0</v>
      </c>
      <c r="J858" t="n">
        <v>1</v>
      </c>
      <c r="K858" t="n">
        <v>0</v>
      </c>
      <c r="L858" t="n">
        <v>0</v>
      </c>
      <c r="M858" t="n">
        <v>0</v>
      </c>
      <c r="N858" t="n">
        <v>0</v>
      </c>
      <c r="O858" t="n">
        <v>1</v>
      </c>
      <c r="P858" t="n">
        <v>0</v>
      </c>
      <c r="Q858" t="n">
        <v>1</v>
      </c>
      <c r="R858" s="2" t="inlineStr">
        <is>
          <t>Garnlav</t>
        </is>
      </c>
      <c r="S858">
        <f>HYPERLINK("https://klasma.github.io/Logging_2518/artfynd/A 65183-2023 artfynd.xlsx", "A 65183-2023")</f>
        <v/>
      </c>
      <c r="T858">
        <f>HYPERLINK("https://klasma.github.io/Logging_2518/kartor/A 65183-2023 karta.png", "A 65183-2023")</f>
        <v/>
      </c>
      <c r="V858">
        <f>HYPERLINK("https://klasma.github.io/Logging_2518/klagomål/A 65183-2023 FSC-klagomål.docx", "A 65183-2023")</f>
        <v/>
      </c>
      <c r="W858">
        <f>HYPERLINK("https://klasma.github.io/Logging_2518/klagomålsmail/A 65183-2023 FSC-klagomål mail.docx", "A 65183-2023")</f>
        <v/>
      </c>
      <c r="X858">
        <f>HYPERLINK("https://klasma.github.io/Logging_2518/tillsyn/A 65183-2023 tillsynsbegäran.docx", "A 65183-2023")</f>
        <v/>
      </c>
      <c r="Y858">
        <f>HYPERLINK("https://klasma.github.io/Logging_2518/tillsynsmail/A 65183-2023 tillsynsbegäran mail.docx", "A 65183-2023")</f>
        <v/>
      </c>
    </row>
    <row r="859" ht="15" customHeight="1">
      <c r="A859" t="inlineStr">
        <is>
          <t>A 856-2024</t>
        </is>
      </c>
      <c r="B859" s="1" t="n">
        <v>45300</v>
      </c>
      <c r="C859" s="1" t="n">
        <v>45758</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856-2024 artfynd.xlsx", "A 856-2024")</f>
        <v/>
      </c>
      <c r="T859">
        <f>HYPERLINK("https://klasma.github.io/Logging_2518/kartor/A 856-2024 karta.png", "A 856-2024")</f>
        <v/>
      </c>
      <c r="V859">
        <f>HYPERLINK("https://klasma.github.io/Logging_2518/klagomål/A 856-2024 FSC-klagomål.docx", "A 856-2024")</f>
        <v/>
      </c>
      <c r="W859">
        <f>HYPERLINK("https://klasma.github.io/Logging_2518/klagomålsmail/A 856-2024 FSC-klagomål mail.docx", "A 856-2024")</f>
        <v/>
      </c>
      <c r="X859">
        <f>HYPERLINK("https://klasma.github.io/Logging_2518/tillsyn/A 856-2024 tillsynsbegäran.docx", "A 856-2024")</f>
        <v/>
      </c>
      <c r="Y859">
        <f>HYPERLINK("https://klasma.github.io/Logging_2518/tillsynsmail/A 856-2024 tillsynsbegäran mail.docx", "A 856-2024")</f>
        <v/>
      </c>
    </row>
    <row r="860" ht="15" customHeight="1">
      <c r="A860" t="inlineStr">
        <is>
          <t>A 1625-2024</t>
        </is>
      </c>
      <c r="B860" s="1" t="n">
        <v>45306</v>
      </c>
      <c r="C860" s="1" t="n">
        <v>45758</v>
      </c>
      <c r="D860" t="inlineStr">
        <is>
          <t>NORRBOTTENS LÄN</t>
        </is>
      </c>
      <c r="E860" t="inlineStr">
        <is>
          <t>GÄLLIVARE</t>
        </is>
      </c>
      <c r="F860" t="inlineStr">
        <is>
          <t>Sveaskog</t>
        </is>
      </c>
      <c r="G860" t="n">
        <v>6.6</v>
      </c>
      <c r="H860" t="n">
        <v>0</v>
      </c>
      <c r="I860" t="n">
        <v>0</v>
      </c>
      <c r="J860" t="n">
        <v>1</v>
      </c>
      <c r="K860" t="n">
        <v>0</v>
      </c>
      <c r="L860" t="n">
        <v>0</v>
      </c>
      <c r="M860" t="n">
        <v>0</v>
      </c>
      <c r="N860" t="n">
        <v>0</v>
      </c>
      <c r="O860" t="n">
        <v>1</v>
      </c>
      <c r="P860" t="n">
        <v>0</v>
      </c>
      <c r="Q860" t="n">
        <v>1</v>
      </c>
      <c r="R860" s="2" t="inlineStr">
        <is>
          <t>Orange taggsvamp</t>
        </is>
      </c>
      <c r="S860">
        <f>HYPERLINK("https://klasma.github.io/Logging_2523/artfynd/A 1625-2024 artfynd.xlsx", "A 1625-2024")</f>
        <v/>
      </c>
      <c r="T860">
        <f>HYPERLINK("https://klasma.github.io/Logging_2523/kartor/A 1625-2024 karta.png", "A 1625-2024")</f>
        <v/>
      </c>
      <c r="V860">
        <f>HYPERLINK("https://klasma.github.io/Logging_2523/klagomål/A 1625-2024 FSC-klagomål.docx", "A 1625-2024")</f>
        <v/>
      </c>
      <c r="W860">
        <f>HYPERLINK("https://klasma.github.io/Logging_2523/klagomålsmail/A 1625-2024 FSC-klagomål mail.docx", "A 1625-2024")</f>
        <v/>
      </c>
      <c r="X860">
        <f>HYPERLINK("https://klasma.github.io/Logging_2523/tillsyn/A 1625-2024 tillsynsbegäran.docx", "A 1625-2024")</f>
        <v/>
      </c>
      <c r="Y860">
        <f>HYPERLINK("https://klasma.github.io/Logging_2523/tillsynsmail/A 1625-2024 tillsynsbegäran mail.docx", "A 1625-2024")</f>
        <v/>
      </c>
    </row>
    <row r="861" ht="15" customHeight="1">
      <c r="A861" t="inlineStr">
        <is>
          <t>A 2568-2024</t>
        </is>
      </c>
      <c r="B861" s="1" t="n">
        <v>45313</v>
      </c>
      <c r="C861" s="1" t="n">
        <v>45758</v>
      </c>
      <c r="D861" t="inlineStr">
        <is>
          <t>NORRBOTTENS LÄN</t>
        </is>
      </c>
      <c r="E861" t="inlineStr">
        <is>
          <t>BODEN</t>
        </is>
      </c>
      <c r="G861" t="n">
        <v>1.6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2568-2024 artfynd.xlsx", "A 2568-2024")</f>
        <v/>
      </c>
      <c r="T861">
        <f>HYPERLINK("https://klasma.github.io/Logging_2582/kartor/A 2568-2024 karta.png", "A 2568-2024")</f>
        <v/>
      </c>
      <c r="V861">
        <f>HYPERLINK("https://klasma.github.io/Logging_2582/klagomål/A 2568-2024 FSC-klagomål.docx", "A 2568-2024")</f>
        <v/>
      </c>
      <c r="W861">
        <f>HYPERLINK("https://klasma.github.io/Logging_2582/klagomålsmail/A 2568-2024 FSC-klagomål mail.docx", "A 2568-2024")</f>
        <v/>
      </c>
      <c r="X861">
        <f>HYPERLINK("https://klasma.github.io/Logging_2582/tillsyn/A 2568-2024 tillsynsbegäran.docx", "A 2568-2024")</f>
        <v/>
      </c>
      <c r="Y861">
        <f>HYPERLINK("https://klasma.github.io/Logging_2582/tillsynsmail/A 2568-2024 tillsynsbegäran mail.docx", "A 2568-2024")</f>
        <v/>
      </c>
    </row>
    <row r="862" ht="15" customHeight="1">
      <c r="A862" t="inlineStr">
        <is>
          <t>A 4126-2024</t>
        </is>
      </c>
      <c r="B862" s="1" t="n">
        <v>45323</v>
      </c>
      <c r="C862" s="1" t="n">
        <v>45758</v>
      </c>
      <c r="D862" t="inlineStr">
        <is>
          <t>NORRBOTTENS LÄN</t>
        </is>
      </c>
      <c r="E862" t="inlineStr">
        <is>
          <t>PITEÅ</t>
        </is>
      </c>
      <c r="F862" t="inlineStr">
        <is>
          <t>Sveaskog</t>
        </is>
      </c>
      <c r="G862" t="n">
        <v>7.8</v>
      </c>
      <c r="H862" t="n">
        <v>0</v>
      </c>
      <c r="I862" t="n">
        <v>0</v>
      </c>
      <c r="J862" t="n">
        <v>1</v>
      </c>
      <c r="K862" t="n">
        <v>0</v>
      </c>
      <c r="L862" t="n">
        <v>0</v>
      </c>
      <c r="M862" t="n">
        <v>0</v>
      </c>
      <c r="N862" t="n">
        <v>0</v>
      </c>
      <c r="O862" t="n">
        <v>1</v>
      </c>
      <c r="P862" t="n">
        <v>0</v>
      </c>
      <c r="Q862" t="n">
        <v>1</v>
      </c>
      <c r="R862" s="2" t="inlineStr">
        <is>
          <t>Tallticka</t>
        </is>
      </c>
      <c r="S862">
        <f>HYPERLINK("https://klasma.github.io/Logging_2581/artfynd/A 4126-2024 artfynd.xlsx", "A 4126-2024")</f>
        <v/>
      </c>
      <c r="T862">
        <f>HYPERLINK("https://klasma.github.io/Logging_2581/kartor/A 4126-2024 karta.png", "A 4126-2024")</f>
        <v/>
      </c>
      <c r="V862">
        <f>HYPERLINK("https://klasma.github.io/Logging_2581/klagomål/A 4126-2024 FSC-klagomål.docx", "A 4126-2024")</f>
        <v/>
      </c>
      <c r="W862">
        <f>HYPERLINK("https://klasma.github.io/Logging_2581/klagomålsmail/A 4126-2024 FSC-klagomål mail.docx", "A 4126-2024")</f>
        <v/>
      </c>
      <c r="X862">
        <f>HYPERLINK("https://klasma.github.io/Logging_2581/tillsyn/A 4126-2024 tillsynsbegäran.docx", "A 4126-2024")</f>
        <v/>
      </c>
      <c r="Y862">
        <f>HYPERLINK("https://klasma.github.io/Logging_2581/tillsynsmail/A 4126-2024 tillsynsbegäran mail.docx", "A 4126-2024")</f>
        <v/>
      </c>
    </row>
    <row r="863" ht="15" customHeight="1">
      <c r="A863" t="inlineStr">
        <is>
          <t>A 4141-2024</t>
        </is>
      </c>
      <c r="B863" s="1" t="n">
        <v>45323</v>
      </c>
      <c r="C863" s="1" t="n">
        <v>45758</v>
      </c>
      <c r="D863" t="inlineStr">
        <is>
          <t>NORRBOTTENS LÄN</t>
        </is>
      </c>
      <c r="E863" t="inlineStr">
        <is>
          <t>LULEÅ</t>
        </is>
      </c>
      <c r="G863" t="n">
        <v>24</v>
      </c>
      <c r="H863" t="n">
        <v>1</v>
      </c>
      <c r="I863" t="n">
        <v>0</v>
      </c>
      <c r="J863" t="n">
        <v>1</v>
      </c>
      <c r="K863" t="n">
        <v>0</v>
      </c>
      <c r="L863" t="n">
        <v>0</v>
      </c>
      <c r="M863" t="n">
        <v>0</v>
      </c>
      <c r="N863" t="n">
        <v>0</v>
      </c>
      <c r="O863" t="n">
        <v>1</v>
      </c>
      <c r="P863" t="n">
        <v>0</v>
      </c>
      <c r="Q863" t="n">
        <v>1</v>
      </c>
      <c r="R863" s="2" t="inlineStr">
        <is>
          <t>Havsörn</t>
        </is>
      </c>
      <c r="S863">
        <f>HYPERLINK("https://klasma.github.io/Logging_2580/artfynd/A 4141-2024 artfynd.xlsx", "A 4141-2024")</f>
        <v/>
      </c>
      <c r="T863">
        <f>HYPERLINK("https://klasma.github.io/Logging_2580/kartor/A 4141-2024 karta.png", "A 4141-2024")</f>
        <v/>
      </c>
      <c r="V863">
        <f>HYPERLINK("https://klasma.github.io/Logging_2580/klagomål/A 4141-2024 FSC-klagomål.docx", "A 4141-2024")</f>
        <v/>
      </c>
      <c r="W863">
        <f>HYPERLINK("https://klasma.github.io/Logging_2580/klagomålsmail/A 4141-2024 FSC-klagomål mail.docx", "A 4141-2024")</f>
        <v/>
      </c>
      <c r="X863">
        <f>HYPERLINK("https://klasma.github.io/Logging_2580/tillsyn/A 4141-2024 tillsynsbegäran.docx", "A 4141-2024")</f>
        <v/>
      </c>
      <c r="Y863">
        <f>HYPERLINK("https://klasma.github.io/Logging_2580/tillsynsmail/A 4141-2024 tillsynsbegäran mail.docx", "A 4141-2024")</f>
        <v/>
      </c>
      <c r="Z863">
        <f>HYPERLINK("https://klasma.github.io/Logging_2580/fåglar/A 4141-2024 prioriterade fågelarter.docx", "A 4141-2024")</f>
        <v/>
      </c>
    </row>
    <row r="864" ht="15" customHeight="1">
      <c r="A864" t="inlineStr">
        <is>
          <t>A 4692-2024</t>
        </is>
      </c>
      <c r="B864" s="1" t="n">
        <v>45328</v>
      </c>
      <c r="C864" s="1" t="n">
        <v>45758</v>
      </c>
      <c r="D864" t="inlineStr">
        <is>
          <t>NORRBOTTENS LÄN</t>
        </is>
      </c>
      <c r="E864" t="inlineStr">
        <is>
          <t>LULEÅ</t>
        </is>
      </c>
      <c r="G864" t="n">
        <v>4</v>
      </c>
      <c r="H864" t="n">
        <v>1</v>
      </c>
      <c r="I864" t="n">
        <v>0</v>
      </c>
      <c r="J864" t="n">
        <v>0</v>
      </c>
      <c r="K864" t="n">
        <v>0</v>
      </c>
      <c r="L864" t="n">
        <v>0</v>
      </c>
      <c r="M864" t="n">
        <v>0</v>
      </c>
      <c r="N864" t="n">
        <v>0</v>
      </c>
      <c r="O864" t="n">
        <v>0</v>
      </c>
      <c r="P864" t="n">
        <v>0</v>
      </c>
      <c r="Q864" t="n">
        <v>1</v>
      </c>
      <c r="R864" s="2" t="inlineStr">
        <is>
          <t>Fläcknycklar</t>
        </is>
      </c>
      <c r="S864">
        <f>HYPERLINK("https://klasma.github.io/Logging_2580/artfynd/A 4692-2024 artfynd.xlsx", "A 4692-2024")</f>
        <v/>
      </c>
      <c r="T864">
        <f>HYPERLINK("https://klasma.github.io/Logging_2580/kartor/A 4692-2024 karta.png", "A 4692-2024")</f>
        <v/>
      </c>
      <c r="V864">
        <f>HYPERLINK("https://klasma.github.io/Logging_2580/klagomål/A 4692-2024 FSC-klagomål.docx", "A 4692-2024")</f>
        <v/>
      </c>
      <c r="W864">
        <f>HYPERLINK("https://klasma.github.io/Logging_2580/klagomålsmail/A 4692-2024 FSC-klagomål mail.docx", "A 4692-2024")</f>
        <v/>
      </c>
      <c r="X864">
        <f>HYPERLINK("https://klasma.github.io/Logging_2580/tillsyn/A 4692-2024 tillsynsbegäran.docx", "A 4692-2024")</f>
        <v/>
      </c>
      <c r="Y864">
        <f>HYPERLINK("https://klasma.github.io/Logging_2580/tillsynsmail/A 4692-2024 tillsynsbegäran mail.docx", "A 4692-2024")</f>
        <v/>
      </c>
    </row>
    <row r="865" ht="15" customHeight="1">
      <c r="A865" t="inlineStr">
        <is>
          <t>A 6275-2024</t>
        </is>
      </c>
      <c r="B865" s="1" t="n">
        <v>45337</v>
      </c>
      <c r="C865" s="1" t="n">
        <v>45758</v>
      </c>
      <c r="D865" t="inlineStr">
        <is>
          <t>NORRBOTTENS LÄN</t>
        </is>
      </c>
      <c r="E865" t="inlineStr">
        <is>
          <t>ÄLVSBYN</t>
        </is>
      </c>
      <c r="F865" t="inlineStr">
        <is>
          <t>SCA</t>
        </is>
      </c>
      <c r="G865" t="n">
        <v>2.4</v>
      </c>
      <c r="H865" t="n">
        <v>0</v>
      </c>
      <c r="I865" t="n">
        <v>0</v>
      </c>
      <c r="J865" t="n">
        <v>1</v>
      </c>
      <c r="K865" t="n">
        <v>0</v>
      </c>
      <c r="L865" t="n">
        <v>0</v>
      </c>
      <c r="M865" t="n">
        <v>0</v>
      </c>
      <c r="N865" t="n">
        <v>0</v>
      </c>
      <c r="O865" t="n">
        <v>1</v>
      </c>
      <c r="P865" t="n">
        <v>0</v>
      </c>
      <c r="Q865" t="n">
        <v>1</v>
      </c>
      <c r="R865" s="2" t="inlineStr">
        <is>
          <t>Granticka</t>
        </is>
      </c>
      <c r="S865">
        <f>HYPERLINK("https://klasma.github.io/Logging_2560/artfynd/A 6275-2024 artfynd.xlsx", "A 6275-2024")</f>
        <v/>
      </c>
      <c r="T865">
        <f>HYPERLINK("https://klasma.github.io/Logging_2560/kartor/A 6275-2024 karta.png", "A 6275-2024")</f>
        <v/>
      </c>
      <c r="V865">
        <f>HYPERLINK("https://klasma.github.io/Logging_2560/klagomål/A 6275-2024 FSC-klagomål.docx", "A 6275-2024")</f>
        <v/>
      </c>
      <c r="W865">
        <f>HYPERLINK("https://klasma.github.io/Logging_2560/klagomålsmail/A 6275-2024 FSC-klagomål mail.docx", "A 6275-2024")</f>
        <v/>
      </c>
      <c r="X865">
        <f>HYPERLINK("https://klasma.github.io/Logging_2560/tillsyn/A 6275-2024 tillsynsbegäran.docx", "A 6275-2024")</f>
        <v/>
      </c>
      <c r="Y865">
        <f>HYPERLINK("https://klasma.github.io/Logging_2560/tillsynsmail/A 6275-2024 tillsynsbegäran mail.docx", "A 6275-2024")</f>
        <v/>
      </c>
    </row>
    <row r="866" ht="15" customHeight="1">
      <c r="A866" t="inlineStr">
        <is>
          <t>A 7558-2024</t>
        </is>
      </c>
      <c r="B866" s="1" t="n">
        <v>45348</v>
      </c>
      <c r="C866" s="1" t="n">
        <v>45758</v>
      </c>
      <c r="D866" t="inlineStr">
        <is>
          <t>NORRBOTTENS LÄN</t>
        </is>
      </c>
      <c r="E866" t="inlineStr">
        <is>
          <t>PITEÅ</t>
        </is>
      </c>
      <c r="F866" t="inlineStr">
        <is>
          <t>Sveaskog</t>
        </is>
      </c>
      <c r="G866" t="n">
        <v>14.9</v>
      </c>
      <c r="H866" t="n">
        <v>1</v>
      </c>
      <c r="I866" t="n">
        <v>1</v>
      </c>
      <c r="J866" t="n">
        <v>0</v>
      </c>
      <c r="K866" t="n">
        <v>0</v>
      </c>
      <c r="L866" t="n">
        <v>0</v>
      </c>
      <c r="M866" t="n">
        <v>0</v>
      </c>
      <c r="N866" t="n">
        <v>0</v>
      </c>
      <c r="O866" t="n">
        <v>0</v>
      </c>
      <c r="P866" t="n">
        <v>0</v>
      </c>
      <c r="Q866" t="n">
        <v>1</v>
      </c>
      <c r="R866" s="2" t="inlineStr">
        <is>
          <t>Plattlummer</t>
        </is>
      </c>
      <c r="S866">
        <f>HYPERLINK("https://klasma.github.io/Logging_2581/artfynd/A 7558-2024 artfynd.xlsx", "A 7558-2024")</f>
        <v/>
      </c>
      <c r="T866">
        <f>HYPERLINK("https://klasma.github.io/Logging_2581/kartor/A 7558-2024 karta.png", "A 7558-2024")</f>
        <v/>
      </c>
      <c r="V866">
        <f>HYPERLINK("https://klasma.github.io/Logging_2581/klagomål/A 7558-2024 FSC-klagomål.docx", "A 7558-2024")</f>
        <v/>
      </c>
      <c r="W866">
        <f>HYPERLINK("https://klasma.github.io/Logging_2581/klagomålsmail/A 7558-2024 FSC-klagomål mail.docx", "A 7558-2024")</f>
        <v/>
      </c>
      <c r="X866">
        <f>HYPERLINK("https://klasma.github.io/Logging_2581/tillsyn/A 7558-2024 tillsynsbegäran.docx", "A 7558-2024")</f>
        <v/>
      </c>
      <c r="Y866">
        <f>HYPERLINK("https://klasma.github.io/Logging_2581/tillsynsmail/A 7558-2024 tillsynsbegäran mail.docx", "A 7558-2024")</f>
        <v/>
      </c>
    </row>
    <row r="867" ht="15" customHeight="1">
      <c r="A867" t="inlineStr">
        <is>
          <t>A 8985-2024</t>
        </is>
      </c>
      <c r="B867" s="1" t="n">
        <v>45356</v>
      </c>
      <c r="C867" s="1" t="n">
        <v>45758</v>
      </c>
      <c r="D867" t="inlineStr">
        <is>
          <t>NORRBOTTENS LÄN</t>
        </is>
      </c>
      <c r="E867" t="inlineStr">
        <is>
          <t>PAJALA</t>
        </is>
      </c>
      <c r="G867" t="n">
        <v>16.2</v>
      </c>
      <c r="H867" t="n">
        <v>1</v>
      </c>
      <c r="I867" t="n">
        <v>0</v>
      </c>
      <c r="J867" t="n">
        <v>0</v>
      </c>
      <c r="K867" t="n">
        <v>0</v>
      </c>
      <c r="L867" t="n">
        <v>0</v>
      </c>
      <c r="M867" t="n">
        <v>0</v>
      </c>
      <c r="N867" t="n">
        <v>0</v>
      </c>
      <c r="O867" t="n">
        <v>0</v>
      </c>
      <c r="P867" t="n">
        <v>0</v>
      </c>
      <c r="Q867" t="n">
        <v>1</v>
      </c>
      <c r="R867" s="2" t="inlineStr">
        <is>
          <t>Fläcknycklar</t>
        </is>
      </c>
      <c r="S867">
        <f>HYPERLINK("https://klasma.github.io/Logging_2521/artfynd/A 8985-2024 artfynd.xlsx", "A 8985-2024")</f>
        <v/>
      </c>
      <c r="T867">
        <f>HYPERLINK("https://klasma.github.io/Logging_2521/kartor/A 8985-2024 karta.png", "A 8985-2024")</f>
        <v/>
      </c>
      <c r="V867">
        <f>HYPERLINK("https://klasma.github.io/Logging_2521/klagomål/A 8985-2024 FSC-klagomål.docx", "A 8985-2024")</f>
        <v/>
      </c>
      <c r="W867">
        <f>HYPERLINK("https://klasma.github.io/Logging_2521/klagomålsmail/A 8985-2024 FSC-klagomål mail.docx", "A 8985-2024")</f>
        <v/>
      </c>
      <c r="X867">
        <f>HYPERLINK("https://klasma.github.io/Logging_2521/tillsyn/A 8985-2024 tillsynsbegäran.docx", "A 8985-2024")</f>
        <v/>
      </c>
      <c r="Y867">
        <f>HYPERLINK("https://klasma.github.io/Logging_2521/tillsynsmail/A 8985-2024 tillsynsbegäran mail.docx", "A 8985-2024")</f>
        <v/>
      </c>
    </row>
    <row r="868" ht="15" customHeight="1">
      <c r="A868" t="inlineStr">
        <is>
          <t>A 9007-2024</t>
        </is>
      </c>
      <c r="B868" s="1" t="n">
        <v>45356</v>
      </c>
      <c r="C868" s="1" t="n">
        <v>45758</v>
      </c>
      <c r="D868" t="inlineStr">
        <is>
          <t>NORRBOTTENS LÄN</t>
        </is>
      </c>
      <c r="E868" t="inlineStr">
        <is>
          <t>PITEÅ</t>
        </is>
      </c>
      <c r="G868" t="n">
        <v>1.6</v>
      </c>
      <c r="H868" t="n">
        <v>1</v>
      </c>
      <c r="I868" t="n">
        <v>0</v>
      </c>
      <c r="J868" t="n">
        <v>0</v>
      </c>
      <c r="K868" t="n">
        <v>1</v>
      </c>
      <c r="L868" t="n">
        <v>0</v>
      </c>
      <c r="M868" t="n">
        <v>0</v>
      </c>
      <c r="N868" t="n">
        <v>0</v>
      </c>
      <c r="O868" t="n">
        <v>1</v>
      </c>
      <c r="P868" t="n">
        <v>1</v>
      </c>
      <c r="Q868" t="n">
        <v>1</v>
      </c>
      <c r="R868" s="2" t="inlineStr">
        <is>
          <t>Norna</t>
        </is>
      </c>
      <c r="S868">
        <f>HYPERLINK("https://klasma.github.io/Logging_2581/artfynd/A 9007-2024 artfynd.xlsx", "A 9007-2024")</f>
        <v/>
      </c>
      <c r="T868">
        <f>HYPERLINK("https://klasma.github.io/Logging_2581/kartor/A 9007-2024 karta.png", "A 9007-2024")</f>
        <v/>
      </c>
      <c r="V868">
        <f>HYPERLINK("https://klasma.github.io/Logging_2581/klagomål/A 9007-2024 FSC-klagomål.docx", "A 9007-2024")</f>
        <v/>
      </c>
      <c r="W868">
        <f>HYPERLINK("https://klasma.github.io/Logging_2581/klagomålsmail/A 9007-2024 FSC-klagomål mail.docx", "A 9007-2024")</f>
        <v/>
      </c>
      <c r="X868">
        <f>HYPERLINK("https://klasma.github.io/Logging_2581/tillsyn/A 9007-2024 tillsynsbegäran.docx", "A 9007-2024")</f>
        <v/>
      </c>
      <c r="Y868">
        <f>HYPERLINK("https://klasma.github.io/Logging_2581/tillsynsmail/A 9007-2024 tillsynsbegäran mail.docx", "A 9007-2024")</f>
        <v/>
      </c>
    </row>
    <row r="869" ht="15" customHeight="1">
      <c r="A869" t="inlineStr">
        <is>
          <t>A 9757-2024</t>
        </is>
      </c>
      <c r="B869" s="1" t="n">
        <v>45362</v>
      </c>
      <c r="C869" s="1" t="n">
        <v>45758</v>
      </c>
      <c r="D869" t="inlineStr">
        <is>
          <t>NORRBOTTENS LÄN</t>
        </is>
      </c>
      <c r="E869" t="inlineStr">
        <is>
          <t>PAJALA</t>
        </is>
      </c>
      <c r="F869" t="inlineStr">
        <is>
          <t>Allmännings- och besparingsskogar</t>
        </is>
      </c>
      <c r="G869" t="n">
        <v>38.1</v>
      </c>
      <c r="H869" t="n">
        <v>1</v>
      </c>
      <c r="I869" t="n">
        <v>0</v>
      </c>
      <c r="J869" t="n">
        <v>0</v>
      </c>
      <c r="K869" t="n">
        <v>0</v>
      </c>
      <c r="L869" t="n">
        <v>0</v>
      </c>
      <c r="M869" t="n">
        <v>0</v>
      </c>
      <c r="N869" t="n">
        <v>0</v>
      </c>
      <c r="O869" t="n">
        <v>0</v>
      </c>
      <c r="P869" t="n">
        <v>0</v>
      </c>
      <c r="Q869" t="n">
        <v>1</v>
      </c>
      <c r="R869" s="2" t="inlineStr">
        <is>
          <t>Fläcknycklar</t>
        </is>
      </c>
      <c r="S869">
        <f>HYPERLINK("https://klasma.github.io/Logging_2521/artfynd/A 9757-2024 artfynd.xlsx", "A 9757-2024")</f>
        <v/>
      </c>
      <c r="T869">
        <f>HYPERLINK("https://klasma.github.io/Logging_2521/kartor/A 9757-2024 karta.png", "A 9757-2024")</f>
        <v/>
      </c>
      <c r="V869">
        <f>HYPERLINK("https://klasma.github.io/Logging_2521/klagomål/A 9757-2024 FSC-klagomål.docx", "A 9757-2024")</f>
        <v/>
      </c>
      <c r="W869">
        <f>HYPERLINK("https://klasma.github.io/Logging_2521/klagomålsmail/A 9757-2024 FSC-klagomål mail.docx", "A 9757-2024")</f>
        <v/>
      </c>
      <c r="X869">
        <f>HYPERLINK("https://klasma.github.io/Logging_2521/tillsyn/A 9757-2024 tillsynsbegäran.docx", "A 9757-2024")</f>
        <v/>
      </c>
      <c r="Y869">
        <f>HYPERLINK("https://klasma.github.io/Logging_2521/tillsynsmail/A 9757-2024 tillsynsbegäran mail.docx", "A 9757-2024")</f>
        <v/>
      </c>
    </row>
    <row r="870" ht="15" customHeight="1">
      <c r="A870" t="inlineStr">
        <is>
          <t>A 11555-2024</t>
        </is>
      </c>
      <c r="B870" s="1" t="n">
        <v>45373</v>
      </c>
      <c r="C870" s="1" t="n">
        <v>45758</v>
      </c>
      <c r="D870" t="inlineStr">
        <is>
          <t>NORRBOTTENS LÄN</t>
        </is>
      </c>
      <c r="E870" t="inlineStr">
        <is>
          <t>BODEN</t>
        </is>
      </c>
      <c r="F870" t="inlineStr">
        <is>
          <t>SCA</t>
        </is>
      </c>
      <c r="G870" t="n">
        <v>1.6</v>
      </c>
      <c r="H870" t="n">
        <v>1</v>
      </c>
      <c r="I870" t="n">
        <v>0</v>
      </c>
      <c r="J870" t="n">
        <v>0</v>
      </c>
      <c r="K870" t="n">
        <v>0</v>
      </c>
      <c r="L870" t="n">
        <v>0</v>
      </c>
      <c r="M870" t="n">
        <v>0</v>
      </c>
      <c r="N870" t="n">
        <v>0</v>
      </c>
      <c r="O870" t="n">
        <v>0</v>
      </c>
      <c r="P870" t="n">
        <v>0</v>
      </c>
      <c r="Q870" t="n">
        <v>1</v>
      </c>
      <c r="R870" s="2" t="inlineStr">
        <is>
          <t>Grön flodtrollslända</t>
        </is>
      </c>
      <c r="S870">
        <f>HYPERLINK("https://klasma.github.io/Logging_2582/artfynd/A 11555-2024 artfynd.xlsx", "A 11555-2024")</f>
        <v/>
      </c>
      <c r="T870">
        <f>HYPERLINK("https://klasma.github.io/Logging_2582/kartor/A 11555-2024 karta.png", "A 11555-2024")</f>
        <v/>
      </c>
      <c r="V870">
        <f>HYPERLINK("https://klasma.github.io/Logging_2582/klagomål/A 11555-2024 FSC-klagomål.docx", "A 11555-2024")</f>
        <v/>
      </c>
      <c r="W870">
        <f>HYPERLINK("https://klasma.github.io/Logging_2582/klagomålsmail/A 11555-2024 FSC-klagomål mail.docx", "A 11555-2024")</f>
        <v/>
      </c>
      <c r="X870">
        <f>HYPERLINK("https://klasma.github.io/Logging_2582/tillsyn/A 11555-2024 tillsynsbegäran.docx", "A 11555-2024")</f>
        <v/>
      </c>
      <c r="Y870">
        <f>HYPERLINK("https://klasma.github.io/Logging_2582/tillsynsmail/A 11555-2024 tillsynsbegäran mail.docx", "A 11555-2024")</f>
        <v/>
      </c>
    </row>
    <row r="871" ht="15" customHeight="1">
      <c r="A871" t="inlineStr">
        <is>
          <t>A 12224-2024</t>
        </is>
      </c>
      <c r="B871" s="1" t="n">
        <v>45378</v>
      </c>
      <c r="C871" s="1" t="n">
        <v>45758</v>
      </c>
      <c r="D871" t="inlineStr">
        <is>
          <t>NORRBOTTENS LÄN</t>
        </is>
      </c>
      <c r="E871" t="inlineStr">
        <is>
          <t>GÄLLIVARE</t>
        </is>
      </c>
      <c r="F871" t="inlineStr">
        <is>
          <t>Sveaskog</t>
        </is>
      </c>
      <c r="G871" t="n">
        <v>28.6</v>
      </c>
      <c r="H871" t="n">
        <v>0</v>
      </c>
      <c r="I871" t="n">
        <v>0</v>
      </c>
      <c r="J871" t="n">
        <v>1</v>
      </c>
      <c r="K871" t="n">
        <v>0</v>
      </c>
      <c r="L871" t="n">
        <v>0</v>
      </c>
      <c r="M871" t="n">
        <v>0</v>
      </c>
      <c r="N871" t="n">
        <v>0</v>
      </c>
      <c r="O871" t="n">
        <v>1</v>
      </c>
      <c r="P871" t="n">
        <v>0</v>
      </c>
      <c r="Q871" t="n">
        <v>1</v>
      </c>
      <c r="R871" s="2" t="inlineStr">
        <is>
          <t>Garnlav</t>
        </is>
      </c>
      <c r="S871">
        <f>HYPERLINK("https://klasma.github.io/Logging_2523/artfynd/A 12224-2024 artfynd.xlsx", "A 12224-2024")</f>
        <v/>
      </c>
      <c r="T871">
        <f>HYPERLINK("https://klasma.github.io/Logging_2523/kartor/A 12224-2024 karta.png", "A 12224-2024")</f>
        <v/>
      </c>
      <c r="V871">
        <f>HYPERLINK("https://klasma.github.io/Logging_2523/klagomål/A 12224-2024 FSC-klagomål.docx", "A 12224-2024")</f>
        <v/>
      </c>
      <c r="W871">
        <f>HYPERLINK("https://klasma.github.io/Logging_2523/klagomålsmail/A 12224-2024 FSC-klagomål mail.docx", "A 12224-2024")</f>
        <v/>
      </c>
      <c r="X871">
        <f>HYPERLINK("https://klasma.github.io/Logging_2523/tillsyn/A 12224-2024 tillsynsbegäran.docx", "A 12224-2024")</f>
        <v/>
      </c>
      <c r="Y871">
        <f>HYPERLINK("https://klasma.github.io/Logging_2523/tillsynsmail/A 12224-2024 tillsynsbegäran mail.docx", "A 12224-2024")</f>
        <v/>
      </c>
    </row>
    <row r="872" ht="15" customHeight="1">
      <c r="A872" t="inlineStr">
        <is>
          <t>A 12462-2024</t>
        </is>
      </c>
      <c r="B872" s="1" t="n">
        <v>45378</v>
      </c>
      <c r="C872" s="1" t="n">
        <v>45758</v>
      </c>
      <c r="D872" t="inlineStr">
        <is>
          <t>NORRBOTTENS LÄN</t>
        </is>
      </c>
      <c r="E872" t="inlineStr">
        <is>
          <t>LULEÅ</t>
        </is>
      </c>
      <c r="G872" t="n">
        <v>6.9</v>
      </c>
      <c r="H872" t="n">
        <v>0</v>
      </c>
      <c r="I872" t="n">
        <v>0</v>
      </c>
      <c r="J872" t="n">
        <v>1</v>
      </c>
      <c r="K872" t="n">
        <v>0</v>
      </c>
      <c r="L872" t="n">
        <v>0</v>
      </c>
      <c r="M872" t="n">
        <v>0</v>
      </c>
      <c r="N872" t="n">
        <v>0</v>
      </c>
      <c r="O872" t="n">
        <v>1</v>
      </c>
      <c r="P872" t="n">
        <v>0</v>
      </c>
      <c r="Q872" t="n">
        <v>1</v>
      </c>
      <c r="R872" s="2" t="inlineStr">
        <is>
          <t>Ullticka</t>
        </is>
      </c>
      <c r="S872">
        <f>HYPERLINK("https://klasma.github.io/Logging_2580/artfynd/A 12462-2024 artfynd.xlsx", "A 12462-2024")</f>
        <v/>
      </c>
      <c r="T872">
        <f>HYPERLINK("https://klasma.github.io/Logging_2580/kartor/A 12462-2024 karta.png", "A 12462-2024")</f>
        <v/>
      </c>
      <c r="V872">
        <f>HYPERLINK("https://klasma.github.io/Logging_2580/klagomål/A 12462-2024 FSC-klagomål.docx", "A 12462-2024")</f>
        <v/>
      </c>
      <c r="W872">
        <f>HYPERLINK("https://klasma.github.io/Logging_2580/klagomålsmail/A 12462-2024 FSC-klagomål mail.docx", "A 12462-2024")</f>
        <v/>
      </c>
      <c r="X872">
        <f>HYPERLINK("https://klasma.github.io/Logging_2580/tillsyn/A 12462-2024 tillsynsbegäran.docx", "A 12462-2024")</f>
        <v/>
      </c>
      <c r="Y872">
        <f>HYPERLINK("https://klasma.github.io/Logging_2580/tillsynsmail/A 12462-2024 tillsynsbegäran mail.docx", "A 12462-2024")</f>
        <v/>
      </c>
    </row>
    <row r="873" ht="15" customHeight="1">
      <c r="A873" t="inlineStr">
        <is>
          <t>A 12522-2024</t>
        </is>
      </c>
      <c r="B873" s="1" t="n">
        <v>45379</v>
      </c>
      <c r="C873" s="1" t="n">
        <v>45758</v>
      </c>
      <c r="D873" t="inlineStr">
        <is>
          <t>NORRBOTTENS LÄN</t>
        </is>
      </c>
      <c r="E873" t="inlineStr">
        <is>
          <t>GÄLLIVARE</t>
        </is>
      </c>
      <c r="F873" t="inlineStr">
        <is>
          <t>Sveaskog</t>
        </is>
      </c>
      <c r="G873" t="n">
        <v>27.8</v>
      </c>
      <c r="H873" t="n">
        <v>1</v>
      </c>
      <c r="I873" t="n">
        <v>0</v>
      </c>
      <c r="J873" t="n">
        <v>0</v>
      </c>
      <c r="K873" t="n">
        <v>1</v>
      </c>
      <c r="L873" t="n">
        <v>0</v>
      </c>
      <c r="M873" t="n">
        <v>0</v>
      </c>
      <c r="N873" t="n">
        <v>0</v>
      </c>
      <c r="O873" t="n">
        <v>1</v>
      </c>
      <c r="P873" t="n">
        <v>1</v>
      </c>
      <c r="Q873" t="n">
        <v>1</v>
      </c>
      <c r="R873" s="2" t="inlineStr">
        <is>
          <t>Doftticka</t>
        </is>
      </c>
      <c r="S873">
        <f>HYPERLINK("https://klasma.github.io/Logging_2523/artfynd/A 12522-2024 artfynd.xlsx", "A 12522-2024")</f>
        <v/>
      </c>
      <c r="T873">
        <f>HYPERLINK("https://klasma.github.io/Logging_2523/kartor/A 12522-2024 karta.png", "A 12522-2024")</f>
        <v/>
      </c>
      <c r="V873">
        <f>HYPERLINK("https://klasma.github.io/Logging_2523/klagomål/A 12522-2024 FSC-klagomål.docx", "A 12522-2024")</f>
        <v/>
      </c>
      <c r="W873">
        <f>HYPERLINK("https://klasma.github.io/Logging_2523/klagomålsmail/A 12522-2024 FSC-klagomål mail.docx", "A 12522-2024")</f>
        <v/>
      </c>
      <c r="X873">
        <f>HYPERLINK("https://klasma.github.io/Logging_2523/tillsyn/A 12522-2024 tillsynsbegäran.docx", "A 12522-2024")</f>
        <v/>
      </c>
      <c r="Y873">
        <f>HYPERLINK("https://klasma.github.io/Logging_2523/tillsynsmail/A 12522-2024 tillsynsbegäran mail.docx", "A 12522-2024")</f>
        <v/>
      </c>
    </row>
    <row r="874" ht="15" customHeight="1">
      <c r="A874" t="inlineStr">
        <is>
          <t>A 16008-2024</t>
        </is>
      </c>
      <c r="B874" s="1" t="n">
        <v>45405</v>
      </c>
      <c r="C874" s="1" t="n">
        <v>45758</v>
      </c>
      <c r="D874" t="inlineStr">
        <is>
          <t>NORRBOTTENS LÄN</t>
        </is>
      </c>
      <c r="E874" t="inlineStr">
        <is>
          <t>PAJALA</t>
        </is>
      </c>
      <c r="G874" t="n">
        <v>39.9</v>
      </c>
      <c r="H874" t="n">
        <v>0</v>
      </c>
      <c r="I874" t="n">
        <v>1</v>
      </c>
      <c r="J874" t="n">
        <v>0</v>
      </c>
      <c r="K874" t="n">
        <v>0</v>
      </c>
      <c r="L874" t="n">
        <v>0</v>
      </c>
      <c r="M874" t="n">
        <v>0</v>
      </c>
      <c r="N874" t="n">
        <v>0</v>
      </c>
      <c r="O874" t="n">
        <v>0</v>
      </c>
      <c r="P874" t="n">
        <v>0</v>
      </c>
      <c r="Q874" t="n">
        <v>1</v>
      </c>
      <c r="R874" s="2" t="inlineStr">
        <is>
          <t>Grönpyrola</t>
        </is>
      </c>
      <c r="S874">
        <f>HYPERLINK("https://klasma.github.io/Logging_2521/artfynd/A 16008-2024 artfynd.xlsx", "A 16008-2024")</f>
        <v/>
      </c>
      <c r="T874">
        <f>HYPERLINK("https://klasma.github.io/Logging_2521/kartor/A 16008-2024 karta.png", "A 16008-2024")</f>
        <v/>
      </c>
      <c r="V874">
        <f>HYPERLINK("https://klasma.github.io/Logging_2521/klagomål/A 16008-2024 FSC-klagomål.docx", "A 16008-2024")</f>
        <v/>
      </c>
      <c r="W874">
        <f>HYPERLINK("https://klasma.github.io/Logging_2521/klagomålsmail/A 16008-2024 FSC-klagomål mail.docx", "A 16008-2024")</f>
        <v/>
      </c>
      <c r="X874">
        <f>HYPERLINK("https://klasma.github.io/Logging_2521/tillsyn/A 16008-2024 tillsynsbegäran.docx", "A 16008-2024")</f>
        <v/>
      </c>
      <c r="Y874">
        <f>HYPERLINK("https://klasma.github.io/Logging_2521/tillsynsmail/A 16008-2024 tillsynsbegäran mail.docx", "A 16008-2024")</f>
        <v/>
      </c>
    </row>
    <row r="875" ht="15" customHeight="1">
      <c r="A875" t="inlineStr">
        <is>
          <t>A 16457-2024</t>
        </is>
      </c>
      <c r="B875" s="1" t="n">
        <v>45408</v>
      </c>
      <c r="C875" s="1" t="n">
        <v>45758</v>
      </c>
      <c r="D875" t="inlineStr">
        <is>
          <t>NORRBOTTENS LÄN</t>
        </is>
      </c>
      <c r="E875" t="inlineStr">
        <is>
          <t>ÖVERTORNEÅ</t>
        </is>
      </c>
      <c r="G875" t="n">
        <v>4.7</v>
      </c>
      <c r="H875" t="n">
        <v>1</v>
      </c>
      <c r="I875" t="n">
        <v>0</v>
      </c>
      <c r="J875" t="n">
        <v>0</v>
      </c>
      <c r="K875" t="n">
        <v>0</v>
      </c>
      <c r="L875" t="n">
        <v>0</v>
      </c>
      <c r="M875" t="n">
        <v>0</v>
      </c>
      <c r="N875" t="n">
        <v>0</v>
      </c>
      <c r="O875" t="n">
        <v>0</v>
      </c>
      <c r="P875" t="n">
        <v>0</v>
      </c>
      <c r="Q875" t="n">
        <v>1</v>
      </c>
      <c r="R875" s="2" t="inlineStr">
        <is>
          <t>Orre</t>
        </is>
      </c>
      <c r="S875">
        <f>HYPERLINK("https://klasma.github.io/Logging_2518/artfynd/A 16457-2024 artfynd.xlsx", "A 16457-2024")</f>
        <v/>
      </c>
      <c r="T875">
        <f>HYPERLINK("https://klasma.github.io/Logging_2518/kartor/A 16457-2024 karta.png", "A 16457-2024")</f>
        <v/>
      </c>
      <c r="V875">
        <f>HYPERLINK("https://klasma.github.io/Logging_2518/klagomål/A 16457-2024 FSC-klagomål.docx", "A 16457-2024")</f>
        <v/>
      </c>
      <c r="W875">
        <f>HYPERLINK("https://klasma.github.io/Logging_2518/klagomålsmail/A 16457-2024 FSC-klagomål mail.docx", "A 16457-2024")</f>
        <v/>
      </c>
      <c r="X875">
        <f>HYPERLINK("https://klasma.github.io/Logging_2518/tillsyn/A 16457-2024 tillsynsbegäran.docx", "A 16457-2024")</f>
        <v/>
      </c>
      <c r="Y875">
        <f>HYPERLINK("https://klasma.github.io/Logging_2518/tillsynsmail/A 16457-2024 tillsynsbegäran mail.docx", "A 16457-2024")</f>
        <v/>
      </c>
      <c r="Z875">
        <f>HYPERLINK("https://klasma.github.io/Logging_2518/fåglar/A 16457-2024 prioriterade fågelarter.docx", "A 16457-2024")</f>
        <v/>
      </c>
    </row>
    <row r="876" ht="15" customHeight="1">
      <c r="A876" t="inlineStr">
        <is>
          <t>A 18043-2024</t>
        </is>
      </c>
      <c r="B876" s="1" t="n">
        <v>45420</v>
      </c>
      <c r="C876" s="1" t="n">
        <v>45758</v>
      </c>
      <c r="D876" t="inlineStr">
        <is>
          <t>NORRBOTTENS LÄN</t>
        </is>
      </c>
      <c r="E876" t="inlineStr">
        <is>
          <t>GÄLLIVARE</t>
        </is>
      </c>
      <c r="G876" t="n">
        <v>35.5</v>
      </c>
      <c r="H876" t="n">
        <v>0</v>
      </c>
      <c r="I876" t="n">
        <v>0</v>
      </c>
      <c r="J876" t="n">
        <v>1</v>
      </c>
      <c r="K876" t="n">
        <v>0</v>
      </c>
      <c r="L876" t="n">
        <v>0</v>
      </c>
      <c r="M876" t="n">
        <v>0</v>
      </c>
      <c r="N876" t="n">
        <v>0</v>
      </c>
      <c r="O876" t="n">
        <v>1</v>
      </c>
      <c r="P876" t="n">
        <v>0</v>
      </c>
      <c r="Q876" t="n">
        <v>1</v>
      </c>
      <c r="R876" s="2" t="inlineStr">
        <is>
          <t>Garnlav</t>
        </is>
      </c>
      <c r="S876">
        <f>HYPERLINK("https://klasma.github.io/Logging_2523/artfynd/A 18043-2024 artfynd.xlsx", "A 18043-2024")</f>
        <v/>
      </c>
      <c r="T876">
        <f>HYPERLINK("https://klasma.github.io/Logging_2523/kartor/A 18043-2024 karta.png", "A 18043-2024")</f>
        <v/>
      </c>
      <c r="V876">
        <f>HYPERLINK("https://klasma.github.io/Logging_2523/klagomål/A 18043-2024 FSC-klagomål.docx", "A 18043-2024")</f>
        <v/>
      </c>
      <c r="W876">
        <f>HYPERLINK("https://klasma.github.io/Logging_2523/klagomålsmail/A 18043-2024 FSC-klagomål mail.docx", "A 18043-2024")</f>
        <v/>
      </c>
      <c r="X876">
        <f>HYPERLINK("https://klasma.github.io/Logging_2523/tillsyn/A 18043-2024 tillsynsbegäran.docx", "A 18043-2024")</f>
        <v/>
      </c>
      <c r="Y876">
        <f>HYPERLINK("https://klasma.github.io/Logging_2523/tillsynsmail/A 18043-2024 tillsynsbegäran mail.docx", "A 18043-2024")</f>
        <v/>
      </c>
    </row>
    <row r="877" ht="15" customHeight="1">
      <c r="A877" t="inlineStr">
        <is>
          <t>A 18671-2024</t>
        </is>
      </c>
      <c r="B877" s="1" t="n">
        <v>45426</v>
      </c>
      <c r="C877" s="1" t="n">
        <v>45758</v>
      </c>
      <c r="D877" t="inlineStr">
        <is>
          <t>NORRBOTTENS LÄN</t>
        </is>
      </c>
      <c r="E877" t="inlineStr">
        <is>
          <t>ÖVERTORNEÅ</t>
        </is>
      </c>
      <c r="F877" t="inlineStr">
        <is>
          <t>Sveaskog</t>
        </is>
      </c>
      <c r="G877" t="n">
        <v>33.8</v>
      </c>
      <c r="H877" t="n">
        <v>0</v>
      </c>
      <c r="I877" t="n">
        <v>0</v>
      </c>
      <c r="J877" t="n">
        <v>1</v>
      </c>
      <c r="K877" t="n">
        <v>0</v>
      </c>
      <c r="L877" t="n">
        <v>0</v>
      </c>
      <c r="M877" t="n">
        <v>0</v>
      </c>
      <c r="N877" t="n">
        <v>0</v>
      </c>
      <c r="O877" t="n">
        <v>1</v>
      </c>
      <c r="P877" t="n">
        <v>0</v>
      </c>
      <c r="Q877" t="n">
        <v>1</v>
      </c>
      <c r="R877" s="2" t="inlineStr">
        <is>
          <t>Röd trolldruva</t>
        </is>
      </c>
      <c r="S877">
        <f>HYPERLINK("https://klasma.github.io/Logging_2518/artfynd/A 18671-2024 artfynd.xlsx", "A 18671-2024")</f>
        <v/>
      </c>
      <c r="T877">
        <f>HYPERLINK("https://klasma.github.io/Logging_2518/kartor/A 18671-2024 karta.png", "A 18671-2024")</f>
        <v/>
      </c>
      <c r="V877">
        <f>HYPERLINK("https://klasma.github.io/Logging_2518/klagomål/A 18671-2024 FSC-klagomål.docx", "A 18671-2024")</f>
        <v/>
      </c>
      <c r="W877">
        <f>HYPERLINK("https://klasma.github.io/Logging_2518/klagomålsmail/A 18671-2024 FSC-klagomål mail.docx", "A 18671-2024")</f>
        <v/>
      </c>
      <c r="X877">
        <f>HYPERLINK("https://klasma.github.io/Logging_2518/tillsyn/A 18671-2024 tillsynsbegäran.docx", "A 18671-2024")</f>
        <v/>
      </c>
      <c r="Y877">
        <f>HYPERLINK("https://klasma.github.io/Logging_2518/tillsynsmail/A 18671-2024 tillsynsbegäran mail.docx", "A 18671-2024")</f>
        <v/>
      </c>
    </row>
    <row r="878" ht="15" customHeight="1">
      <c r="A878" t="inlineStr">
        <is>
          <t>A 19552-2024</t>
        </is>
      </c>
      <c r="B878" s="1" t="n">
        <v>45429</v>
      </c>
      <c r="C878" s="1" t="n">
        <v>45758</v>
      </c>
      <c r="D878" t="inlineStr">
        <is>
          <t>NORRBOTTENS LÄN</t>
        </is>
      </c>
      <c r="E878" t="inlineStr">
        <is>
          <t>LULEÅ</t>
        </is>
      </c>
      <c r="G878" t="n">
        <v>0.7</v>
      </c>
      <c r="H878" t="n">
        <v>0</v>
      </c>
      <c r="I878" t="n">
        <v>0</v>
      </c>
      <c r="J878" t="n">
        <v>0</v>
      </c>
      <c r="K878" t="n">
        <v>1</v>
      </c>
      <c r="L878" t="n">
        <v>0</v>
      </c>
      <c r="M878" t="n">
        <v>0</v>
      </c>
      <c r="N878" t="n">
        <v>0</v>
      </c>
      <c r="O878" t="n">
        <v>1</v>
      </c>
      <c r="P878" t="n">
        <v>1</v>
      </c>
      <c r="Q878" t="n">
        <v>1</v>
      </c>
      <c r="R878" s="2" t="inlineStr">
        <is>
          <t>Smalfotad taggsvamp</t>
        </is>
      </c>
      <c r="S878">
        <f>HYPERLINK("https://klasma.github.io/Logging_2580/artfynd/A 19552-2024 artfynd.xlsx", "A 19552-2024")</f>
        <v/>
      </c>
      <c r="T878">
        <f>HYPERLINK("https://klasma.github.io/Logging_2580/kartor/A 19552-2024 karta.png", "A 19552-2024")</f>
        <v/>
      </c>
      <c r="V878">
        <f>HYPERLINK("https://klasma.github.io/Logging_2580/klagomål/A 19552-2024 FSC-klagomål.docx", "A 19552-2024")</f>
        <v/>
      </c>
      <c r="W878">
        <f>HYPERLINK("https://klasma.github.io/Logging_2580/klagomålsmail/A 19552-2024 FSC-klagomål mail.docx", "A 19552-2024")</f>
        <v/>
      </c>
      <c r="X878">
        <f>HYPERLINK("https://klasma.github.io/Logging_2580/tillsyn/A 19552-2024 tillsynsbegäran.docx", "A 19552-2024")</f>
        <v/>
      </c>
      <c r="Y878">
        <f>HYPERLINK("https://klasma.github.io/Logging_2580/tillsynsmail/A 19552-2024 tillsynsbegäran mail.docx", "A 19552-2024")</f>
        <v/>
      </c>
    </row>
    <row r="879" ht="15" customHeight="1">
      <c r="A879" t="inlineStr">
        <is>
          <t>A 20087-2024</t>
        </is>
      </c>
      <c r="B879" s="1" t="n">
        <v>45434</v>
      </c>
      <c r="C879" s="1" t="n">
        <v>45758</v>
      </c>
      <c r="D879" t="inlineStr">
        <is>
          <t>NORRBOTTENS LÄN</t>
        </is>
      </c>
      <c r="E879" t="inlineStr">
        <is>
          <t>PITEÅ</t>
        </is>
      </c>
      <c r="G879" t="n">
        <v>4.3</v>
      </c>
      <c r="H879" t="n">
        <v>0</v>
      </c>
      <c r="I879" t="n">
        <v>0</v>
      </c>
      <c r="J879" t="n">
        <v>1</v>
      </c>
      <c r="K879" t="n">
        <v>0</v>
      </c>
      <c r="L879" t="n">
        <v>0</v>
      </c>
      <c r="M879" t="n">
        <v>0</v>
      </c>
      <c r="N879" t="n">
        <v>0</v>
      </c>
      <c r="O879" t="n">
        <v>1</v>
      </c>
      <c r="P879" t="n">
        <v>0</v>
      </c>
      <c r="Q879" t="n">
        <v>1</v>
      </c>
      <c r="R879" s="2" t="inlineStr">
        <is>
          <t>Gammelgransskål</t>
        </is>
      </c>
      <c r="S879">
        <f>HYPERLINK("https://klasma.github.io/Logging_2581/artfynd/A 20087-2024 artfynd.xlsx", "A 20087-2024")</f>
        <v/>
      </c>
      <c r="T879">
        <f>HYPERLINK("https://klasma.github.io/Logging_2581/kartor/A 20087-2024 karta.png", "A 20087-2024")</f>
        <v/>
      </c>
      <c r="V879">
        <f>HYPERLINK("https://klasma.github.io/Logging_2581/klagomål/A 20087-2024 FSC-klagomål.docx", "A 20087-2024")</f>
        <v/>
      </c>
      <c r="W879">
        <f>HYPERLINK("https://klasma.github.io/Logging_2581/klagomålsmail/A 20087-2024 FSC-klagomål mail.docx", "A 20087-2024")</f>
        <v/>
      </c>
      <c r="X879">
        <f>HYPERLINK("https://klasma.github.io/Logging_2581/tillsyn/A 20087-2024 tillsynsbegäran.docx", "A 20087-2024")</f>
        <v/>
      </c>
      <c r="Y879">
        <f>HYPERLINK("https://klasma.github.io/Logging_2581/tillsynsmail/A 20087-2024 tillsynsbegäran mail.docx", "A 20087-2024")</f>
        <v/>
      </c>
    </row>
    <row r="880" ht="15" customHeight="1">
      <c r="A880" t="inlineStr">
        <is>
          <t>A 21102-2024</t>
        </is>
      </c>
      <c r="B880" s="1" t="n">
        <v>45440</v>
      </c>
      <c r="C880" s="1" t="n">
        <v>45758</v>
      </c>
      <c r="D880" t="inlineStr">
        <is>
          <t>NORRBOTTENS LÄN</t>
        </is>
      </c>
      <c r="E880" t="inlineStr">
        <is>
          <t>PITEÅ</t>
        </is>
      </c>
      <c r="F880" t="inlineStr">
        <is>
          <t>SCA</t>
        </is>
      </c>
      <c r="G880" t="n">
        <v>1.4</v>
      </c>
      <c r="H880" t="n">
        <v>0</v>
      </c>
      <c r="I880" t="n">
        <v>1</v>
      </c>
      <c r="J880" t="n">
        <v>0</v>
      </c>
      <c r="K880" t="n">
        <v>0</v>
      </c>
      <c r="L880" t="n">
        <v>0</v>
      </c>
      <c r="M880" t="n">
        <v>0</v>
      </c>
      <c r="N880" t="n">
        <v>0</v>
      </c>
      <c r="O880" t="n">
        <v>0</v>
      </c>
      <c r="P880" t="n">
        <v>0</v>
      </c>
      <c r="Q880" t="n">
        <v>1</v>
      </c>
      <c r="R880" s="2" t="inlineStr">
        <is>
          <t>Tibast</t>
        </is>
      </c>
      <c r="S880">
        <f>HYPERLINK("https://klasma.github.io/Logging_2581/artfynd/A 21102-2024 artfynd.xlsx", "A 21102-2024")</f>
        <v/>
      </c>
      <c r="T880">
        <f>HYPERLINK("https://klasma.github.io/Logging_2581/kartor/A 21102-2024 karta.png", "A 21102-2024")</f>
        <v/>
      </c>
      <c r="V880">
        <f>HYPERLINK("https://klasma.github.io/Logging_2581/klagomål/A 21102-2024 FSC-klagomål.docx", "A 21102-2024")</f>
        <v/>
      </c>
      <c r="W880">
        <f>HYPERLINK("https://klasma.github.io/Logging_2581/klagomålsmail/A 21102-2024 FSC-klagomål mail.docx", "A 21102-2024")</f>
        <v/>
      </c>
      <c r="X880">
        <f>HYPERLINK("https://klasma.github.io/Logging_2581/tillsyn/A 21102-2024 tillsynsbegäran.docx", "A 21102-2024")</f>
        <v/>
      </c>
      <c r="Y880">
        <f>HYPERLINK("https://klasma.github.io/Logging_2581/tillsynsmail/A 21102-2024 tillsynsbegäran mail.docx", "A 21102-2024")</f>
        <v/>
      </c>
    </row>
    <row r="881" ht="15" customHeight="1">
      <c r="A881" t="inlineStr">
        <is>
          <t>A 21400-2024</t>
        </is>
      </c>
      <c r="B881" s="1" t="n">
        <v>45441</v>
      </c>
      <c r="C881" s="1" t="n">
        <v>45758</v>
      </c>
      <c r="D881" t="inlineStr">
        <is>
          <t>NORRBOTTENS LÄN</t>
        </is>
      </c>
      <c r="E881" t="inlineStr">
        <is>
          <t>BODEN</t>
        </is>
      </c>
      <c r="F881" t="inlineStr">
        <is>
          <t>Sveaskog</t>
        </is>
      </c>
      <c r="G881" t="n">
        <v>13.6</v>
      </c>
      <c r="H881" t="n">
        <v>0</v>
      </c>
      <c r="I881" t="n">
        <v>0</v>
      </c>
      <c r="J881" t="n">
        <v>1</v>
      </c>
      <c r="K881" t="n">
        <v>0</v>
      </c>
      <c r="L881" t="n">
        <v>0</v>
      </c>
      <c r="M881" t="n">
        <v>0</v>
      </c>
      <c r="N881" t="n">
        <v>0</v>
      </c>
      <c r="O881" t="n">
        <v>1</v>
      </c>
      <c r="P881" t="n">
        <v>0</v>
      </c>
      <c r="Q881" t="n">
        <v>1</v>
      </c>
      <c r="R881" s="2" t="inlineStr">
        <is>
          <t>Lunglav</t>
        </is>
      </c>
      <c r="S881">
        <f>HYPERLINK("https://klasma.github.io/Logging_2582/artfynd/A 21400-2024 artfynd.xlsx", "A 21400-2024")</f>
        <v/>
      </c>
      <c r="T881">
        <f>HYPERLINK("https://klasma.github.io/Logging_2582/kartor/A 21400-2024 karta.png", "A 21400-2024")</f>
        <v/>
      </c>
      <c r="V881">
        <f>HYPERLINK("https://klasma.github.io/Logging_2582/klagomål/A 21400-2024 FSC-klagomål.docx", "A 21400-2024")</f>
        <v/>
      </c>
      <c r="W881">
        <f>HYPERLINK("https://klasma.github.io/Logging_2582/klagomålsmail/A 21400-2024 FSC-klagomål mail.docx", "A 21400-2024")</f>
        <v/>
      </c>
      <c r="X881">
        <f>HYPERLINK("https://klasma.github.io/Logging_2582/tillsyn/A 21400-2024 tillsynsbegäran.docx", "A 21400-2024")</f>
        <v/>
      </c>
      <c r="Y881">
        <f>HYPERLINK("https://klasma.github.io/Logging_2582/tillsynsmail/A 21400-2024 tillsynsbegäran mail.docx", "A 21400-2024")</f>
        <v/>
      </c>
    </row>
    <row r="882" ht="15" customHeight="1">
      <c r="A882" t="inlineStr">
        <is>
          <t>A 22076-2024</t>
        </is>
      </c>
      <c r="B882" s="1" t="n">
        <v>45443</v>
      </c>
      <c r="C882" s="1" t="n">
        <v>45758</v>
      </c>
      <c r="D882" t="inlineStr">
        <is>
          <t>NORRBOTTENS LÄN</t>
        </is>
      </c>
      <c r="E882" t="inlineStr">
        <is>
          <t>ÖVERKALIX</t>
        </is>
      </c>
      <c r="F882" t="inlineStr">
        <is>
          <t>Sveaskog</t>
        </is>
      </c>
      <c r="G882" t="n">
        <v>7.1</v>
      </c>
      <c r="H882" t="n">
        <v>0</v>
      </c>
      <c r="I882" t="n">
        <v>1</v>
      </c>
      <c r="J882" t="n">
        <v>0</v>
      </c>
      <c r="K882" t="n">
        <v>0</v>
      </c>
      <c r="L882" t="n">
        <v>0</v>
      </c>
      <c r="M882" t="n">
        <v>0</v>
      </c>
      <c r="N882" t="n">
        <v>0</v>
      </c>
      <c r="O882" t="n">
        <v>0</v>
      </c>
      <c r="P882" t="n">
        <v>0</v>
      </c>
      <c r="Q882" t="n">
        <v>1</v>
      </c>
      <c r="R882" s="2" t="inlineStr">
        <is>
          <t>Dropptaggsvamp</t>
        </is>
      </c>
      <c r="S882">
        <f>HYPERLINK("https://klasma.github.io/Logging_2513/artfynd/A 22076-2024 artfynd.xlsx", "A 22076-2024")</f>
        <v/>
      </c>
      <c r="T882">
        <f>HYPERLINK("https://klasma.github.io/Logging_2513/kartor/A 22076-2024 karta.png", "A 22076-2024")</f>
        <v/>
      </c>
      <c r="V882">
        <f>HYPERLINK("https://klasma.github.io/Logging_2513/klagomål/A 22076-2024 FSC-klagomål.docx", "A 22076-2024")</f>
        <v/>
      </c>
      <c r="W882">
        <f>HYPERLINK("https://klasma.github.io/Logging_2513/klagomålsmail/A 22076-2024 FSC-klagomål mail.docx", "A 22076-2024")</f>
        <v/>
      </c>
      <c r="X882">
        <f>HYPERLINK("https://klasma.github.io/Logging_2513/tillsyn/A 22076-2024 tillsynsbegäran.docx", "A 22076-2024")</f>
        <v/>
      </c>
      <c r="Y882">
        <f>HYPERLINK("https://klasma.github.io/Logging_2513/tillsynsmail/A 22076-2024 tillsynsbegäran mail.docx", "A 22076-2024")</f>
        <v/>
      </c>
    </row>
    <row r="883" ht="15" customHeight="1">
      <c r="A883" t="inlineStr">
        <is>
          <t>A 21974-2024</t>
        </is>
      </c>
      <c r="B883" s="1" t="n">
        <v>45443</v>
      </c>
      <c r="C883" s="1" t="n">
        <v>45758</v>
      </c>
      <c r="D883" t="inlineStr">
        <is>
          <t>NORRBOTTENS LÄN</t>
        </is>
      </c>
      <c r="E883" t="inlineStr">
        <is>
          <t>ÄLVSBYN</t>
        </is>
      </c>
      <c r="F883" t="inlineStr">
        <is>
          <t>Sveaskog</t>
        </is>
      </c>
      <c r="G883" t="n">
        <v>13.1</v>
      </c>
      <c r="H883" t="n">
        <v>0</v>
      </c>
      <c r="I883" t="n">
        <v>1</v>
      </c>
      <c r="J883" t="n">
        <v>0</v>
      </c>
      <c r="K883" t="n">
        <v>0</v>
      </c>
      <c r="L883" t="n">
        <v>0</v>
      </c>
      <c r="M883" t="n">
        <v>0</v>
      </c>
      <c r="N883" t="n">
        <v>0</v>
      </c>
      <c r="O883" t="n">
        <v>0</v>
      </c>
      <c r="P883" t="n">
        <v>0</v>
      </c>
      <c r="Q883" t="n">
        <v>1</v>
      </c>
      <c r="R883" s="2" t="inlineStr">
        <is>
          <t>Stuplav</t>
        </is>
      </c>
      <c r="S883">
        <f>HYPERLINK("https://klasma.github.io/Logging_2560/artfynd/A 21974-2024 artfynd.xlsx", "A 21974-2024")</f>
        <v/>
      </c>
      <c r="T883">
        <f>HYPERLINK("https://klasma.github.io/Logging_2560/kartor/A 21974-2024 karta.png", "A 21974-2024")</f>
        <v/>
      </c>
      <c r="V883">
        <f>HYPERLINK("https://klasma.github.io/Logging_2560/klagomål/A 21974-2024 FSC-klagomål.docx", "A 21974-2024")</f>
        <v/>
      </c>
      <c r="W883">
        <f>HYPERLINK("https://klasma.github.io/Logging_2560/klagomålsmail/A 21974-2024 FSC-klagomål mail.docx", "A 21974-2024")</f>
        <v/>
      </c>
      <c r="X883">
        <f>HYPERLINK("https://klasma.github.io/Logging_2560/tillsyn/A 21974-2024 tillsynsbegäran.docx", "A 21974-2024")</f>
        <v/>
      </c>
      <c r="Y883">
        <f>HYPERLINK("https://klasma.github.io/Logging_2560/tillsynsmail/A 21974-2024 tillsynsbegäran mail.docx", "A 21974-2024")</f>
        <v/>
      </c>
    </row>
    <row r="884" ht="15" customHeight="1">
      <c r="A884" t="inlineStr">
        <is>
          <t>A 21907-2024</t>
        </is>
      </c>
      <c r="B884" s="1" t="n">
        <v>45443</v>
      </c>
      <c r="C884" s="1" t="n">
        <v>45758</v>
      </c>
      <c r="D884" t="inlineStr">
        <is>
          <t>NORRBOTTENS LÄN</t>
        </is>
      </c>
      <c r="E884" t="inlineStr">
        <is>
          <t>BODEN</t>
        </is>
      </c>
      <c r="F884" t="inlineStr">
        <is>
          <t>Sveaskog</t>
        </is>
      </c>
      <c r="G884" t="n">
        <v>6</v>
      </c>
      <c r="H884" t="n">
        <v>0</v>
      </c>
      <c r="I884" t="n">
        <v>0</v>
      </c>
      <c r="J884" t="n">
        <v>1</v>
      </c>
      <c r="K884" t="n">
        <v>0</v>
      </c>
      <c r="L884" t="n">
        <v>0</v>
      </c>
      <c r="M884" t="n">
        <v>0</v>
      </c>
      <c r="N884" t="n">
        <v>0</v>
      </c>
      <c r="O884" t="n">
        <v>1</v>
      </c>
      <c r="P884" t="n">
        <v>0</v>
      </c>
      <c r="Q884" t="n">
        <v>1</v>
      </c>
      <c r="R884" s="2" t="inlineStr">
        <is>
          <t>Orange taggsvamp</t>
        </is>
      </c>
      <c r="S884">
        <f>HYPERLINK("https://klasma.github.io/Logging_2582/artfynd/A 21907-2024 artfynd.xlsx", "A 21907-2024")</f>
        <v/>
      </c>
      <c r="T884">
        <f>HYPERLINK("https://klasma.github.io/Logging_2582/kartor/A 21907-2024 karta.png", "A 21907-2024")</f>
        <v/>
      </c>
      <c r="V884">
        <f>HYPERLINK("https://klasma.github.io/Logging_2582/klagomål/A 21907-2024 FSC-klagomål.docx", "A 21907-2024")</f>
        <v/>
      </c>
      <c r="W884">
        <f>HYPERLINK("https://klasma.github.io/Logging_2582/klagomålsmail/A 21907-2024 FSC-klagomål mail.docx", "A 21907-2024")</f>
        <v/>
      </c>
      <c r="X884">
        <f>HYPERLINK("https://klasma.github.io/Logging_2582/tillsyn/A 21907-2024 tillsynsbegäran.docx", "A 21907-2024")</f>
        <v/>
      </c>
      <c r="Y884">
        <f>HYPERLINK("https://klasma.github.io/Logging_2582/tillsynsmail/A 21907-2024 tillsynsbegäran mail.docx", "A 21907-2024")</f>
        <v/>
      </c>
    </row>
    <row r="885" ht="15" customHeight="1">
      <c r="A885" t="inlineStr">
        <is>
          <t>A 21858-2024</t>
        </is>
      </c>
      <c r="B885" s="1" t="n">
        <v>45443</v>
      </c>
      <c r="C885" s="1" t="n">
        <v>45758</v>
      </c>
      <c r="D885" t="inlineStr">
        <is>
          <t>NORRBOTTENS LÄN</t>
        </is>
      </c>
      <c r="E885" t="inlineStr">
        <is>
          <t>ÄLVSBYN</t>
        </is>
      </c>
      <c r="F885" t="inlineStr">
        <is>
          <t>Sveaskog</t>
        </is>
      </c>
      <c r="G885" t="n">
        <v>16.2</v>
      </c>
      <c r="H885" t="n">
        <v>0</v>
      </c>
      <c r="I885" t="n">
        <v>1</v>
      </c>
      <c r="J885" t="n">
        <v>0</v>
      </c>
      <c r="K885" t="n">
        <v>0</v>
      </c>
      <c r="L885" t="n">
        <v>0</v>
      </c>
      <c r="M885" t="n">
        <v>0</v>
      </c>
      <c r="N885" t="n">
        <v>0</v>
      </c>
      <c r="O885" t="n">
        <v>0</v>
      </c>
      <c r="P885" t="n">
        <v>0</v>
      </c>
      <c r="Q885" t="n">
        <v>1</v>
      </c>
      <c r="R885" s="2" t="inlineStr">
        <is>
          <t>Stuplav</t>
        </is>
      </c>
      <c r="S885">
        <f>HYPERLINK("https://klasma.github.io/Logging_2560/artfynd/A 21858-2024 artfynd.xlsx", "A 21858-2024")</f>
        <v/>
      </c>
      <c r="T885">
        <f>HYPERLINK("https://klasma.github.io/Logging_2560/kartor/A 21858-2024 karta.png", "A 21858-2024")</f>
        <v/>
      </c>
      <c r="V885">
        <f>HYPERLINK("https://klasma.github.io/Logging_2560/klagomål/A 21858-2024 FSC-klagomål.docx", "A 21858-2024")</f>
        <v/>
      </c>
      <c r="W885">
        <f>HYPERLINK("https://klasma.github.io/Logging_2560/klagomålsmail/A 21858-2024 FSC-klagomål mail.docx", "A 21858-2024")</f>
        <v/>
      </c>
      <c r="X885">
        <f>HYPERLINK("https://klasma.github.io/Logging_2560/tillsyn/A 21858-2024 tillsynsbegäran.docx", "A 21858-2024")</f>
        <v/>
      </c>
      <c r="Y885">
        <f>HYPERLINK("https://klasma.github.io/Logging_2560/tillsynsmail/A 21858-2024 tillsynsbegäran mail.docx", "A 21858-2024")</f>
        <v/>
      </c>
    </row>
    <row r="886" ht="15" customHeight="1">
      <c r="A886" t="inlineStr">
        <is>
          <t>A 22264-2024</t>
        </is>
      </c>
      <c r="B886" s="1" t="n">
        <v>45446</v>
      </c>
      <c r="C886" s="1" t="n">
        <v>45758</v>
      </c>
      <c r="D886" t="inlineStr">
        <is>
          <t>NORRBOTTENS LÄN</t>
        </is>
      </c>
      <c r="E886" t="inlineStr">
        <is>
          <t>BODEN</t>
        </is>
      </c>
      <c r="F886" t="inlineStr">
        <is>
          <t>Sveaskog</t>
        </is>
      </c>
      <c r="G886" t="n">
        <v>16.7</v>
      </c>
      <c r="H886" t="n">
        <v>0</v>
      </c>
      <c r="I886" t="n">
        <v>1</v>
      </c>
      <c r="J886" t="n">
        <v>0</v>
      </c>
      <c r="K886" t="n">
        <v>0</v>
      </c>
      <c r="L886" t="n">
        <v>0</v>
      </c>
      <c r="M886" t="n">
        <v>0</v>
      </c>
      <c r="N886" t="n">
        <v>0</v>
      </c>
      <c r="O886" t="n">
        <v>0</v>
      </c>
      <c r="P886" t="n">
        <v>0</v>
      </c>
      <c r="Q886" t="n">
        <v>1</v>
      </c>
      <c r="R886" s="2" t="inlineStr">
        <is>
          <t>Tibast</t>
        </is>
      </c>
      <c r="S886">
        <f>HYPERLINK("https://klasma.github.io/Logging_2582/artfynd/A 22264-2024 artfynd.xlsx", "A 22264-2024")</f>
        <v/>
      </c>
      <c r="T886">
        <f>HYPERLINK("https://klasma.github.io/Logging_2582/kartor/A 22264-2024 karta.png", "A 22264-2024")</f>
        <v/>
      </c>
      <c r="V886">
        <f>HYPERLINK("https://klasma.github.io/Logging_2582/klagomål/A 22264-2024 FSC-klagomål.docx", "A 22264-2024")</f>
        <v/>
      </c>
      <c r="W886">
        <f>HYPERLINK("https://klasma.github.io/Logging_2582/klagomålsmail/A 22264-2024 FSC-klagomål mail.docx", "A 22264-2024")</f>
        <v/>
      </c>
      <c r="X886">
        <f>HYPERLINK("https://klasma.github.io/Logging_2582/tillsyn/A 22264-2024 tillsynsbegäran.docx", "A 22264-2024")</f>
        <v/>
      </c>
      <c r="Y886">
        <f>HYPERLINK("https://klasma.github.io/Logging_2582/tillsynsmail/A 22264-2024 tillsynsbegäran mail.docx", "A 22264-2024")</f>
        <v/>
      </c>
    </row>
    <row r="887" ht="15" customHeight="1">
      <c r="A887" t="inlineStr">
        <is>
          <t>A 22495-2024</t>
        </is>
      </c>
      <c r="B887" s="1" t="n">
        <v>45447</v>
      </c>
      <c r="C887" s="1" t="n">
        <v>45758</v>
      </c>
      <c r="D887" t="inlineStr">
        <is>
          <t>NORRBOTTENS LÄN</t>
        </is>
      </c>
      <c r="E887" t="inlineStr">
        <is>
          <t>KIRUNA</t>
        </is>
      </c>
      <c r="G887" t="n">
        <v>7.1</v>
      </c>
      <c r="H887" t="n">
        <v>0</v>
      </c>
      <c r="I887" t="n">
        <v>0</v>
      </c>
      <c r="J887" t="n">
        <v>0</v>
      </c>
      <c r="K887" t="n">
        <v>1</v>
      </c>
      <c r="L887" t="n">
        <v>0</v>
      </c>
      <c r="M887" t="n">
        <v>0</v>
      </c>
      <c r="N887" t="n">
        <v>0</v>
      </c>
      <c r="O887" t="n">
        <v>1</v>
      </c>
      <c r="P887" t="n">
        <v>1</v>
      </c>
      <c r="Q887" t="n">
        <v>1</v>
      </c>
      <c r="R887" s="2" t="inlineStr">
        <is>
          <t>Tajgafältmätare</t>
        </is>
      </c>
      <c r="S887">
        <f>HYPERLINK("https://klasma.github.io/Logging_2584/artfynd/A 22495-2024 artfynd.xlsx", "A 22495-2024")</f>
        <v/>
      </c>
      <c r="T887">
        <f>HYPERLINK("https://klasma.github.io/Logging_2584/kartor/A 22495-2024 karta.png", "A 22495-2024")</f>
        <v/>
      </c>
      <c r="V887">
        <f>HYPERLINK("https://klasma.github.io/Logging_2584/klagomål/A 22495-2024 FSC-klagomål.docx", "A 22495-2024")</f>
        <v/>
      </c>
      <c r="W887">
        <f>HYPERLINK("https://klasma.github.io/Logging_2584/klagomålsmail/A 22495-2024 FSC-klagomål mail.docx", "A 22495-2024")</f>
        <v/>
      </c>
      <c r="X887">
        <f>HYPERLINK("https://klasma.github.io/Logging_2584/tillsyn/A 22495-2024 tillsynsbegäran.docx", "A 22495-2024")</f>
        <v/>
      </c>
      <c r="Y887">
        <f>HYPERLINK("https://klasma.github.io/Logging_2584/tillsynsmail/A 22495-2024 tillsynsbegäran mail.docx", "A 22495-2024")</f>
        <v/>
      </c>
    </row>
    <row r="888" ht="15" customHeight="1">
      <c r="A888" t="inlineStr">
        <is>
          <t>A 22865-2024</t>
        </is>
      </c>
      <c r="B888" s="1" t="n">
        <v>45448</v>
      </c>
      <c r="C888" s="1" t="n">
        <v>45758</v>
      </c>
      <c r="D888" t="inlineStr">
        <is>
          <t>NORRBOTTENS LÄN</t>
        </is>
      </c>
      <c r="E888" t="inlineStr">
        <is>
          <t>BODEN</t>
        </is>
      </c>
      <c r="F888" t="inlineStr">
        <is>
          <t>Sveaskog</t>
        </is>
      </c>
      <c r="G888" t="n">
        <v>7.2</v>
      </c>
      <c r="H888" t="n">
        <v>0</v>
      </c>
      <c r="I888" t="n">
        <v>0</v>
      </c>
      <c r="J888" t="n">
        <v>1</v>
      </c>
      <c r="K888" t="n">
        <v>0</v>
      </c>
      <c r="L888" t="n">
        <v>0</v>
      </c>
      <c r="M888" t="n">
        <v>0</v>
      </c>
      <c r="N888" t="n">
        <v>0</v>
      </c>
      <c r="O888" t="n">
        <v>1</v>
      </c>
      <c r="P888" t="n">
        <v>0</v>
      </c>
      <c r="Q888" t="n">
        <v>1</v>
      </c>
      <c r="R888" s="2" t="inlineStr">
        <is>
          <t>Lunglav</t>
        </is>
      </c>
      <c r="S888">
        <f>HYPERLINK("https://klasma.github.io/Logging_2582/artfynd/A 22865-2024 artfynd.xlsx", "A 22865-2024")</f>
        <v/>
      </c>
      <c r="T888">
        <f>HYPERLINK("https://klasma.github.io/Logging_2582/kartor/A 22865-2024 karta.png", "A 22865-2024")</f>
        <v/>
      </c>
      <c r="V888">
        <f>HYPERLINK("https://klasma.github.io/Logging_2582/klagomål/A 22865-2024 FSC-klagomål.docx", "A 22865-2024")</f>
        <v/>
      </c>
      <c r="W888">
        <f>HYPERLINK("https://klasma.github.io/Logging_2582/klagomålsmail/A 22865-2024 FSC-klagomål mail.docx", "A 22865-2024")</f>
        <v/>
      </c>
      <c r="X888">
        <f>HYPERLINK("https://klasma.github.io/Logging_2582/tillsyn/A 22865-2024 tillsynsbegäran.docx", "A 22865-2024")</f>
        <v/>
      </c>
      <c r="Y888">
        <f>HYPERLINK("https://klasma.github.io/Logging_2582/tillsynsmail/A 22865-2024 tillsynsbegäran mail.docx", "A 22865-2024")</f>
        <v/>
      </c>
    </row>
    <row r="889" ht="15" customHeight="1">
      <c r="A889" t="inlineStr">
        <is>
          <t>A 23056-2024</t>
        </is>
      </c>
      <c r="B889" s="1" t="n">
        <v>45449</v>
      </c>
      <c r="C889" s="1" t="n">
        <v>45758</v>
      </c>
      <c r="D889" t="inlineStr">
        <is>
          <t>NORRBOTTENS LÄN</t>
        </is>
      </c>
      <c r="E889" t="inlineStr">
        <is>
          <t>ÖVERTORNEÅ</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HYPERLINK("https://klasma.github.io/Logging_2518/artfynd/A 23056-2024 artfynd.xlsx", "A 23056-2024")</f>
        <v/>
      </c>
      <c r="T889">
        <f>HYPERLINK("https://klasma.github.io/Logging_2518/kartor/A 23056-2024 karta.png", "A 23056-2024")</f>
        <v/>
      </c>
      <c r="V889">
        <f>HYPERLINK("https://klasma.github.io/Logging_2518/klagomål/A 23056-2024 FSC-klagomål.docx", "A 23056-2024")</f>
        <v/>
      </c>
      <c r="W889">
        <f>HYPERLINK("https://klasma.github.io/Logging_2518/klagomålsmail/A 23056-2024 FSC-klagomål mail.docx", "A 23056-2024")</f>
        <v/>
      </c>
      <c r="X889">
        <f>HYPERLINK("https://klasma.github.io/Logging_2518/tillsyn/A 23056-2024 tillsynsbegäran.docx", "A 23056-2024")</f>
        <v/>
      </c>
      <c r="Y889">
        <f>HYPERLINK("https://klasma.github.io/Logging_2518/tillsynsmail/A 23056-2024 tillsynsbegäran mail.docx", "A 23056-2024")</f>
        <v/>
      </c>
    </row>
    <row r="890" ht="15" customHeight="1">
      <c r="A890" t="inlineStr">
        <is>
          <t>A 23075-2024</t>
        </is>
      </c>
      <c r="B890" s="1" t="n">
        <v>45450</v>
      </c>
      <c r="C890" s="1" t="n">
        <v>45758</v>
      </c>
      <c r="D890" t="inlineStr">
        <is>
          <t>NORRBOTTENS LÄN</t>
        </is>
      </c>
      <c r="E890" t="inlineStr">
        <is>
          <t>PITEÅ</t>
        </is>
      </c>
      <c r="F890" t="inlineStr">
        <is>
          <t>Sveaskog</t>
        </is>
      </c>
      <c r="G890" t="n">
        <v>21.7</v>
      </c>
      <c r="H890" t="n">
        <v>0</v>
      </c>
      <c r="I890" t="n">
        <v>0</v>
      </c>
      <c r="J890" t="n">
        <v>1</v>
      </c>
      <c r="K890" t="n">
        <v>0</v>
      </c>
      <c r="L890" t="n">
        <v>0</v>
      </c>
      <c r="M890" t="n">
        <v>0</v>
      </c>
      <c r="N890" t="n">
        <v>0</v>
      </c>
      <c r="O890" t="n">
        <v>1</v>
      </c>
      <c r="P890" t="n">
        <v>0</v>
      </c>
      <c r="Q890" t="n">
        <v>1</v>
      </c>
      <c r="R890" s="2" t="inlineStr">
        <is>
          <t>Violmussling</t>
        </is>
      </c>
      <c r="S890">
        <f>HYPERLINK("https://klasma.github.io/Logging_2581/artfynd/A 23075-2024 artfynd.xlsx", "A 23075-2024")</f>
        <v/>
      </c>
      <c r="T890">
        <f>HYPERLINK("https://klasma.github.io/Logging_2581/kartor/A 23075-2024 karta.png", "A 23075-2024")</f>
        <v/>
      </c>
      <c r="V890">
        <f>HYPERLINK("https://klasma.github.io/Logging_2581/klagomål/A 23075-2024 FSC-klagomål.docx", "A 23075-2024")</f>
        <v/>
      </c>
      <c r="W890">
        <f>HYPERLINK("https://klasma.github.io/Logging_2581/klagomålsmail/A 23075-2024 FSC-klagomål mail.docx", "A 23075-2024")</f>
        <v/>
      </c>
      <c r="X890">
        <f>HYPERLINK("https://klasma.github.io/Logging_2581/tillsyn/A 23075-2024 tillsynsbegäran.docx", "A 23075-2024")</f>
        <v/>
      </c>
      <c r="Y890">
        <f>HYPERLINK("https://klasma.github.io/Logging_2581/tillsynsmail/A 23075-2024 tillsynsbegäran mail.docx", "A 23075-2024")</f>
        <v/>
      </c>
    </row>
    <row r="891" ht="15" customHeight="1">
      <c r="A891" t="inlineStr">
        <is>
          <t>A 23096-2024</t>
        </is>
      </c>
      <c r="B891" s="1" t="n">
        <v>45450</v>
      </c>
      <c r="C891" s="1" t="n">
        <v>45758</v>
      </c>
      <c r="D891" t="inlineStr">
        <is>
          <t>NORRBOTTENS LÄN</t>
        </is>
      </c>
      <c r="E891" t="inlineStr">
        <is>
          <t>BODEN</t>
        </is>
      </c>
      <c r="F891" t="inlineStr">
        <is>
          <t>Sveaskog</t>
        </is>
      </c>
      <c r="G891" t="n">
        <v>13.5</v>
      </c>
      <c r="H891" t="n">
        <v>0</v>
      </c>
      <c r="I891" t="n">
        <v>0</v>
      </c>
      <c r="J891" t="n">
        <v>1</v>
      </c>
      <c r="K891" t="n">
        <v>0</v>
      </c>
      <c r="L891" t="n">
        <v>0</v>
      </c>
      <c r="M891" t="n">
        <v>0</v>
      </c>
      <c r="N891" t="n">
        <v>0</v>
      </c>
      <c r="O891" t="n">
        <v>1</v>
      </c>
      <c r="P891" t="n">
        <v>0</v>
      </c>
      <c r="Q891" t="n">
        <v>1</v>
      </c>
      <c r="R891" s="2" t="inlineStr">
        <is>
          <t>Lunglav</t>
        </is>
      </c>
      <c r="S891">
        <f>HYPERLINK("https://klasma.github.io/Logging_2582/artfynd/A 23096-2024 artfynd.xlsx", "A 23096-2024")</f>
        <v/>
      </c>
      <c r="T891">
        <f>HYPERLINK("https://klasma.github.io/Logging_2582/kartor/A 23096-2024 karta.png", "A 23096-2024")</f>
        <v/>
      </c>
      <c r="V891">
        <f>HYPERLINK("https://klasma.github.io/Logging_2582/klagomål/A 23096-2024 FSC-klagomål.docx", "A 23096-2024")</f>
        <v/>
      </c>
      <c r="W891">
        <f>HYPERLINK("https://klasma.github.io/Logging_2582/klagomålsmail/A 23096-2024 FSC-klagomål mail.docx", "A 23096-2024")</f>
        <v/>
      </c>
      <c r="X891">
        <f>HYPERLINK("https://klasma.github.io/Logging_2582/tillsyn/A 23096-2024 tillsynsbegäran.docx", "A 23096-2024")</f>
        <v/>
      </c>
      <c r="Y891">
        <f>HYPERLINK("https://klasma.github.io/Logging_2582/tillsynsmail/A 23096-2024 tillsynsbegäran mail.docx", "A 23096-2024")</f>
        <v/>
      </c>
    </row>
    <row r="892" ht="15" customHeight="1">
      <c r="A892" t="inlineStr">
        <is>
          <t>A 23132-2024</t>
        </is>
      </c>
      <c r="B892" s="1" t="n">
        <v>45450</v>
      </c>
      <c r="C892" s="1" t="n">
        <v>45758</v>
      </c>
      <c r="D892" t="inlineStr">
        <is>
          <t>NORRBOTTENS LÄN</t>
        </is>
      </c>
      <c r="E892" t="inlineStr">
        <is>
          <t>ÄLVSBYN</t>
        </is>
      </c>
      <c r="F892" t="inlineStr">
        <is>
          <t>Sveaskog</t>
        </is>
      </c>
      <c r="G892" t="n">
        <v>5.8</v>
      </c>
      <c r="H892" t="n">
        <v>0</v>
      </c>
      <c r="I892" t="n">
        <v>0</v>
      </c>
      <c r="J892" t="n">
        <v>1</v>
      </c>
      <c r="K892" t="n">
        <v>0</v>
      </c>
      <c r="L892" t="n">
        <v>0</v>
      </c>
      <c r="M892" t="n">
        <v>0</v>
      </c>
      <c r="N892" t="n">
        <v>0</v>
      </c>
      <c r="O892" t="n">
        <v>1</v>
      </c>
      <c r="P892" t="n">
        <v>0</v>
      </c>
      <c r="Q892" t="n">
        <v>1</v>
      </c>
      <c r="R892" s="2" t="inlineStr">
        <is>
          <t>Lunglav</t>
        </is>
      </c>
      <c r="S892">
        <f>HYPERLINK("https://klasma.github.io/Logging_2560/artfynd/A 23132-2024 artfynd.xlsx", "A 23132-2024")</f>
        <v/>
      </c>
      <c r="T892">
        <f>HYPERLINK("https://klasma.github.io/Logging_2560/kartor/A 23132-2024 karta.png", "A 23132-2024")</f>
        <v/>
      </c>
      <c r="V892">
        <f>HYPERLINK("https://klasma.github.io/Logging_2560/klagomål/A 23132-2024 FSC-klagomål.docx", "A 23132-2024")</f>
        <v/>
      </c>
      <c r="W892">
        <f>HYPERLINK("https://klasma.github.io/Logging_2560/klagomålsmail/A 23132-2024 FSC-klagomål mail.docx", "A 23132-2024")</f>
        <v/>
      </c>
      <c r="X892">
        <f>HYPERLINK("https://klasma.github.io/Logging_2560/tillsyn/A 23132-2024 tillsynsbegäran.docx", "A 23132-2024")</f>
        <v/>
      </c>
      <c r="Y892">
        <f>HYPERLINK("https://klasma.github.io/Logging_2560/tillsynsmail/A 23132-2024 tillsynsbegäran mail.docx", "A 23132-2024")</f>
        <v/>
      </c>
    </row>
    <row r="893" ht="15" customHeight="1">
      <c r="A893" t="inlineStr">
        <is>
          <t>A 23157-2024</t>
        </is>
      </c>
      <c r="B893" s="1" t="n">
        <v>45450</v>
      </c>
      <c r="C893" s="1" t="n">
        <v>45758</v>
      </c>
      <c r="D893" t="inlineStr">
        <is>
          <t>NORRBOTTENS LÄN</t>
        </is>
      </c>
      <c r="E893" t="inlineStr">
        <is>
          <t>ÖVERKALIX</t>
        </is>
      </c>
      <c r="F893" t="inlineStr">
        <is>
          <t>Sveaskog</t>
        </is>
      </c>
      <c r="G893" t="n">
        <v>5.9</v>
      </c>
      <c r="H893" t="n">
        <v>0</v>
      </c>
      <c r="I893" t="n">
        <v>1</v>
      </c>
      <c r="J893" t="n">
        <v>0</v>
      </c>
      <c r="K893" t="n">
        <v>0</v>
      </c>
      <c r="L893" t="n">
        <v>0</v>
      </c>
      <c r="M893" t="n">
        <v>0</v>
      </c>
      <c r="N893" t="n">
        <v>0</v>
      </c>
      <c r="O893" t="n">
        <v>0</v>
      </c>
      <c r="P893" t="n">
        <v>0</v>
      </c>
      <c r="Q893" t="n">
        <v>1</v>
      </c>
      <c r="R893" s="2" t="inlineStr">
        <is>
          <t>Bollvitmossa</t>
        </is>
      </c>
      <c r="S893">
        <f>HYPERLINK("https://klasma.github.io/Logging_2513/artfynd/A 23157-2024 artfynd.xlsx", "A 23157-2024")</f>
        <v/>
      </c>
      <c r="T893">
        <f>HYPERLINK("https://klasma.github.io/Logging_2513/kartor/A 23157-2024 karta.png", "A 23157-2024")</f>
        <v/>
      </c>
      <c r="V893">
        <f>HYPERLINK("https://klasma.github.io/Logging_2513/klagomål/A 23157-2024 FSC-klagomål.docx", "A 23157-2024")</f>
        <v/>
      </c>
      <c r="W893">
        <f>HYPERLINK("https://klasma.github.io/Logging_2513/klagomålsmail/A 23157-2024 FSC-klagomål mail.docx", "A 23157-2024")</f>
        <v/>
      </c>
      <c r="X893">
        <f>HYPERLINK("https://klasma.github.io/Logging_2513/tillsyn/A 23157-2024 tillsynsbegäran.docx", "A 23157-2024")</f>
        <v/>
      </c>
      <c r="Y893">
        <f>HYPERLINK("https://klasma.github.io/Logging_2513/tillsynsmail/A 23157-2024 tillsynsbegäran mail.docx", "A 23157-2024")</f>
        <v/>
      </c>
    </row>
    <row r="894" ht="15" customHeight="1">
      <c r="A894" t="inlineStr">
        <is>
          <t>A 25609-2024</t>
        </is>
      </c>
      <c r="B894" s="1" t="n">
        <v>45463</v>
      </c>
      <c r="C894" s="1" t="n">
        <v>45758</v>
      </c>
      <c r="D894" t="inlineStr">
        <is>
          <t>NORRBOTTENS LÄN</t>
        </is>
      </c>
      <c r="E894" t="inlineStr">
        <is>
          <t>BODEN</t>
        </is>
      </c>
      <c r="F894" t="inlineStr">
        <is>
          <t>Sveaskog</t>
        </is>
      </c>
      <c r="G894" t="n">
        <v>13.4</v>
      </c>
      <c r="H894" t="n">
        <v>0</v>
      </c>
      <c r="I894" t="n">
        <v>0</v>
      </c>
      <c r="J894" t="n">
        <v>1</v>
      </c>
      <c r="K894" t="n">
        <v>0</v>
      </c>
      <c r="L894" t="n">
        <v>0</v>
      </c>
      <c r="M894" t="n">
        <v>0</v>
      </c>
      <c r="N894" t="n">
        <v>0</v>
      </c>
      <c r="O894" t="n">
        <v>1</v>
      </c>
      <c r="P894" t="n">
        <v>0</v>
      </c>
      <c r="Q894" t="n">
        <v>1</v>
      </c>
      <c r="R894" s="2" t="inlineStr">
        <is>
          <t>Lunglav</t>
        </is>
      </c>
      <c r="S894">
        <f>HYPERLINK("https://klasma.github.io/Logging_2582/artfynd/A 25609-2024 artfynd.xlsx", "A 25609-2024")</f>
        <v/>
      </c>
      <c r="T894">
        <f>HYPERLINK("https://klasma.github.io/Logging_2582/kartor/A 25609-2024 karta.png", "A 25609-2024")</f>
        <v/>
      </c>
      <c r="V894">
        <f>HYPERLINK("https://klasma.github.io/Logging_2582/klagomål/A 25609-2024 FSC-klagomål.docx", "A 25609-2024")</f>
        <v/>
      </c>
      <c r="W894">
        <f>HYPERLINK("https://klasma.github.io/Logging_2582/klagomålsmail/A 25609-2024 FSC-klagomål mail.docx", "A 25609-2024")</f>
        <v/>
      </c>
      <c r="X894">
        <f>HYPERLINK("https://klasma.github.io/Logging_2582/tillsyn/A 25609-2024 tillsynsbegäran.docx", "A 25609-2024")</f>
        <v/>
      </c>
      <c r="Y894">
        <f>HYPERLINK("https://klasma.github.io/Logging_2582/tillsynsmail/A 25609-2024 tillsynsbegäran mail.docx", "A 25609-2024")</f>
        <v/>
      </c>
    </row>
    <row r="895" ht="15" customHeight="1">
      <c r="A895" t="inlineStr">
        <is>
          <t>A 25484-2024</t>
        </is>
      </c>
      <c r="B895" s="1" t="n">
        <v>45463</v>
      </c>
      <c r="C895" s="1" t="n">
        <v>45758</v>
      </c>
      <c r="D895" t="inlineStr">
        <is>
          <t>NORRBOTTENS LÄN</t>
        </is>
      </c>
      <c r="E895" t="inlineStr">
        <is>
          <t>PAJALA</t>
        </is>
      </c>
      <c r="F895" t="inlineStr">
        <is>
          <t>Sveaskog</t>
        </is>
      </c>
      <c r="G895" t="n">
        <v>5.9</v>
      </c>
      <c r="H895" t="n">
        <v>0</v>
      </c>
      <c r="I895" t="n">
        <v>0</v>
      </c>
      <c r="J895" t="n">
        <v>1</v>
      </c>
      <c r="K895" t="n">
        <v>0</v>
      </c>
      <c r="L895" t="n">
        <v>0</v>
      </c>
      <c r="M895" t="n">
        <v>0</v>
      </c>
      <c r="N895" t="n">
        <v>0</v>
      </c>
      <c r="O895" t="n">
        <v>1</v>
      </c>
      <c r="P895" t="n">
        <v>0</v>
      </c>
      <c r="Q895" t="n">
        <v>1</v>
      </c>
      <c r="R895" s="2" t="inlineStr">
        <is>
          <t>Violmussling</t>
        </is>
      </c>
      <c r="S895">
        <f>HYPERLINK("https://klasma.github.io/Logging_2521/artfynd/A 25484-2024 artfynd.xlsx", "A 25484-2024")</f>
        <v/>
      </c>
      <c r="T895">
        <f>HYPERLINK("https://klasma.github.io/Logging_2521/kartor/A 25484-2024 karta.png", "A 25484-2024")</f>
        <v/>
      </c>
      <c r="V895">
        <f>HYPERLINK("https://klasma.github.io/Logging_2521/klagomål/A 25484-2024 FSC-klagomål.docx", "A 25484-2024")</f>
        <v/>
      </c>
      <c r="W895">
        <f>HYPERLINK("https://klasma.github.io/Logging_2521/klagomålsmail/A 25484-2024 FSC-klagomål mail.docx", "A 25484-2024")</f>
        <v/>
      </c>
      <c r="X895">
        <f>HYPERLINK("https://klasma.github.io/Logging_2521/tillsyn/A 25484-2024 tillsynsbegäran.docx", "A 25484-2024")</f>
        <v/>
      </c>
      <c r="Y895">
        <f>HYPERLINK("https://klasma.github.io/Logging_2521/tillsynsmail/A 25484-2024 tillsynsbegäran mail.docx", "A 25484-2024")</f>
        <v/>
      </c>
    </row>
    <row r="896" ht="15" customHeight="1">
      <c r="A896" t="inlineStr">
        <is>
          <t>A 25528-2024</t>
        </is>
      </c>
      <c r="B896" s="1" t="n">
        <v>45463</v>
      </c>
      <c r="C896" s="1" t="n">
        <v>45758</v>
      </c>
      <c r="D896" t="inlineStr">
        <is>
          <t>NORRBOTTENS LÄN</t>
        </is>
      </c>
      <c r="E896" t="inlineStr">
        <is>
          <t>LULEÅ</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HYPERLINK("https://klasma.github.io/Logging_2580/artfynd/A 25528-2024 artfynd.xlsx", "A 25528-2024")</f>
        <v/>
      </c>
      <c r="T896">
        <f>HYPERLINK("https://klasma.github.io/Logging_2580/kartor/A 25528-2024 karta.png", "A 25528-2024")</f>
        <v/>
      </c>
      <c r="V896">
        <f>HYPERLINK("https://klasma.github.io/Logging_2580/klagomål/A 25528-2024 FSC-klagomål.docx", "A 25528-2024")</f>
        <v/>
      </c>
      <c r="W896">
        <f>HYPERLINK("https://klasma.github.io/Logging_2580/klagomålsmail/A 25528-2024 FSC-klagomål mail.docx", "A 25528-2024")</f>
        <v/>
      </c>
      <c r="X896">
        <f>HYPERLINK("https://klasma.github.io/Logging_2580/tillsyn/A 25528-2024 tillsynsbegäran.docx", "A 25528-2024")</f>
        <v/>
      </c>
      <c r="Y896">
        <f>HYPERLINK("https://klasma.github.io/Logging_2580/tillsynsmail/A 25528-2024 tillsynsbegäran mail.docx", "A 25528-2024")</f>
        <v/>
      </c>
    </row>
    <row r="897" ht="15" customHeight="1">
      <c r="A897" t="inlineStr">
        <is>
          <t>A 26255-2024</t>
        </is>
      </c>
      <c r="B897" s="1" t="n">
        <v>45468</v>
      </c>
      <c r="C897" s="1" t="n">
        <v>45758</v>
      </c>
      <c r="D897" t="inlineStr">
        <is>
          <t>NORRBOTTENS LÄN</t>
        </is>
      </c>
      <c r="E897" t="inlineStr">
        <is>
          <t>KALIX</t>
        </is>
      </c>
      <c r="G897" t="n">
        <v>5.5</v>
      </c>
      <c r="H897" t="n">
        <v>0</v>
      </c>
      <c r="I897" t="n">
        <v>1</v>
      </c>
      <c r="J897" t="n">
        <v>0</v>
      </c>
      <c r="K897" t="n">
        <v>0</v>
      </c>
      <c r="L897" t="n">
        <v>0</v>
      </c>
      <c r="M897" t="n">
        <v>0</v>
      </c>
      <c r="N897" t="n">
        <v>0</v>
      </c>
      <c r="O897" t="n">
        <v>0</v>
      </c>
      <c r="P897" t="n">
        <v>0</v>
      </c>
      <c r="Q897" t="n">
        <v>1</v>
      </c>
      <c r="R897" s="2" t="inlineStr">
        <is>
          <t>Dropptaggsvamp</t>
        </is>
      </c>
      <c r="S897">
        <f>HYPERLINK("https://klasma.github.io/Logging_2514/artfynd/A 26255-2024 artfynd.xlsx", "A 26255-2024")</f>
        <v/>
      </c>
      <c r="T897">
        <f>HYPERLINK("https://klasma.github.io/Logging_2514/kartor/A 26255-2024 karta.png", "A 26255-2024")</f>
        <v/>
      </c>
      <c r="V897">
        <f>HYPERLINK("https://klasma.github.io/Logging_2514/klagomål/A 26255-2024 FSC-klagomål.docx", "A 26255-2024")</f>
        <v/>
      </c>
      <c r="W897">
        <f>HYPERLINK("https://klasma.github.io/Logging_2514/klagomålsmail/A 26255-2024 FSC-klagomål mail.docx", "A 26255-2024")</f>
        <v/>
      </c>
      <c r="X897">
        <f>HYPERLINK("https://klasma.github.io/Logging_2514/tillsyn/A 26255-2024 tillsynsbegäran.docx", "A 26255-2024")</f>
        <v/>
      </c>
      <c r="Y897">
        <f>HYPERLINK("https://klasma.github.io/Logging_2514/tillsynsmail/A 26255-2024 tillsynsbegäran mail.docx", "A 26255-2024")</f>
        <v/>
      </c>
    </row>
    <row r="898" ht="15" customHeight="1">
      <c r="A898" t="inlineStr">
        <is>
          <t>A 26551-2024</t>
        </is>
      </c>
      <c r="B898" s="1" t="n">
        <v>45469</v>
      </c>
      <c r="C898" s="1" t="n">
        <v>45758</v>
      </c>
      <c r="D898" t="inlineStr">
        <is>
          <t>NORRBOTTENS LÄN</t>
        </is>
      </c>
      <c r="E898" t="inlineStr">
        <is>
          <t>GÄLLIVARE</t>
        </is>
      </c>
      <c r="F898" t="inlineStr">
        <is>
          <t>Sveaskog</t>
        </is>
      </c>
      <c r="G898" t="n">
        <v>8.699999999999999</v>
      </c>
      <c r="H898" t="n">
        <v>0</v>
      </c>
      <c r="I898" t="n">
        <v>0</v>
      </c>
      <c r="J898" t="n">
        <v>1</v>
      </c>
      <c r="K898" t="n">
        <v>0</v>
      </c>
      <c r="L898" t="n">
        <v>0</v>
      </c>
      <c r="M898" t="n">
        <v>0</v>
      </c>
      <c r="N898" t="n">
        <v>0</v>
      </c>
      <c r="O898" t="n">
        <v>1</v>
      </c>
      <c r="P898" t="n">
        <v>0</v>
      </c>
      <c r="Q898" t="n">
        <v>1</v>
      </c>
      <c r="R898" s="2" t="inlineStr">
        <is>
          <t>Lunglav</t>
        </is>
      </c>
      <c r="S898">
        <f>HYPERLINK("https://klasma.github.io/Logging_2523/artfynd/A 26551-2024 artfynd.xlsx", "A 26551-2024")</f>
        <v/>
      </c>
      <c r="T898">
        <f>HYPERLINK("https://klasma.github.io/Logging_2523/kartor/A 26551-2024 karta.png", "A 26551-2024")</f>
        <v/>
      </c>
      <c r="V898">
        <f>HYPERLINK("https://klasma.github.io/Logging_2523/klagomål/A 26551-2024 FSC-klagomål.docx", "A 26551-2024")</f>
        <v/>
      </c>
      <c r="W898">
        <f>HYPERLINK("https://klasma.github.io/Logging_2523/klagomålsmail/A 26551-2024 FSC-klagomål mail.docx", "A 26551-2024")</f>
        <v/>
      </c>
      <c r="X898">
        <f>HYPERLINK("https://klasma.github.io/Logging_2523/tillsyn/A 26551-2024 tillsynsbegäran.docx", "A 26551-2024")</f>
        <v/>
      </c>
      <c r="Y898">
        <f>HYPERLINK("https://klasma.github.io/Logging_2523/tillsynsmail/A 26551-2024 tillsynsbegäran mail.docx", "A 26551-2024")</f>
        <v/>
      </c>
    </row>
    <row r="899" ht="15" customHeight="1">
      <c r="A899" t="inlineStr">
        <is>
          <t>A 26595-2024</t>
        </is>
      </c>
      <c r="B899" s="1" t="n">
        <v>45469</v>
      </c>
      <c r="C899" s="1" t="n">
        <v>45758</v>
      </c>
      <c r="D899" t="inlineStr">
        <is>
          <t>NORRBOTTENS LÄN</t>
        </is>
      </c>
      <c r="E899" t="inlineStr">
        <is>
          <t>BODEN</t>
        </is>
      </c>
      <c r="F899" t="inlineStr">
        <is>
          <t>Sveaskog</t>
        </is>
      </c>
      <c r="G899" t="n">
        <v>32.7</v>
      </c>
      <c r="H899" t="n">
        <v>0</v>
      </c>
      <c r="I899" t="n">
        <v>0</v>
      </c>
      <c r="J899" t="n">
        <v>1</v>
      </c>
      <c r="K899" t="n">
        <v>0</v>
      </c>
      <c r="L899" t="n">
        <v>0</v>
      </c>
      <c r="M899" t="n">
        <v>0</v>
      </c>
      <c r="N899" t="n">
        <v>0</v>
      </c>
      <c r="O899" t="n">
        <v>1</v>
      </c>
      <c r="P899" t="n">
        <v>0</v>
      </c>
      <c r="Q899" t="n">
        <v>1</v>
      </c>
      <c r="R899" s="2" t="inlineStr">
        <is>
          <t>Lunglav</t>
        </is>
      </c>
      <c r="S899">
        <f>HYPERLINK("https://klasma.github.io/Logging_2582/artfynd/A 26595-2024 artfynd.xlsx", "A 26595-2024")</f>
        <v/>
      </c>
      <c r="T899">
        <f>HYPERLINK("https://klasma.github.io/Logging_2582/kartor/A 26595-2024 karta.png", "A 26595-2024")</f>
        <v/>
      </c>
      <c r="V899">
        <f>HYPERLINK("https://klasma.github.io/Logging_2582/klagomål/A 26595-2024 FSC-klagomål.docx", "A 26595-2024")</f>
        <v/>
      </c>
      <c r="W899">
        <f>HYPERLINK("https://klasma.github.io/Logging_2582/klagomålsmail/A 26595-2024 FSC-klagomål mail.docx", "A 26595-2024")</f>
        <v/>
      </c>
      <c r="X899">
        <f>HYPERLINK("https://klasma.github.io/Logging_2582/tillsyn/A 26595-2024 tillsynsbegäran.docx", "A 26595-2024")</f>
        <v/>
      </c>
      <c r="Y899">
        <f>HYPERLINK("https://klasma.github.io/Logging_2582/tillsynsmail/A 26595-2024 tillsynsbegäran mail.docx", "A 26595-2024")</f>
        <v/>
      </c>
    </row>
    <row r="900" ht="15" customHeight="1">
      <c r="A900" t="inlineStr">
        <is>
          <t>A 26552-2024</t>
        </is>
      </c>
      <c r="B900" s="1" t="n">
        <v>45469</v>
      </c>
      <c r="C900" s="1" t="n">
        <v>45758</v>
      </c>
      <c r="D900" t="inlineStr">
        <is>
          <t>NORRBOTTENS LÄN</t>
        </is>
      </c>
      <c r="E900" t="inlineStr">
        <is>
          <t>GÄLLIVARE</t>
        </is>
      </c>
      <c r="F900" t="inlineStr">
        <is>
          <t>Sveaskog</t>
        </is>
      </c>
      <c r="G900" t="n">
        <v>5.1</v>
      </c>
      <c r="H900" t="n">
        <v>0</v>
      </c>
      <c r="I900" t="n">
        <v>0</v>
      </c>
      <c r="J900" t="n">
        <v>1</v>
      </c>
      <c r="K900" t="n">
        <v>0</v>
      </c>
      <c r="L900" t="n">
        <v>0</v>
      </c>
      <c r="M900" t="n">
        <v>0</v>
      </c>
      <c r="N900" t="n">
        <v>0</v>
      </c>
      <c r="O900" t="n">
        <v>1</v>
      </c>
      <c r="P900" t="n">
        <v>0</v>
      </c>
      <c r="Q900" t="n">
        <v>1</v>
      </c>
      <c r="R900" s="2" t="inlineStr">
        <is>
          <t>Garnlav</t>
        </is>
      </c>
      <c r="S900">
        <f>HYPERLINK("https://klasma.github.io/Logging_2523/artfynd/A 26552-2024 artfynd.xlsx", "A 26552-2024")</f>
        <v/>
      </c>
      <c r="T900">
        <f>HYPERLINK("https://klasma.github.io/Logging_2523/kartor/A 26552-2024 karta.png", "A 26552-2024")</f>
        <v/>
      </c>
      <c r="V900">
        <f>HYPERLINK("https://klasma.github.io/Logging_2523/klagomål/A 26552-2024 FSC-klagomål.docx", "A 26552-2024")</f>
        <v/>
      </c>
      <c r="W900">
        <f>HYPERLINK("https://klasma.github.io/Logging_2523/klagomålsmail/A 26552-2024 FSC-klagomål mail.docx", "A 26552-2024")</f>
        <v/>
      </c>
      <c r="X900">
        <f>HYPERLINK("https://klasma.github.io/Logging_2523/tillsyn/A 26552-2024 tillsynsbegäran.docx", "A 26552-2024")</f>
        <v/>
      </c>
      <c r="Y900">
        <f>HYPERLINK("https://klasma.github.io/Logging_2523/tillsynsmail/A 26552-2024 tillsynsbegäran mail.docx", "A 26552-2024")</f>
        <v/>
      </c>
    </row>
    <row r="901" ht="15" customHeight="1">
      <c r="A901" t="inlineStr">
        <is>
          <t>A 28106-2024</t>
        </is>
      </c>
      <c r="B901" s="1" t="n">
        <v>45476</v>
      </c>
      <c r="C901" s="1" t="n">
        <v>45758</v>
      </c>
      <c r="D901" t="inlineStr">
        <is>
          <t>NORRBOTTENS LÄN</t>
        </is>
      </c>
      <c r="E901" t="inlineStr">
        <is>
          <t>GÄLLIVARE</t>
        </is>
      </c>
      <c r="F901" t="inlineStr">
        <is>
          <t>Sveaskog</t>
        </is>
      </c>
      <c r="G901" t="n">
        <v>1.1</v>
      </c>
      <c r="H901" t="n">
        <v>1</v>
      </c>
      <c r="I901" t="n">
        <v>0</v>
      </c>
      <c r="J901" t="n">
        <v>0</v>
      </c>
      <c r="K901" t="n">
        <v>1</v>
      </c>
      <c r="L901" t="n">
        <v>0</v>
      </c>
      <c r="M901" t="n">
        <v>0</v>
      </c>
      <c r="N901" t="n">
        <v>0</v>
      </c>
      <c r="O901" t="n">
        <v>1</v>
      </c>
      <c r="P901" t="n">
        <v>1</v>
      </c>
      <c r="Q901" t="n">
        <v>1</v>
      </c>
      <c r="R901" s="2" t="inlineStr">
        <is>
          <t>Doftticka</t>
        </is>
      </c>
      <c r="S901">
        <f>HYPERLINK("https://klasma.github.io/Logging_2523/artfynd/A 28106-2024 artfynd.xlsx", "A 28106-2024")</f>
        <v/>
      </c>
      <c r="T901">
        <f>HYPERLINK("https://klasma.github.io/Logging_2523/kartor/A 28106-2024 karta.png", "A 28106-2024")</f>
        <v/>
      </c>
      <c r="V901">
        <f>HYPERLINK("https://klasma.github.io/Logging_2523/klagomål/A 28106-2024 FSC-klagomål.docx", "A 28106-2024")</f>
        <v/>
      </c>
      <c r="W901">
        <f>HYPERLINK("https://klasma.github.io/Logging_2523/klagomålsmail/A 28106-2024 FSC-klagomål mail.docx", "A 28106-2024")</f>
        <v/>
      </c>
      <c r="X901">
        <f>HYPERLINK("https://klasma.github.io/Logging_2523/tillsyn/A 28106-2024 tillsynsbegäran.docx", "A 28106-2024")</f>
        <v/>
      </c>
      <c r="Y901">
        <f>HYPERLINK("https://klasma.github.io/Logging_2523/tillsynsmail/A 28106-2024 tillsynsbegäran mail.docx", "A 28106-2024")</f>
        <v/>
      </c>
    </row>
    <row r="902" ht="15" customHeight="1">
      <c r="A902" t="inlineStr">
        <is>
          <t>A 28428-2024</t>
        </is>
      </c>
      <c r="B902" s="1" t="n">
        <v>45477</v>
      </c>
      <c r="C902" s="1" t="n">
        <v>45758</v>
      </c>
      <c r="D902" t="inlineStr">
        <is>
          <t>NORRBOTTENS LÄN</t>
        </is>
      </c>
      <c r="E902" t="inlineStr">
        <is>
          <t>PAJALA</t>
        </is>
      </c>
      <c r="G902" t="n">
        <v>44.7</v>
      </c>
      <c r="H902" t="n">
        <v>0</v>
      </c>
      <c r="I902" t="n">
        <v>0</v>
      </c>
      <c r="J902" t="n">
        <v>0</v>
      </c>
      <c r="K902" t="n">
        <v>1</v>
      </c>
      <c r="L902" t="n">
        <v>0</v>
      </c>
      <c r="M902" t="n">
        <v>0</v>
      </c>
      <c r="N902" t="n">
        <v>0</v>
      </c>
      <c r="O902" t="n">
        <v>1</v>
      </c>
      <c r="P902" t="n">
        <v>1</v>
      </c>
      <c r="Q902" t="n">
        <v>1</v>
      </c>
      <c r="R902" s="2" t="inlineStr">
        <is>
          <t>Gräddporing</t>
        </is>
      </c>
      <c r="S902">
        <f>HYPERLINK("https://klasma.github.io/Logging_2521/artfynd/A 28428-2024 artfynd.xlsx", "A 28428-2024")</f>
        <v/>
      </c>
      <c r="T902">
        <f>HYPERLINK("https://klasma.github.io/Logging_2521/kartor/A 28428-2024 karta.png", "A 28428-2024")</f>
        <v/>
      </c>
      <c r="V902">
        <f>HYPERLINK("https://klasma.github.io/Logging_2521/klagomål/A 28428-2024 FSC-klagomål.docx", "A 28428-2024")</f>
        <v/>
      </c>
      <c r="W902">
        <f>HYPERLINK("https://klasma.github.io/Logging_2521/klagomålsmail/A 28428-2024 FSC-klagomål mail.docx", "A 28428-2024")</f>
        <v/>
      </c>
      <c r="X902">
        <f>HYPERLINK("https://klasma.github.io/Logging_2521/tillsyn/A 28428-2024 tillsynsbegäran.docx", "A 28428-2024")</f>
        <v/>
      </c>
      <c r="Y902">
        <f>HYPERLINK("https://klasma.github.io/Logging_2521/tillsynsmail/A 28428-2024 tillsynsbegäran mail.docx", "A 28428-2024")</f>
        <v/>
      </c>
    </row>
    <row r="903" ht="15" customHeight="1">
      <c r="A903" t="inlineStr">
        <is>
          <t>A 29679-2024</t>
        </is>
      </c>
      <c r="B903" s="1" t="n">
        <v>45485</v>
      </c>
      <c r="C903" s="1" t="n">
        <v>45758</v>
      </c>
      <c r="D903" t="inlineStr">
        <is>
          <t>NORRBOTTENS LÄN</t>
        </is>
      </c>
      <c r="E903" t="inlineStr">
        <is>
          <t>JOKKMOKK</t>
        </is>
      </c>
      <c r="F903" t="inlineStr">
        <is>
          <t>SCA</t>
        </is>
      </c>
      <c r="G903" t="n">
        <v>16.1</v>
      </c>
      <c r="H903" t="n">
        <v>0</v>
      </c>
      <c r="I903" t="n">
        <v>0</v>
      </c>
      <c r="J903" t="n">
        <v>1</v>
      </c>
      <c r="K903" t="n">
        <v>0</v>
      </c>
      <c r="L903" t="n">
        <v>0</v>
      </c>
      <c r="M903" t="n">
        <v>0</v>
      </c>
      <c r="N903" t="n">
        <v>0</v>
      </c>
      <c r="O903" t="n">
        <v>1</v>
      </c>
      <c r="P903" t="n">
        <v>0</v>
      </c>
      <c r="Q903" t="n">
        <v>1</v>
      </c>
      <c r="R903" s="2" t="inlineStr">
        <is>
          <t>Kolflarnlav</t>
        </is>
      </c>
      <c r="S903">
        <f>HYPERLINK("https://klasma.github.io/Logging_2510/artfynd/A 29679-2024 artfynd.xlsx", "A 29679-2024")</f>
        <v/>
      </c>
      <c r="T903">
        <f>HYPERLINK("https://klasma.github.io/Logging_2510/kartor/A 29679-2024 karta.png", "A 29679-2024")</f>
        <v/>
      </c>
      <c r="V903">
        <f>HYPERLINK("https://klasma.github.io/Logging_2510/klagomål/A 29679-2024 FSC-klagomål.docx", "A 29679-2024")</f>
        <v/>
      </c>
      <c r="W903">
        <f>HYPERLINK("https://klasma.github.io/Logging_2510/klagomålsmail/A 29679-2024 FSC-klagomål mail.docx", "A 29679-2024")</f>
        <v/>
      </c>
      <c r="X903">
        <f>HYPERLINK("https://klasma.github.io/Logging_2510/tillsyn/A 29679-2024 tillsynsbegäran.docx", "A 29679-2024")</f>
        <v/>
      </c>
      <c r="Y903">
        <f>HYPERLINK("https://klasma.github.io/Logging_2510/tillsynsmail/A 29679-2024 tillsynsbegäran mail.docx", "A 29679-2024")</f>
        <v/>
      </c>
    </row>
    <row r="904" ht="15" customHeight="1">
      <c r="A904" t="inlineStr">
        <is>
          <t>A 30225-2024</t>
        </is>
      </c>
      <c r="B904" s="1" t="n">
        <v>45490</v>
      </c>
      <c r="C904" s="1" t="n">
        <v>45758</v>
      </c>
      <c r="D904" t="inlineStr">
        <is>
          <t>NORRBOTTENS LÄN</t>
        </is>
      </c>
      <c r="E904" t="inlineStr">
        <is>
          <t>PITEÅ</t>
        </is>
      </c>
      <c r="G904" t="n">
        <v>2.9</v>
      </c>
      <c r="H904" t="n">
        <v>0</v>
      </c>
      <c r="I904" t="n">
        <v>0</v>
      </c>
      <c r="J904" t="n">
        <v>1</v>
      </c>
      <c r="K904" t="n">
        <v>0</v>
      </c>
      <c r="L904" t="n">
        <v>0</v>
      </c>
      <c r="M904" t="n">
        <v>0</v>
      </c>
      <c r="N904" t="n">
        <v>0</v>
      </c>
      <c r="O904" t="n">
        <v>1</v>
      </c>
      <c r="P904" t="n">
        <v>0</v>
      </c>
      <c r="Q904" t="n">
        <v>1</v>
      </c>
      <c r="R904" s="2" t="inlineStr">
        <is>
          <t>Garnlav</t>
        </is>
      </c>
      <c r="S904">
        <f>HYPERLINK("https://klasma.github.io/Logging_2581/artfynd/A 30225-2024 artfynd.xlsx", "A 30225-2024")</f>
        <v/>
      </c>
      <c r="T904">
        <f>HYPERLINK("https://klasma.github.io/Logging_2581/kartor/A 30225-2024 karta.png", "A 30225-2024")</f>
        <v/>
      </c>
      <c r="V904">
        <f>HYPERLINK("https://klasma.github.io/Logging_2581/klagomål/A 30225-2024 FSC-klagomål.docx", "A 30225-2024")</f>
        <v/>
      </c>
      <c r="W904">
        <f>HYPERLINK("https://klasma.github.io/Logging_2581/klagomålsmail/A 30225-2024 FSC-klagomål mail.docx", "A 30225-2024")</f>
        <v/>
      </c>
      <c r="X904">
        <f>HYPERLINK("https://klasma.github.io/Logging_2581/tillsyn/A 30225-2024 tillsynsbegäran.docx", "A 30225-2024")</f>
        <v/>
      </c>
      <c r="Y904">
        <f>HYPERLINK("https://klasma.github.io/Logging_2581/tillsynsmail/A 30225-2024 tillsynsbegäran mail.docx", "A 30225-2024")</f>
        <v/>
      </c>
    </row>
    <row r="905" ht="15" customHeight="1">
      <c r="A905" t="inlineStr">
        <is>
          <t>A 31272-2024</t>
        </is>
      </c>
      <c r="B905" s="1" t="n">
        <v>45504</v>
      </c>
      <c r="C905" s="1" t="n">
        <v>45758</v>
      </c>
      <c r="D905" t="inlineStr">
        <is>
          <t>NORRBOTTENS LÄN</t>
        </is>
      </c>
      <c r="E905" t="inlineStr">
        <is>
          <t>BODEN</t>
        </is>
      </c>
      <c r="F905" t="inlineStr">
        <is>
          <t>Sveaskog</t>
        </is>
      </c>
      <c r="G905" t="n">
        <v>24.2</v>
      </c>
      <c r="H905" t="n">
        <v>0</v>
      </c>
      <c r="I905" t="n">
        <v>1</v>
      </c>
      <c r="J905" t="n">
        <v>0</v>
      </c>
      <c r="K905" t="n">
        <v>0</v>
      </c>
      <c r="L905" t="n">
        <v>0</v>
      </c>
      <c r="M905" t="n">
        <v>0</v>
      </c>
      <c r="N905" t="n">
        <v>0</v>
      </c>
      <c r="O905" t="n">
        <v>0</v>
      </c>
      <c r="P905" t="n">
        <v>0</v>
      </c>
      <c r="Q905" t="n">
        <v>1</v>
      </c>
      <c r="R905" s="2" t="inlineStr">
        <is>
          <t>Skarp dropptaggsvamp</t>
        </is>
      </c>
      <c r="S905">
        <f>HYPERLINK("https://klasma.github.io/Logging_2582/artfynd/A 31272-2024 artfynd.xlsx", "A 31272-2024")</f>
        <v/>
      </c>
      <c r="T905">
        <f>HYPERLINK("https://klasma.github.io/Logging_2582/kartor/A 31272-2024 karta.png", "A 31272-2024")</f>
        <v/>
      </c>
      <c r="V905">
        <f>HYPERLINK("https://klasma.github.io/Logging_2582/klagomål/A 31272-2024 FSC-klagomål.docx", "A 31272-2024")</f>
        <v/>
      </c>
      <c r="W905">
        <f>HYPERLINK("https://klasma.github.io/Logging_2582/klagomålsmail/A 31272-2024 FSC-klagomål mail.docx", "A 31272-2024")</f>
        <v/>
      </c>
      <c r="X905">
        <f>HYPERLINK("https://klasma.github.io/Logging_2582/tillsyn/A 31272-2024 tillsynsbegäran.docx", "A 31272-2024")</f>
        <v/>
      </c>
      <c r="Y905">
        <f>HYPERLINK("https://klasma.github.io/Logging_2582/tillsynsmail/A 31272-2024 tillsynsbegäran mail.docx", "A 31272-2024")</f>
        <v/>
      </c>
    </row>
    <row r="906" ht="15" customHeight="1">
      <c r="A906" t="inlineStr">
        <is>
          <t>A 32599-2024</t>
        </is>
      </c>
      <c r="B906" s="1" t="n">
        <v>45513</v>
      </c>
      <c r="C906" s="1" t="n">
        <v>45758</v>
      </c>
      <c r="D906" t="inlineStr">
        <is>
          <t>NORRBOTTENS LÄN</t>
        </is>
      </c>
      <c r="E906" t="inlineStr">
        <is>
          <t>ARVIDSJAUR</t>
        </is>
      </c>
      <c r="F906" t="inlineStr">
        <is>
          <t>Sveaskog</t>
        </is>
      </c>
      <c r="G906" t="n">
        <v>12.2</v>
      </c>
      <c r="H906" t="n">
        <v>0</v>
      </c>
      <c r="I906" t="n">
        <v>0</v>
      </c>
      <c r="J906" t="n">
        <v>1</v>
      </c>
      <c r="K906" t="n">
        <v>0</v>
      </c>
      <c r="L906" t="n">
        <v>0</v>
      </c>
      <c r="M906" t="n">
        <v>0</v>
      </c>
      <c r="N906" t="n">
        <v>0</v>
      </c>
      <c r="O906" t="n">
        <v>1</v>
      </c>
      <c r="P906" t="n">
        <v>0</v>
      </c>
      <c r="Q906" t="n">
        <v>1</v>
      </c>
      <c r="R906" s="2" t="inlineStr">
        <is>
          <t>Lunglav</t>
        </is>
      </c>
      <c r="S906">
        <f>HYPERLINK("https://klasma.github.io/Logging_2505/artfynd/A 32599-2024 artfynd.xlsx", "A 32599-2024")</f>
        <v/>
      </c>
      <c r="T906">
        <f>HYPERLINK("https://klasma.github.io/Logging_2505/kartor/A 32599-2024 karta.png", "A 32599-2024")</f>
        <v/>
      </c>
      <c r="V906">
        <f>HYPERLINK("https://klasma.github.io/Logging_2505/klagomål/A 32599-2024 FSC-klagomål.docx", "A 32599-2024")</f>
        <v/>
      </c>
      <c r="W906">
        <f>HYPERLINK("https://klasma.github.io/Logging_2505/klagomålsmail/A 32599-2024 FSC-klagomål mail.docx", "A 32599-2024")</f>
        <v/>
      </c>
      <c r="X906">
        <f>HYPERLINK("https://klasma.github.io/Logging_2505/tillsyn/A 32599-2024 tillsynsbegäran.docx", "A 32599-2024")</f>
        <v/>
      </c>
      <c r="Y906">
        <f>HYPERLINK("https://klasma.github.io/Logging_2505/tillsynsmail/A 32599-2024 tillsynsbegäran mail.docx", "A 32599-2024")</f>
        <v/>
      </c>
    </row>
    <row r="907" ht="15" customHeight="1">
      <c r="A907" t="inlineStr">
        <is>
          <t>A 32600-2024</t>
        </is>
      </c>
      <c r="B907" s="1" t="n">
        <v>45513</v>
      </c>
      <c r="C907" s="1" t="n">
        <v>45758</v>
      </c>
      <c r="D907" t="inlineStr">
        <is>
          <t>NORRBOTTENS LÄN</t>
        </is>
      </c>
      <c r="E907" t="inlineStr">
        <is>
          <t>BODEN</t>
        </is>
      </c>
      <c r="G907" t="n">
        <v>2.5</v>
      </c>
      <c r="H907" t="n">
        <v>0</v>
      </c>
      <c r="I907" t="n">
        <v>0</v>
      </c>
      <c r="J907" t="n">
        <v>1</v>
      </c>
      <c r="K907" t="n">
        <v>0</v>
      </c>
      <c r="L907" t="n">
        <v>0</v>
      </c>
      <c r="M907" t="n">
        <v>0</v>
      </c>
      <c r="N907" t="n">
        <v>0</v>
      </c>
      <c r="O907" t="n">
        <v>1</v>
      </c>
      <c r="P907" t="n">
        <v>0</v>
      </c>
      <c r="Q907" t="n">
        <v>1</v>
      </c>
      <c r="R907" s="2" t="inlineStr">
        <is>
          <t>Lunglav</t>
        </is>
      </c>
      <c r="S907">
        <f>HYPERLINK("https://klasma.github.io/Logging_2582/artfynd/A 32600-2024 artfynd.xlsx", "A 32600-2024")</f>
        <v/>
      </c>
      <c r="T907">
        <f>HYPERLINK("https://klasma.github.io/Logging_2582/kartor/A 32600-2024 karta.png", "A 32600-2024")</f>
        <v/>
      </c>
      <c r="V907">
        <f>HYPERLINK("https://klasma.github.io/Logging_2582/klagomål/A 32600-2024 FSC-klagomål.docx", "A 32600-2024")</f>
        <v/>
      </c>
      <c r="W907">
        <f>HYPERLINK("https://klasma.github.io/Logging_2582/klagomålsmail/A 32600-2024 FSC-klagomål mail.docx", "A 32600-2024")</f>
        <v/>
      </c>
      <c r="X907">
        <f>HYPERLINK("https://klasma.github.io/Logging_2582/tillsyn/A 32600-2024 tillsynsbegäran.docx", "A 32600-2024")</f>
        <v/>
      </c>
      <c r="Y907">
        <f>HYPERLINK("https://klasma.github.io/Logging_2582/tillsynsmail/A 32600-2024 tillsynsbegäran mail.docx", "A 32600-2024")</f>
        <v/>
      </c>
    </row>
    <row r="908" ht="15" customHeight="1">
      <c r="A908" t="inlineStr">
        <is>
          <t>A 32902-2024</t>
        </is>
      </c>
      <c r="B908" s="1" t="n">
        <v>45517</v>
      </c>
      <c r="C908" s="1" t="n">
        <v>45758</v>
      </c>
      <c r="D908" t="inlineStr">
        <is>
          <t>NORRBOTTENS LÄN</t>
        </is>
      </c>
      <c r="E908" t="inlineStr">
        <is>
          <t>PITEÅ</t>
        </is>
      </c>
      <c r="F908" t="inlineStr">
        <is>
          <t>SCA</t>
        </is>
      </c>
      <c r="G908" t="n">
        <v>6.2</v>
      </c>
      <c r="H908" t="n">
        <v>0</v>
      </c>
      <c r="I908" t="n">
        <v>1</v>
      </c>
      <c r="J908" t="n">
        <v>0</v>
      </c>
      <c r="K908" t="n">
        <v>0</v>
      </c>
      <c r="L908" t="n">
        <v>0</v>
      </c>
      <c r="M908" t="n">
        <v>0</v>
      </c>
      <c r="N908" t="n">
        <v>0</v>
      </c>
      <c r="O908" t="n">
        <v>0</v>
      </c>
      <c r="P908" t="n">
        <v>0</v>
      </c>
      <c r="Q908" t="n">
        <v>1</v>
      </c>
      <c r="R908" s="2" t="inlineStr">
        <is>
          <t>Stuplav</t>
        </is>
      </c>
      <c r="S908">
        <f>HYPERLINK("https://klasma.github.io/Logging_2581/artfynd/A 32902-2024 artfynd.xlsx", "A 32902-2024")</f>
        <v/>
      </c>
      <c r="T908">
        <f>HYPERLINK("https://klasma.github.io/Logging_2581/kartor/A 32902-2024 karta.png", "A 32902-2024")</f>
        <v/>
      </c>
      <c r="V908">
        <f>HYPERLINK("https://klasma.github.io/Logging_2581/klagomål/A 32902-2024 FSC-klagomål.docx", "A 32902-2024")</f>
        <v/>
      </c>
      <c r="W908">
        <f>HYPERLINK("https://klasma.github.io/Logging_2581/klagomålsmail/A 32902-2024 FSC-klagomål mail.docx", "A 32902-2024")</f>
        <v/>
      </c>
      <c r="X908">
        <f>HYPERLINK("https://klasma.github.io/Logging_2581/tillsyn/A 32902-2024 tillsynsbegäran.docx", "A 32902-2024")</f>
        <v/>
      </c>
      <c r="Y908">
        <f>HYPERLINK("https://klasma.github.io/Logging_2581/tillsynsmail/A 32902-2024 tillsynsbegäran mail.docx", "A 32902-2024")</f>
        <v/>
      </c>
    </row>
    <row r="909" ht="15" customHeight="1">
      <c r="A909" t="inlineStr">
        <is>
          <t>A 32828-2024</t>
        </is>
      </c>
      <c r="B909" s="1" t="n">
        <v>45516</v>
      </c>
      <c r="C909" s="1" t="n">
        <v>45758</v>
      </c>
      <c r="D909" t="inlineStr">
        <is>
          <t>NORRBOTTENS LÄN</t>
        </is>
      </c>
      <c r="E909" t="inlineStr">
        <is>
          <t>GÄLLIVARE</t>
        </is>
      </c>
      <c r="F909" t="inlineStr">
        <is>
          <t>Sveaskog</t>
        </is>
      </c>
      <c r="G909" t="n">
        <v>27.1</v>
      </c>
      <c r="H909" t="n">
        <v>1</v>
      </c>
      <c r="I909" t="n">
        <v>0</v>
      </c>
      <c r="J909" t="n">
        <v>0</v>
      </c>
      <c r="K909" t="n">
        <v>1</v>
      </c>
      <c r="L909" t="n">
        <v>0</v>
      </c>
      <c r="M909" t="n">
        <v>0</v>
      </c>
      <c r="N909" t="n">
        <v>0</v>
      </c>
      <c r="O909" t="n">
        <v>1</v>
      </c>
      <c r="P909" t="n">
        <v>1</v>
      </c>
      <c r="Q909" t="n">
        <v>1</v>
      </c>
      <c r="R909" s="2" t="inlineStr">
        <is>
          <t>Doftticka</t>
        </is>
      </c>
      <c r="S909">
        <f>HYPERLINK("https://klasma.github.io/Logging_2523/artfynd/A 32828-2024 artfynd.xlsx", "A 32828-2024")</f>
        <v/>
      </c>
      <c r="T909">
        <f>HYPERLINK("https://klasma.github.io/Logging_2523/kartor/A 32828-2024 karta.png", "A 32828-2024")</f>
        <v/>
      </c>
      <c r="V909">
        <f>HYPERLINK("https://klasma.github.io/Logging_2523/klagomål/A 32828-2024 FSC-klagomål.docx", "A 32828-2024")</f>
        <v/>
      </c>
      <c r="W909">
        <f>HYPERLINK("https://klasma.github.io/Logging_2523/klagomålsmail/A 32828-2024 FSC-klagomål mail.docx", "A 32828-2024")</f>
        <v/>
      </c>
      <c r="X909">
        <f>HYPERLINK("https://klasma.github.io/Logging_2523/tillsyn/A 32828-2024 tillsynsbegäran.docx", "A 32828-2024")</f>
        <v/>
      </c>
      <c r="Y909">
        <f>HYPERLINK("https://klasma.github.io/Logging_2523/tillsynsmail/A 32828-2024 tillsynsbegäran mail.docx", "A 32828-2024")</f>
        <v/>
      </c>
    </row>
    <row r="910" ht="15" customHeight="1">
      <c r="A910" t="inlineStr">
        <is>
          <t>A 33834-2024</t>
        </is>
      </c>
      <c r="B910" s="1" t="n">
        <v>45520</v>
      </c>
      <c r="C910" s="1" t="n">
        <v>45758</v>
      </c>
      <c r="D910" t="inlineStr">
        <is>
          <t>NORRBOTTENS LÄN</t>
        </is>
      </c>
      <c r="E910" t="inlineStr">
        <is>
          <t>ÖVERKALIX</t>
        </is>
      </c>
      <c r="F910" t="inlineStr">
        <is>
          <t>Sveaskog</t>
        </is>
      </c>
      <c r="G910" t="n">
        <v>8.300000000000001</v>
      </c>
      <c r="H910" t="n">
        <v>0</v>
      </c>
      <c r="I910" t="n">
        <v>1</v>
      </c>
      <c r="J910" t="n">
        <v>0</v>
      </c>
      <c r="K910" t="n">
        <v>0</v>
      </c>
      <c r="L910" t="n">
        <v>0</v>
      </c>
      <c r="M910" t="n">
        <v>0</v>
      </c>
      <c r="N910" t="n">
        <v>0</v>
      </c>
      <c r="O910" t="n">
        <v>0</v>
      </c>
      <c r="P910" t="n">
        <v>0</v>
      </c>
      <c r="Q910" t="n">
        <v>1</v>
      </c>
      <c r="R910" s="2" t="inlineStr">
        <is>
          <t>Dropptaggsvamp</t>
        </is>
      </c>
      <c r="S910">
        <f>HYPERLINK("https://klasma.github.io/Logging_2513/artfynd/A 33834-2024 artfynd.xlsx", "A 33834-2024")</f>
        <v/>
      </c>
      <c r="T910">
        <f>HYPERLINK("https://klasma.github.io/Logging_2513/kartor/A 33834-2024 karta.png", "A 33834-2024")</f>
        <v/>
      </c>
      <c r="V910">
        <f>HYPERLINK("https://klasma.github.io/Logging_2513/klagomål/A 33834-2024 FSC-klagomål.docx", "A 33834-2024")</f>
        <v/>
      </c>
      <c r="W910">
        <f>HYPERLINK("https://klasma.github.io/Logging_2513/klagomålsmail/A 33834-2024 FSC-klagomål mail.docx", "A 33834-2024")</f>
        <v/>
      </c>
      <c r="X910">
        <f>HYPERLINK("https://klasma.github.io/Logging_2513/tillsyn/A 33834-2024 tillsynsbegäran.docx", "A 33834-2024")</f>
        <v/>
      </c>
      <c r="Y910">
        <f>HYPERLINK("https://klasma.github.io/Logging_2513/tillsynsmail/A 33834-2024 tillsynsbegäran mail.docx", "A 33834-2024")</f>
        <v/>
      </c>
    </row>
    <row r="911" ht="15" customHeight="1">
      <c r="A911" t="inlineStr">
        <is>
          <t>A 33674-2024</t>
        </is>
      </c>
      <c r="B911" s="1" t="n">
        <v>45520</v>
      </c>
      <c r="C911" s="1" t="n">
        <v>45758</v>
      </c>
      <c r="D911" t="inlineStr">
        <is>
          <t>NORRBOTTENS LÄN</t>
        </is>
      </c>
      <c r="E911" t="inlineStr">
        <is>
          <t>BODEN</t>
        </is>
      </c>
      <c r="F911" t="inlineStr">
        <is>
          <t>Sveaskog</t>
        </is>
      </c>
      <c r="G911" t="n">
        <v>6.6</v>
      </c>
      <c r="H911" t="n">
        <v>0</v>
      </c>
      <c r="I911" t="n">
        <v>0</v>
      </c>
      <c r="J911" t="n">
        <v>1</v>
      </c>
      <c r="K911" t="n">
        <v>0</v>
      </c>
      <c r="L911" t="n">
        <v>0</v>
      </c>
      <c r="M911" t="n">
        <v>0</v>
      </c>
      <c r="N911" t="n">
        <v>0</v>
      </c>
      <c r="O911" t="n">
        <v>1</v>
      </c>
      <c r="P911" t="n">
        <v>0</v>
      </c>
      <c r="Q911" t="n">
        <v>1</v>
      </c>
      <c r="R911" s="2" t="inlineStr">
        <is>
          <t>Blå taggsvamp</t>
        </is>
      </c>
      <c r="S911">
        <f>HYPERLINK("https://klasma.github.io/Logging_2582/artfynd/A 33674-2024 artfynd.xlsx", "A 33674-2024")</f>
        <v/>
      </c>
      <c r="T911">
        <f>HYPERLINK("https://klasma.github.io/Logging_2582/kartor/A 33674-2024 karta.png", "A 33674-2024")</f>
        <v/>
      </c>
      <c r="V911">
        <f>HYPERLINK("https://klasma.github.io/Logging_2582/klagomål/A 33674-2024 FSC-klagomål.docx", "A 33674-2024")</f>
        <v/>
      </c>
      <c r="W911">
        <f>HYPERLINK("https://klasma.github.io/Logging_2582/klagomålsmail/A 33674-2024 FSC-klagomål mail.docx", "A 33674-2024")</f>
        <v/>
      </c>
      <c r="X911">
        <f>HYPERLINK("https://klasma.github.io/Logging_2582/tillsyn/A 33674-2024 tillsynsbegäran.docx", "A 33674-2024")</f>
        <v/>
      </c>
      <c r="Y911">
        <f>HYPERLINK("https://klasma.github.io/Logging_2582/tillsynsmail/A 33674-2024 tillsynsbegäran mail.docx", "A 33674-2024")</f>
        <v/>
      </c>
    </row>
    <row r="912" ht="15" customHeight="1">
      <c r="A912" t="inlineStr">
        <is>
          <t>A 34618-2024</t>
        </is>
      </c>
      <c r="B912" s="1" t="n">
        <v>45526</v>
      </c>
      <c r="C912" s="1" t="n">
        <v>45758</v>
      </c>
      <c r="D912" t="inlineStr">
        <is>
          <t>NORRBOTTENS LÄN</t>
        </is>
      </c>
      <c r="E912" t="inlineStr">
        <is>
          <t>GÄLLIVARE</t>
        </is>
      </c>
      <c r="F912" t="inlineStr">
        <is>
          <t>Sveaskog</t>
        </is>
      </c>
      <c r="G912" t="n">
        <v>11.2</v>
      </c>
      <c r="H912" t="n">
        <v>1</v>
      </c>
      <c r="I912" t="n">
        <v>0</v>
      </c>
      <c r="J912" t="n">
        <v>0</v>
      </c>
      <c r="K912" t="n">
        <v>1</v>
      </c>
      <c r="L912" t="n">
        <v>0</v>
      </c>
      <c r="M912" t="n">
        <v>0</v>
      </c>
      <c r="N912" t="n">
        <v>0</v>
      </c>
      <c r="O912" t="n">
        <v>1</v>
      </c>
      <c r="P912" t="n">
        <v>1</v>
      </c>
      <c r="Q912" t="n">
        <v>1</v>
      </c>
      <c r="R912" s="2" t="inlineStr">
        <is>
          <t>Doftticka</t>
        </is>
      </c>
      <c r="S912">
        <f>HYPERLINK("https://klasma.github.io/Logging_2523/artfynd/A 34618-2024 artfynd.xlsx", "A 34618-2024")</f>
        <v/>
      </c>
      <c r="T912">
        <f>HYPERLINK("https://klasma.github.io/Logging_2523/kartor/A 34618-2024 karta.png", "A 34618-2024")</f>
        <v/>
      </c>
      <c r="V912">
        <f>HYPERLINK("https://klasma.github.io/Logging_2523/klagomål/A 34618-2024 FSC-klagomål.docx", "A 34618-2024")</f>
        <v/>
      </c>
      <c r="W912">
        <f>HYPERLINK("https://klasma.github.io/Logging_2523/klagomålsmail/A 34618-2024 FSC-klagomål mail.docx", "A 34618-2024")</f>
        <v/>
      </c>
      <c r="X912">
        <f>HYPERLINK("https://klasma.github.io/Logging_2523/tillsyn/A 34618-2024 tillsynsbegäran.docx", "A 34618-2024")</f>
        <v/>
      </c>
      <c r="Y912">
        <f>HYPERLINK("https://klasma.github.io/Logging_2523/tillsynsmail/A 34618-2024 tillsynsbegäran mail.docx", "A 34618-2024")</f>
        <v/>
      </c>
    </row>
    <row r="913" ht="15" customHeight="1">
      <c r="A913" t="inlineStr">
        <is>
          <t>A 34591-2024</t>
        </is>
      </c>
      <c r="B913" s="1" t="n">
        <v>45526</v>
      </c>
      <c r="C913" s="1" t="n">
        <v>45758</v>
      </c>
      <c r="D913" t="inlineStr">
        <is>
          <t>NORRBOTTENS LÄN</t>
        </is>
      </c>
      <c r="E913" t="inlineStr">
        <is>
          <t>GÄLLIVARE</t>
        </is>
      </c>
      <c r="F913" t="inlineStr">
        <is>
          <t>Sveaskog</t>
        </is>
      </c>
      <c r="G913" t="n">
        <v>1.1</v>
      </c>
      <c r="H913" t="n">
        <v>0</v>
      </c>
      <c r="I913" t="n">
        <v>1</v>
      </c>
      <c r="J913" t="n">
        <v>0</v>
      </c>
      <c r="K913" t="n">
        <v>0</v>
      </c>
      <c r="L913" t="n">
        <v>0</v>
      </c>
      <c r="M913" t="n">
        <v>0</v>
      </c>
      <c r="N913" t="n">
        <v>0</v>
      </c>
      <c r="O913" t="n">
        <v>0</v>
      </c>
      <c r="P913" t="n">
        <v>0</v>
      </c>
      <c r="Q913" t="n">
        <v>1</v>
      </c>
      <c r="R913" s="2" t="inlineStr">
        <is>
          <t>Dropptaggsvamp</t>
        </is>
      </c>
      <c r="S913">
        <f>HYPERLINK("https://klasma.github.io/Logging_2523/artfynd/A 34591-2024 artfynd.xlsx", "A 34591-2024")</f>
        <v/>
      </c>
      <c r="T913">
        <f>HYPERLINK("https://klasma.github.io/Logging_2523/kartor/A 34591-2024 karta.png", "A 34591-2024")</f>
        <v/>
      </c>
      <c r="V913">
        <f>HYPERLINK("https://klasma.github.io/Logging_2523/klagomål/A 34591-2024 FSC-klagomål.docx", "A 34591-2024")</f>
        <v/>
      </c>
      <c r="W913">
        <f>HYPERLINK("https://klasma.github.io/Logging_2523/klagomålsmail/A 34591-2024 FSC-klagomål mail.docx", "A 34591-2024")</f>
        <v/>
      </c>
      <c r="X913">
        <f>HYPERLINK("https://klasma.github.io/Logging_2523/tillsyn/A 34591-2024 tillsynsbegäran.docx", "A 34591-2024")</f>
        <v/>
      </c>
      <c r="Y913">
        <f>HYPERLINK("https://klasma.github.io/Logging_2523/tillsynsmail/A 34591-2024 tillsynsbegäran mail.docx", "A 34591-2024")</f>
        <v/>
      </c>
    </row>
    <row r="914" ht="15" customHeight="1">
      <c r="A914" t="inlineStr">
        <is>
          <t>A 34879-2024</t>
        </is>
      </c>
      <c r="B914" s="1" t="n">
        <v>45527</v>
      </c>
      <c r="C914" s="1" t="n">
        <v>45758</v>
      </c>
      <c r="D914" t="inlineStr">
        <is>
          <t>NORRBOTTENS LÄN</t>
        </is>
      </c>
      <c r="E914" t="inlineStr">
        <is>
          <t>GÄLLIVARE</t>
        </is>
      </c>
      <c r="F914" t="inlineStr">
        <is>
          <t>SCA</t>
        </is>
      </c>
      <c r="G914" t="n">
        <v>4.3</v>
      </c>
      <c r="H914" t="n">
        <v>1</v>
      </c>
      <c r="I914" t="n">
        <v>0</v>
      </c>
      <c r="J914" t="n">
        <v>0</v>
      </c>
      <c r="K914" t="n">
        <v>0</v>
      </c>
      <c r="L914" t="n">
        <v>0</v>
      </c>
      <c r="M914" t="n">
        <v>0</v>
      </c>
      <c r="N914" t="n">
        <v>0</v>
      </c>
      <c r="O914" t="n">
        <v>0</v>
      </c>
      <c r="P914" t="n">
        <v>0</v>
      </c>
      <c r="Q914" t="n">
        <v>1</v>
      </c>
      <c r="R914" s="2" t="inlineStr">
        <is>
          <t>Huggorm</t>
        </is>
      </c>
      <c r="S914">
        <f>HYPERLINK("https://klasma.github.io/Logging_2523/artfynd/A 34879-2024 artfynd.xlsx", "A 34879-2024")</f>
        <v/>
      </c>
      <c r="T914">
        <f>HYPERLINK("https://klasma.github.io/Logging_2523/kartor/A 34879-2024 karta.png", "A 34879-2024")</f>
        <v/>
      </c>
      <c r="V914">
        <f>HYPERLINK("https://klasma.github.io/Logging_2523/klagomål/A 34879-2024 FSC-klagomål.docx", "A 34879-2024")</f>
        <v/>
      </c>
      <c r="W914">
        <f>HYPERLINK("https://klasma.github.io/Logging_2523/klagomålsmail/A 34879-2024 FSC-klagomål mail.docx", "A 34879-2024")</f>
        <v/>
      </c>
      <c r="X914">
        <f>HYPERLINK("https://klasma.github.io/Logging_2523/tillsyn/A 34879-2024 tillsynsbegäran.docx", "A 34879-2024")</f>
        <v/>
      </c>
      <c r="Y914">
        <f>HYPERLINK("https://klasma.github.io/Logging_2523/tillsynsmail/A 34879-2024 tillsynsbegäran mail.docx", "A 34879-2024")</f>
        <v/>
      </c>
    </row>
    <row r="915" ht="15" customHeight="1">
      <c r="A915" t="inlineStr">
        <is>
          <t>A 35545-2024</t>
        </is>
      </c>
      <c r="B915" s="1" t="n">
        <v>45531</v>
      </c>
      <c r="C915" s="1" t="n">
        <v>45758</v>
      </c>
      <c r="D915" t="inlineStr">
        <is>
          <t>NORRBOTTENS LÄN</t>
        </is>
      </c>
      <c r="E915" t="inlineStr">
        <is>
          <t>LULEÅ</t>
        </is>
      </c>
      <c r="G915" t="n">
        <v>19.7</v>
      </c>
      <c r="H915" t="n">
        <v>0</v>
      </c>
      <c r="I915" t="n">
        <v>0</v>
      </c>
      <c r="J915" t="n">
        <v>0</v>
      </c>
      <c r="K915" t="n">
        <v>1</v>
      </c>
      <c r="L915" t="n">
        <v>0</v>
      </c>
      <c r="M915" t="n">
        <v>0</v>
      </c>
      <c r="N915" t="n">
        <v>0</v>
      </c>
      <c r="O915" t="n">
        <v>1</v>
      </c>
      <c r="P915" t="n">
        <v>1</v>
      </c>
      <c r="Q915" t="n">
        <v>1</v>
      </c>
      <c r="R915" s="2" t="inlineStr">
        <is>
          <t>Liten aspgelélav</t>
        </is>
      </c>
      <c r="S915">
        <f>HYPERLINK("https://klasma.github.io/Logging_2580/artfynd/A 35545-2024 artfynd.xlsx", "A 35545-2024")</f>
        <v/>
      </c>
      <c r="T915">
        <f>HYPERLINK("https://klasma.github.io/Logging_2580/kartor/A 35545-2024 karta.png", "A 35545-2024")</f>
        <v/>
      </c>
      <c r="V915">
        <f>HYPERLINK("https://klasma.github.io/Logging_2580/klagomål/A 35545-2024 FSC-klagomål.docx", "A 35545-2024")</f>
        <v/>
      </c>
      <c r="W915">
        <f>HYPERLINK("https://klasma.github.io/Logging_2580/klagomålsmail/A 35545-2024 FSC-klagomål mail.docx", "A 35545-2024")</f>
        <v/>
      </c>
      <c r="X915">
        <f>HYPERLINK("https://klasma.github.io/Logging_2580/tillsyn/A 35545-2024 tillsynsbegäran.docx", "A 35545-2024")</f>
        <v/>
      </c>
      <c r="Y915">
        <f>HYPERLINK("https://klasma.github.io/Logging_2580/tillsynsmail/A 35545-2024 tillsynsbegäran mail.docx", "A 35545-2024")</f>
        <v/>
      </c>
    </row>
    <row r="916" ht="15" customHeight="1">
      <c r="A916" t="inlineStr">
        <is>
          <t>A 36111-2024</t>
        </is>
      </c>
      <c r="B916" s="1" t="n">
        <v>45534</v>
      </c>
      <c r="C916" s="1" t="n">
        <v>45758</v>
      </c>
      <c r="D916" t="inlineStr">
        <is>
          <t>NORRBOTTENS LÄN</t>
        </is>
      </c>
      <c r="E916" t="inlineStr">
        <is>
          <t>JOKKMOKK</t>
        </is>
      </c>
      <c r="F916" t="inlineStr">
        <is>
          <t>Sveaskog</t>
        </is>
      </c>
      <c r="G916" t="n">
        <v>1.7</v>
      </c>
      <c r="H916" t="n">
        <v>0</v>
      </c>
      <c r="I916" t="n">
        <v>1</v>
      </c>
      <c r="J916" t="n">
        <v>0</v>
      </c>
      <c r="K916" t="n">
        <v>0</v>
      </c>
      <c r="L916" t="n">
        <v>0</v>
      </c>
      <c r="M916" t="n">
        <v>0</v>
      </c>
      <c r="N916" t="n">
        <v>0</v>
      </c>
      <c r="O916" t="n">
        <v>0</v>
      </c>
      <c r="P916" t="n">
        <v>0</v>
      </c>
      <c r="Q916" t="n">
        <v>1</v>
      </c>
      <c r="R916" s="2" t="inlineStr">
        <is>
          <t>Skarp dropptaggsvamp</t>
        </is>
      </c>
      <c r="S916">
        <f>HYPERLINK("https://klasma.github.io/Logging_2510/artfynd/A 36111-2024 artfynd.xlsx", "A 36111-2024")</f>
        <v/>
      </c>
      <c r="T916">
        <f>HYPERLINK("https://klasma.github.io/Logging_2510/kartor/A 36111-2024 karta.png", "A 36111-2024")</f>
        <v/>
      </c>
      <c r="V916">
        <f>HYPERLINK("https://klasma.github.io/Logging_2510/klagomål/A 36111-2024 FSC-klagomål.docx", "A 36111-2024")</f>
        <v/>
      </c>
      <c r="W916">
        <f>HYPERLINK("https://klasma.github.io/Logging_2510/klagomålsmail/A 36111-2024 FSC-klagomål mail.docx", "A 36111-2024")</f>
        <v/>
      </c>
      <c r="X916">
        <f>HYPERLINK("https://klasma.github.io/Logging_2510/tillsyn/A 36111-2024 tillsynsbegäran.docx", "A 36111-2024")</f>
        <v/>
      </c>
      <c r="Y916">
        <f>HYPERLINK("https://klasma.github.io/Logging_2510/tillsynsmail/A 36111-2024 tillsynsbegäran mail.docx", "A 36111-2024")</f>
        <v/>
      </c>
    </row>
    <row r="917" ht="15" customHeight="1">
      <c r="A917" t="inlineStr">
        <is>
          <t>A 36112-2024</t>
        </is>
      </c>
      <c r="B917" s="1" t="n">
        <v>45534</v>
      </c>
      <c r="C917" s="1" t="n">
        <v>45758</v>
      </c>
      <c r="D917" t="inlineStr">
        <is>
          <t>NORRBOTTENS LÄN</t>
        </is>
      </c>
      <c r="E917" t="inlineStr">
        <is>
          <t>JOKKMOKK</t>
        </is>
      </c>
      <c r="F917" t="inlineStr">
        <is>
          <t>Sveaskog</t>
        </is>
      </c>
      <c r="G917" t="n">
        <v>2.7</v>
      </c>
      <c r="H917" t="n">
        <v>0</v>
      </c>
      <c r="I917" t="n">
        <v>0</v>
      </c>
      <c r="J917" t="n">
        <v>1</v>
      </c>
      <c r="K917" t="n">
        <v>0</v>
      </c>
      <c r="L917" t="n">
        <v>0</v>
      </c>
      <c r="M917" t="n">
        <v>0</v>
      </c>
      <c r="N917" t="n">
        <v>0</v>
      </c>
      <c r="O917" t="n">
        <v>1</v>
      </c>
      <c r="P917" t="n">
        <v>0</v>
      </c>
      <c r="Q917" t="n">
        <v>1</v>
      </c>
      <c r="R917" s="2" t="inlineStr">
        <is>
          <t>Tallriska</t>
        </is>
      </c>
      <c r="S917">
        <f>HYPERLINK("https://klasma.github.io/Logging_2510/artfynd/A 36112-2024 artfynd.xlsx", "A 36112-2024")</f>
        <v/>
      </c>
      <c r="T917">
        <f>HYPERLINK("https://klasma.github.io/Logging_2510/kartor/A 36112-2024 karta.png", "A 36112-2024")</f>
        <v/>
      </c>
      <c r="V917">
        <f>HYPERLINK("https://klasma.github.io/Logging_2510/klagomål/A 36112-2024 FSC-klagomål.docx", "A 36112-2024")</f>
        <v/>
      </c>
      <c r="W917">
        <f>HYPERLINK("https://klasma.github.io/Logging_2510/klagomålsmail/A 36112-2024 FSC-klagomål mail.docx", "A 36112-2024")</f>
        <v/>
      </c>
      <c r="X917">
        <f>HYPERLINK("https://klasma.github.io/Logging_2510/tillsyn/A 36112-2024 tillsynsbegäran.docx", "A 36112-2024")</f>
        <v/>
      </c>
      <c r="Y917">
        <f>HYPERLINK("https://klasma.github.io/Logging_2510/tillsynsmail/A 36112-2024 tillsynsbegäran mail.docx", "A 36112-2024")</f>
        <v/>
      </c>
    </row>
    <row r="918" ht="15" customHeight="1">
      <c r="A918" t="inlineStr">
        <is>
          <t>A 36743-2024</t>
        </is>
      </c>
      <c r="B918" s="1" t="n">
        <v>45538</v>
      </c>
      <c r="C918" s="1" t="n">
        <v>45758</v>
      </c>
      <c r="D918" t="inlineStr">
        <is>
          <t>NORRBOTTENS LÄN</t>
        </is>
      </c>
      <c r="E918" t="inlineStr">
        <is>
          <t>BODEN</t>
        </is>
      </c>
      <c r="F918" t="inlineStr">
        <is>
          <t>Sveaskog</t>
        </is>
      </c>
      <c r="G918" t="n">
        <v>1.7</v>
      </c>
      <c r="H918" t="n">
        <v>0</v>
      </c>
      <c r="I918" t="n">
        <v>0</v>
      </c>
      <c r="J918" t="n">
        <v>1</v>
      </c>
      <c r="K918" t="n">
        <v>0</v>
      </c>
      <c r="L918" t="n">
        <v>0</v>
      </c>
      <c r="M918" t="n">
        <v>0</v>
      </c>
      <c r="N918" t="n">
        <v>0</v>
      </c>
      <c r="O918" t="n">
        <v>1</v>
      </c>
      <c r="P918" t="n">
        <v>0</v>
      </c>
      <c r="Q918" t="n">
        <v>1</v>
      </c>
      <c r="R918" s="2" t="inlineStr">
        <is>
          <t>Lunglav</t>
        </is>
      </c>
      <c r="S918">
        <f>HYPERLINK("https://klasma.github.io/Logging_2582/artfynd/A 36743-2024 artfynd.xlsx", "A 36743-2024")</f>
        <v/>
      </c>
      <c r="T918">
        <f>HYPERLINK("https://klasma.github.io/Logging_2582/kartor/A 36743-2024 karta.png", "A 36743-2024")</f>
        <v/>
      </c>
      <c r="V918">
        <f>HYPERLINK("https://klasma.github.io/Logging_2582/klagomål/A 36743-2024 FSC-klagomål.docx", "A 36743-2024")</f>
        <v/>
      </c>
      <c r="W918">
        <f>HYPERLINK("https://klasma.github.io/Logging_2582/klagomålsmail/A 36743-2024 FSC-klagomål mail.docx", "A 36743-2024")</f>
        <v/>
      </c>
      <c r="X918">
        <f>HYPERLINK("https://klasma.github.io/Logging_2582/tillsyn/A 36743-2024 tillsynsbegäran.docx", "A 36743-2024")</f>
        <v/>
      </c>
      <c r="Y918">
        <f>HYPERLINK("https://klasma.github.io/Logging_2582/tillsynsmail/A 36743-2024 tillsynsbegäran mail.docx", "A 36743-2024")</f>
        <v/>
      </c>
    </row>
    <row r="919" ht="15" customHeight="1">
      <c r="A919" t="inlineStr">
        <is>
          <t>A 37314-2024</t>
        </is>
      </c>
      <c r="B919" s="1" t="n">
        <v>45540</v>
      </c>
      <c r="C919" s="1" t="n">
        <v>45758</v>
      </c>
      <c r="D919" t="inlineStr">
        <is>
          <t>NORRBOTTENS LÄN</t>
        </is>
      </c>
      <c r="E919" t="inlineStr">
        <is>
          <t>ÖVERKALIX</t>
        </is>
      </c>
      <c r="F919" t="inlineStr">
        <is>
          <t>Sveaskog</t>
        </is>
      </c>
      <c r="G919" t="n">
        <v>7</v>
      </c>
      <c r="H919" t="n">
        <v>0</v>
      </c>
      <c r="I919" t="n">
        <v>0</v>
      </c>
      <c r="J919" t="n">
        <v>1</v>
      </c>
      <c r="K919" t="n">
        <v>0</v>
      </c>
      <c r="L919" t="n">
        <v>0</v>
      </c>
      <c r="M919" t="n">
        <v>0</v>
      </c>
      <c r="N919" t="n">
        <v>0</v>
      </c>
      <c r="O919" t="n">
        <v>1</v>
      </c>
      <c r="P919" t="n">
        <v>0</v>
      </c>
      <c r="Q919" t="n">
        <v>1</v>
      </c>
      <c r="R919" s="2" t="inlineStr">
        <is>
          <t>Garnlav</t>
        </is>
      </c>
      <c r="S919">
        <f>HYPERLINK("https://klasma.github.io/Logging_2513/artfynd/A 37314-2024 artfynd.xlsx", "A 37314-2024")</f>
        <v/>
      </c>
      <c r="T919">
        <f>HYPERLINK("https://klasma.github.io/Logging_2513/kartor/A 37314-2024 karta.png", "A 37314-2024")</f>
        <v/>
      </c>
      <c r="V919">
        <f>HYPERLINK("https://klasma.github.io/Logging_2513/klagomål/A 37314-2024 FSC-klagomål.docx", "A 37314-2024")</f>
        <v/>
      </c>
      <c r="W919">
        <f>HYPERLINK("https://klasma.github.io/Logging_2513/klagomålsmail/A 37314-2024 FSC-klagomål mail.docx", "A 37314-2024")</f>
        <v/>
      </c>
      <c r="X919">
        <f>HYPERLINK("https://klasma.github.io/Logging_2513/tillsyn/A 37314-2024 tillsynsbegäran.docx", "A 37314-2024")</f>
        <v/>
      </c>
      <c r="Y919">
        <f>HYPERLINK("https://klasma.github.io/Logging_2513/tillsynsmail/A 37314-2024 tillsynsbegäran mail.docx", "A 37314-2024")</f>
        <v/>
      </c>
    </row>
    <row r="920" ht="15" customHeight="1">
      <c r="A920" t="inlineStr">
        <is>
          <t>A 37309-2024</t>
        </is>
      </c>
      <c r="B920" s="1" t="n">
        <v>45540</v>
      </c>
      <c r="C920" s="1" t="n">
        <v>45758</v>
      </c>
      <c r="D920" t="inlineStr">
        <is>
          <t>NORRBOTTENS LÄN</t>
        </is>
      </c>
      <c r="E920" t="inlineStr">
        <is>
          <t>ÖVERKALIX</t>
        </is>
      </c>
      <c r="F920" t="inlineStr">
        <is>
          <t>Sveaskog</t>
        </is>
      </c>
      <c r="G920" t="n">
        <v>10.4</v>
      </c>
      <c r="H920" t="n">
        <v>0</v>
      </c>
      <c r="I920" t="n">
        <v>0</v>
      </c>
      <c r="J920" t="n">
        <v>1</v>
      </c>
      <c r="K920" t="n">
        <v>0</v>
      </c>
      <c r="L920" t="n">
        <v>0</v>
      </c>
      <c r="M920" t="n">
        <v>0</v>
      </c>
      <c r="N920" t="n">
        <v>0</v>
      </c>
      <c r="O920" t="n">
        <v>1</v>
      </c>
      <c r="P920" t="n">
        <v>0</v>
      </c>
      <c r="Q920" t="n">
        <v>1</v>
      </c>
      <c r="R920" s="2" t="inlineStr">
        <is>
          <t>Lunglav</t>
        </is>
      </c>
      <c r="S920">
        <f>HYPERLINK("https://klasma.github.io/Logging_2513/artfynd/A 37309-2024 artfynd.xlsx", "A 37309-2024")</f>
        <v/>
      </c>
      <c r="T920">
        <f>HYPERLINK("https://klasma.github.io/Logging_2513/kartor/A 37309-2024 karta.png", "A 37309-2024")</f>
        <v/>
      </c>
      <c r="U920">
        <f>HYPERLINK("https://klasma.github.io/Logging_2513/knärot/A 37309-2024 karta knärot.png", "A 37309-2024")</f>
        <v/>
      </c>
      <c r="V920">
        <f>HYPERLINK("https://klasma.github.io/Logging_2513/klagomål/A 37309-2024 FSC-klagomål.docx", "A 37309-2024")</f>
        <v/>
      </c>
      <c r="W920">
        <f>HYPERLINK("https://klasma.github.io/Logging_2513/klagomålsmail/A 37309-2024 FSC-klagomål mail.docx", "A 37309-2024")</f>
        <v/>
      </c>
      <c r="X920">
        <f>HYPERLINK("https://klasma.github.io/Logging_2513/tillsyn/A 37309-2024 tillsynsbegäran.docx", "A 37309-2024")</f>
        <v/>
      </c>
      <c r="Y920">
        <f>HYPERLINK("https://klasma.github.io/Logging_2513/tillsynsmail/A 37309-2024 tillsynsbegäran mail.docx", "A 37309-2024")</f>
        <v/>
      </c>
    </row>
    <row r="921" ht="15" customHeight="1">
      <c r="A921" t="inlineStr">
        <is>
          <t>A 37997-2024</t>
        </is>
      </c>
      <c r="B921" s="1" t="n">
        <v>45544</v>
      </c>
      <c r="C921" s="1" t="n">
        <v>45758</v>
      </c>
      <c r="D921" t="inlineStr">
        <is>
          <t>NORRBOTTENS LÄN</t>
        </is>
      </c>
      <c r="E921" t="inlineStr">
        <is>
          <t>ÖVERKALIX</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HYPERLINK("https://klasma.github.io/Logging_2513/artfynd/A 37997-2024 artfynd.xlsx", "A 37997-2024")</f>
        <v/>
      </c>
      <c r="T921">
        <f>HYPERLINK("https://klasma.github.io/Logging_2513/kartor/A 37997-2024 karta.png", "A 37997-2024")</f>
        <v/>
      </c>
      <c r="V921">
        <f>HYPERLINK("https://klasma.github.io/Logging_2513/klagomål/A 37997-2024 FSC-klagomål.docx", "A 37997-2024")</f>
        <v/>
      </c>
      <c r="W921">
        <f>HYPERLINK("https://klasma.github.io/Logging_2513/klagomålsmail/A 37997-2024 FSC-klagomål mail.docx", "A 37997-2024")</f>
        <v/>
      </c>
      <c r="X921">
        <f>HYPERLINK("https://klasma.github.io/Logging_2513/tillsyn/A 37997-2024 tillsynsbegäran.docx", "A 37997-2024")</f>
        <v/>
      </c>
      <c r="Y921">
        <f>HYPERLINK("https://klasma.github.io/Logging_2513/tillsynsmail/A 37997-2024 tillsynsbegäran mail.docx", "A 37997-2024")</f>
        <v/>
      </c>
    </row>
    <row r="922" ht="15" customHeight="1">
      <c r="A922" t="inlineStr">
        <is>
          <t>A 37818-2024</t>
        </is>
      </c>
      <c r="B922" s="1" t="n">
        <v>45544</v>
      </c>
      <c r="C922" s="1" t="n">
        <v>45758</v>
      </c>
      <c r="D922" t="inlineStr">
        <is>
          <t>NORRBOTTENS LÄN</t>
        </is>
      </c>
      <c r="E922" t="inlineStr">
        <is>
          <t>PITEÅ</t>
        </is>
      </c>
      <c r="G922" t="n">
        <v>3.1</v>
      </c>
      <c r="H922" t="n">
        <v>0</v>
      </c>
      <c r="I922" t="n">
        <v>0</v>
      </c>
      <c r="J922" t="n">
        <v>1</v>
      </c>
      <c r="K922" t="n">
        <v>0</v>
      </c>
      <c r="L922" t="n">
        <v>0</v>
      </c>
      <c r="M922" t="n">
        <v>0</v>
      </c>
      <c r="N922" t="n">
        <v>0</v>
      </c>
      <c r="O922" t="n">
        <v>1</v>
      </c>
      <c r="P922" t="n">
        <v>0</v>
      </c>
      <c r="Q922" t="n">
        <v>1</v>
      </c>
      <c r="R922" s="2" t="inlineStr">
        <is>
          <t>Kolflarnlav</t>
        </is>
      </c>
      <c r="S922">
        <f>HYPERLINK("https://klasma.github.io/Logging_2581/artfynd/A 37818-2024 artfynd.xlsx", "A 37818-2024")</f>
        <v/>
      </c>
      <c r="T922">
        <f>HYPERLINK("https://klasma.github.io/Logging_2581/kartor/A 37818-2024 karta.png", "A 37818-2024")</f>
        <v/>
      </c>
      <c r="V922">
        <f>HYPERLINK("https://klasma.github.io/Logging_2581/klagomål/A 37818-2024 FSC-klagomål.docx", "A 37818-2024")</f>
        <v/>
      </c>
      <c r="W922">
        <f>HYPERLINK("https://klasma.github.io/Logging_2581/klagomålsmail/A 37818-2024 FSC-klagomål mail.docx", "A 37818-2024")</f>
        <v/>
      </c>
      <c r="X922">
        <f>HYPERLINK("https://klasma.github.io/Logging_2581/tillsyn/A 37818-2024 tillsynsbegäran.docx", "A 37818-2024")</f>
        <v/>
      </c>
      <c r="Y922">
        <f>HYPERLINK("https://klasma.github.io/Logging_2581/tillsynsmail/A 37818-2024 tillsynsbegäran mail.docx", "A 37818-2024")</f>
        <v/>
      </c>
    </row>
    <row r="923" ht="15" customHeight="1">
      <c r="A923" t="inlineStr">
        <is>
          <t>A 38158-2024</t>
        </is>
      </c>
      <c r="B923" s="1" t="n">
        <v>45545</v>
      </c>
      <c r="C923" s="1" t="n">
        <v>45758</v>
      </c>
      <c r="D923" t="inlineStr">
        <is>
          <t>NORRBOTTENS LÄN</t>
        </is>
      </c>
      <c r="E923" t="inlineStr">
        <is>
          <t>ÖVERTORNEÅ</t>
        </is>
      </c>
      <c r="F923" t="inlineStr">
        <is>
          <t>Sveaskog</t>
        </is>
      </c>
      <c r="G923" t="n">
        <v>3.2</v>
      </c>
      <c r="H923" t="n">
        <v>0</v>
      </c>
      <c r="I923" t="n">
        <v>0</v>
      </c>
      <c r="J923" t="n">
        <v>0</v>
      </c>
      <c r="K923" t="n">
        <v>1</v>
      </c>
      <c r="L923" t="n">
        <v>0</v>
      </c>
      <c r="M923" t="n">
        <v>0</v>
      </c>
      <c r="N923" t="n">
        <v>0</v>
      </c>
      <c r="O923" t="n">
        <v>1</v>
      </c>
      <c r="P923" t="n">
        <v>1</v>
      </c>
      <c r="Q923" t="n">
        <v>1</v>
      </c>
      <c r="R923" s="2" t="inlineStr">
        <is>
          <t>Lappticka</t>
        </is>
      </c>
      <c r="S923">
        <f>HYPERLINK("https://klasma.github.io/Logging_2518/artfynd/A 38158-2024 artfynd.xlsx", "A 38158-2024")</f>
        <v/>
      </c>
      <c r="T923">
        <f>HYPERLINK("https://klasma.github.io/Logging_2518/kartor/A 38158-2024 karta.png", "A 38158-2024")</f>
        <v/>
      </c>
      <c r="V923">
        <f>HYPERLINK("https://klasma.github.io/Logging_2518/klagomål/A 38158-2024 FSC-klagomål.docx", "A 38158-2024")</f>
        <v/>
      </c>
      <c r="W923">
        <f>HYPERLINK("https://klasma.github.io/Logging_2518/klagomålsmail/A 38158-2024 FSC-klagomål mail.docx", "A 38158-2024")</f>
        <v/>
      </c>
      <c r="X923">
        <f>HYPERLINK("https://klasma.github.io/Logging_2518/tillsyn/A 38158-2024 tillsynsbegäran.docx", "A 38158-2024")</f>
        <v/>
      </c>
      <c r="Y923">
        <f>HYPERLINK("https://klasma.github.io/Logging_2518/tillsynsmail/A 38158-2024 tillsynsbegäran mail.docx", "A 38158-2024")</f>
        <v/>
      </c>
    </row>
    <row r="924" ht="15" customHeight="1">
      <c r="A924" t="inlineStr">
        <is>
          <t>A 38333-2024</t>
        </is>
      </c>
      <c r="B924" s="1" t="n">
        <v>45545</v>
      </c>
      <c r="C924" s="1" t="n">
        <v>45758</v>
      </c>
      <c r="D924" t="inlineStr">
        <is>
          <t>NORRBOTTENS LÄN</t>
        </is>
      </c>
      <c r="E924" t="inlineStr">
        <is>
          <t>LULEÅ</t>
        </is>
      </c>
      <c r="F924" t="inlineStr">
        <is>
          <t>Sveaskog</t>
        </is>
      </c>
      <c r="G924" t="n">
        <v>2.9</v>
      </c>
      <c r="H924" t="n">
        <v>1</v>
      </c>
      <c r="I924" t="n">
        <v>0</v>
      </c>
      <c r="J924" t="n">
        <v>0</v>
      </c>
      <c r="K924" t="n">
        <v>1</v>
      </c>
      <c r="L924" t="n">
        <v>0</v>
      </c>
      <c r="M924" t="n">
        <v>0</v>
      </c>
      <c r="N924" t="n">
        <v>0</v>
      </c>
      <c r="O924" t="n">
        <v>1</v>
      </c>
      <c r="P924" t="n">
        <v>1</v>
      </c>
      <c r="Q924" t="n">
        <v>1</v>
      </c>
      <c r="R924" s="2" t="inlineStr">
        <is>
          <t>Knärot</t>
        </is>
      </c>
      <c r="S924">
        <f>HYPERLINK("https://klasma.github.io/Logging_2580/artfynd/A 38333-2024 artfynd.xlsx", "A 38333-2024")</f>
        <v/>
      </c>
      <c r="T924">
        <f>HYPERLINK("https://klasma.github.io/Logging_2580/kartor/A 38333-2024 karta.png", "A 38333-2024")</f>
        <v/>
      </c>
      <c r="U924">
        <f>HYPERLINK("https://klasma.github.io/Logging_2580/knärot/A 38333-2024 karta knärot.png", "A 38333-2024")</f>
        <v/>
      </c>
      <c r="V924">
        <f>HYPERLINK("https://klasma.github.io/Logging_2580/klagomål/A 38333-2024 FSC-klagomål.docx", "A 38333-2024")</f>
        <v/>
      </c>
      <c r="W924">
        <f>HYPERLINK("https://klasma.github.io/Logging_2580/klagomålsmail/A 38333-2024 FSC-klagomål mail.docx", "A 38333-2024")</f>
        <v/>
      </c>
      <c r="X924">
        <f>HYPERLINK("https://klasma.github.io/Logging_2580/tillsyn/A 38333-2024 tillsynsbegäran.docx", "A 38333-2024")</f>
        <v/>
      </c>
      <c r="Y924">
        <f>HYPERLINK("https://klasma.github.io/Logging_2580/tillsynsmail/A 38333-2024 tillsynsbegäran mail.docx", "A 38333-2024")</f>
        <v/>
      </c>
    </row>
    <row r="925" ht="15" customHeight="1">
      <c r="A925" t="inlineStr">
        <is>
          <t>A 39106-2024</t>
        </is>
      </c>
      <c r="B925" s="1" t="n">
        <v>45548</v>
      </c>
      <c r="C925" s="1" t="n">
        <v>45758</v>
      </c>
      <c r="D925" t="inlineStr">
        <is>
          <t>NORRBOTTENS LÄN</t>
        </is>
      </c>
      <c r="E925" t="inlineStr">
        <is>
          <t>KALIX</t>
        </is>
      </c>
      <c r="F925" t="inlineStr">
        <is>
          <t>Sveaskog</t>
        </is>
      </c>
      <c r="G925" t="n">
        <v>38.6</v>
      </c>
      <c r="H925" t="n">
        <v>0</v>
      </c>
      <c r="I925" t="n">
        <v>0</v>
      </c>
      <c r="J925" t="n">
        <v>1</v>
      </c>
      <c r="K925" t="n">
        <v>0</v>
      </c>
      <c r="L925" t="n">
        <v>0</v>
      </c>
      <c r="M925" t="n">
        <v>0</v>
      </c>
      <c r="N925" t="n">
        <v>0</v>
      </c>
      <c r="O925" t="n">
        <v>1</v>
      </c>
      <c r="P925" t="n">
        <v>0</v>
      </c>
      <c r="Q925" t="n">
        <v>1</v>
      </c>
      <c r="R925" s="2" t="inlineStr">
        <is>
          <t>Orange taggsvamp</t>
        </is>
      </c>
      <c r="S925">
        <f>HYPERLINK("https://klasma.github.io/Logging_2514/artfynd/A 39106-2024 artfynd.xlsx", "A 39106-2024")</f>
        <v/>
      </c>
      <c r="T925">
        <f>HYPERLINK("https://klasma.github.io/Logging_2514/kartor/A 39106-2024 karta.png", "A 39106-2024")</f>
        <v/>
      </c>
      <c r="V925">
        <f>HYPERLINK("https://klasma.github.io/Logging_2514/klagomål/A 39106-2024 FSC-klagomål.docx", "A 39106-2024")</f>
        <v/>
      </c>
      <c r="W925">
        <f>HYPERLINK("https://klasma.github.io/Logging_2514/klagomålsmail/A 39106-2024 FSC-klagomål mail.docx", "A 39106-2024")</f>
        <v/>
      </c>
      <c r="X925">
        <f>HYPERLINK("https://klasma.github.io/Logging_2514/tillsyn/A 39106-2024 tillsynsbegäran.docx", "A 39106-2024")</f>
        <v/>
      </c>
      <c r="Y925">
        <f>HYPERLINK("https://klasma.github.io/Logging_2514/tillsynsmail/A 39106-2024 tillsynsbegäran mail.docx", "A 39106-2024")</f>
        <v/>
      </c>
    </row>
    <row r="926" ht="15" customHeight="1">
      <c r="A926" t="inlineStr">
        <is>
          <t>A 39866-2024</t>
        </is>
      </c>
      <c r="B926" s="1" t="n">
        <v>45553</v>
      </c>
      <c r="C926" s="1" t="n">
        <v>45758</v>
      </c>
      <c r="D926" t="inlineStr">
        <is>
          <t>NORRBOTTENS LÄN</t>
        </is>
      </c>
      <c r="E926" t="inlineStr">
        <is>
          <t>PITEÅ</t>
        </is>
      </c>
      <c r="G926" t="n">
        <v>2.7</v>
      </c>
      <c r="H926" t="n">
        <v>0</v>
      </c>
      <c r="I926" t="n">
        <v>0</v>
      </c>
      <c r="J926" t="n">
        <v>1</v>
      </c>
      <c r="K926" t="n">
        <v>0</v>
      </c>
      <c r="L926" t="n">
        <v>0</v>
      </c>
      <c r="M926" t="n">
        <v>0</v>
      </c>
      <c r="N926" t="n">
        <v>0</v>
      </c>
      <c r="O926" t="n">
        <v>1</v>
      </c>
      <c r="P926" t="n">
        <v>0</v>
      </c>
      <c r="Q926" t="n">
        <v>1</v>
      </c>
      <c r="R926" s="2" t="inlineStr">
        <is>
          <t>Tallticka</t>
        </is>
      </c>
      <c r="S926">
        <f>HYPERLINK("https://klasma.github.io/Logging_2581/artfynd/A 39866-2024 artfynd.xlsx", "A 39866-2024")</f>
        <v/>
      </c>
      <c r="T926">
        <f>HYPERLINK("https://klasma.github.io/Logging_2581/kartor/A 39866-2024 karta.png", "A 39866-2024")</f>
        <v/>
      </c>
      <c r="V926">
        <f>HYPERLINK("https://klasma.github.io/Logging_2581/klagomål/A 39866-2024 FSC-klagomål.docx", "A 39866-2024")</f>
        <v/>
      </c>
      <c r="W926">
        <f>HYPERLINK("https://klasma.github.io/Logging_2581/klagomålsmail/A 39866-2024 FSC-klagomål mail.docx", "A 39866-2024")</f>
        <v/>
      </c>
      <c r="X926">
        <f>HYPERLINK("https://klasma.github.io/Logging_2581/tillsyn/A 39866-2024 tillsynsbegäran.docx", "A 39866-2024")</f>
        <v/>
      </c>
      <c r="Y926">
        <f>HYPERLINK("https://klasma.github.io/Logging_2581/tillsynsmail/A 39866-2024 tillsynsbegäran mail.docx", "A 39866-2024")</f>
        <v/>
      </c>
    </row>
    <row r="927" ht="15" customHeight="1">
      <c r="A927" t="inlineStr">
        <is>
          <t>A 40019-2024</t>
        </is>
      </c>
      <c r="B927" s="1" t="n">
        <v>45553</v>
      </c>
      <c r="C927" s="1" t="n">
        <v>45758</v>
      </c>
      <c r="D927" t="inlineStr">
        <is>
          <t>NORRBOTTENS LÄN</t>
        </is>
      </c>
      <c r="E927" t="inlineStr">
        <is>
          <t>GÄLLIVARE</t>
        </is>
      </c>
      <c r="F927" t="inlineStr">
        <is>
          <t>Sveaskog</t>
        </is>
      </c>
      <c r="G927" t="n">
        <v>7.7</v>
      </c>
      <c r="H927" t="n">
        <v>0</v>
      </c>
      <c r="I927" t="n">
        <v>0</v>
      </c>
      <c r="J927" t="n">
        <v>1</v>
      </c>
      <c r="K927" t="n">
        <v>0</v>
      </c>
      <c r="L927" t="n">
        <v>0</v>
      </c>
      <c r="M927" t="n">
        <v>0</v>
      </c>
      <c r="N927" t="n">
        <v>0</v>
      </c>
      <c r="O927" t="n">
        <v>1</v>
      </c>
      <c r="P927" t="n">
        <v>0</v>
      </c>
      <c r="Q927" t="n">
        <v>1</v>
      </c>
      <c r="R927" s="2" t="inlineStr">
        <is>
          <t>Blå taggsvamp</t>
        </is>
      </c>
      <c r="S927">
        <f>HYPERLINK("https://klasma.github.io/Logging_2523/artfynd/A 40019-2024 artfynd.xlsx", "A 40019-2024")</f>
        <v/>
      </c>
      <c r="T927">
        <f>HYPERLINK("https://klasma.github.io/Logging_2523/kartor/A 40019-2024 karta.png", "A 40019-2024")</f>
        <v/>
      </c>
      <c r="V927">
        <f>HYPERLINK("https://klasma.github.io/Logging_2523/klagomål/A 40019-2024 FSC-klagomål.docx", "A 40019-2024")</f>
        <v/>
      </c>
      <c r="W927">
        <f>HYPERLINK("https://klasma.github.io/Logging_2523/klagomålsmail/A 40019-2024 FSC-klagomål mail.docx", "A 40019-2024")</f>
        <v/>
      </c>
      <c r="X927">
        <f>HYPERLINK("https://klasma.github.io/Logging_2523/tillsyn/A 40019-2024 tillsynsbegäran.docx", "A 40019-2024")</f>
        <v/>
      </c>
      <c r="Y927">
        <f>HYPERLINK("https://klasma.github.io/Logging_2523/tillsynsmail/A 40019-2024 tillsynsbegäran mail.docx", "A 40019-2024")</f>
        <v/>
      </c>
    </row>
    <row r="928" ht="15" customHeight="1">
      <c r="A928" t="inlineStr">
        <is>
          <t>A 40197-2024</t>
        </is>
      </c>
      <c r="B928" s="1" t="n">
        <v>45554</v>
      </c>
      <c r="C928" s="1" t="n">
        <v>45758</v>
      </c>
      <c r="D928" t="inlineStr">
        <is>
          <t>NORRBOTTENS LÄN</t>
        </is>
      </c>
      <c r="E928" t="inlineStr">
        <is>
          <t>GÄLLIVARE</t>
        </is>
      </c>
      <c r="F928" t="inlineStr">
        <is>
          <t>Sveaskog</t>
        </is>
      </c>
      <c r="G928" t="n">
        <v>16.3</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40197-2024 artfynd.xlsx", "A 40197-2024")</f>
        <v/>
      </c>
      <c r="T928">
        <f>HYPERLINK("https://klasma.github.io/Logging_2523/kartor/A 40197-2024 karta.png", "A 40197-2024")</f>
        <v/>
      </c>
      <c r="V928">
        <f>HYPERLINK("https://klasma.github.io/Logging_2523/klagomål/A 40197-2024 FSC-klagomål.docx", "A 40197-2024")</f>
        <v/>
      </c>
      <c r="W928">
        <f>HYPERLINK("https://klasma.github.io/Logging_2523/klagomålsmail/A 40197-2024 FSC-klagomål mail.docx", "A 40197-2024")</f>
        <v/>
      </c>
      <c r="X928">
        <f>HYPERLINK("https://klasma.github.io/Logging_2523/tillsyn/A 40197-2024 tillsynsbegäran.docx", "A 40197-2024")</f>
        <v/>
      </c>
      <c r="Y928">
        <f>HYPERLINK("https://klasma.github.io/Logging_2523/tillsynsmail/A 40197-2024 tillsynsbegäran mail.docx", "A 40197-2024")</f>
        <v/>
      </c>
    </row>
    <row r="929" ht="15" customHeight="1">
      <c r="A929" t="inlineStr">
        <is>
          <t>A 40126-2024</t>
        </is>
      </c>
      <c r="B929" s="1" t="n">
        <v>45554</v>
      </c>
      <c r="C929" s="1" t="n">
        <v>45758</v>
      </c>
      <c r="D929" t="inlineStr">
        <is>
          <t>NORRBOTTENS LÄN</t>
        </is>
      </c>
      <c r="E929" t="inlineStr">
        <is>
          <t>JOKKMOKK</t>
        </is>
      </c>
      <c r="F929" t="inlineStr">
        <is>
          <t>Sveaskog</t>
        </is>
      </c>
      <c r="G929" t="n">
        <v>4.1</v>
      </c>
      <c r="H929" t="n">
        <v>1</v>
      </c>
      <c r="I929" t="n">
        <v>0</v>
      </c>
      <c r="J929" t="n">
        <v>0</v>
      </c>
      <c r="K929" t="n">
        <v>1</v>
      </c>
      <c r="L929" t="n">
        <v>0</v>
      </c>
      <c r="M929" t="n">
        <v>0</v>
      </c>
      <c r="N929" t="n">
        <v>0</v>
      </c>
      <c r="O929" t="n">
        <v>1</v>
      </c>
      <c r="P929" t="n">
        <v>1</v>
      </c>
      <c r="Q929" t="n">
        <v>1</v>
      </c>
      <c r="R929" s="2" t="inlineStr">
        <is>
          <t>Doftticka</t>
        </is>
      </c>
      <c r="S929">
        <f>HYPERLINK("https://klasma.github.io/Logging_2510/artfynd/A 40126-2024 artfynd.xlsx", "A 40126-2024")</f>
        <v/>
      </c>
      <c r="T929">
        <f>HYPERLINK("https://klasma.github.io/Logging_2510/kartor/A 40126-2024 karta.png", "A 40126-2024")</f>
        <v/>
      </c>
      <c r="V929">
        <f>HYPERLINK("https://klasma.github.io/Logging_2510/klagomål/A 40126-2024 FSC-klagomål.docx", "A 40126-2024")</f>
        <v/>
      </c>
      <c r="W929">
        <f>HYPERLINK("https://klasma.github.io/Logging_2510/klagomålsmail/A 40126-2024 FSC-klagomål mail.docx", "A 40126-2024")</f>
        <v/>
      </c>
      <c r="X929">
        <f>HYPERLINK("https://klasma.github.io/Logging_2510/tillsyn/A 40126-2024 tillsynsbegäran.docx", "A 40126-2024")</f>
        <v/>
      </c>
      <c r="Y929">
        <f>HYPERLINK("https://klasma.github.io/Logging_2510/tillsynsmail/A 40126-2024 tillsynsbegäran mail.docx", "A 40126-2024")</f>
        <v/>
      </c>
    </row>
    <row r="930" ht="15" customHeight="1">
      <c r="A930" t="inlineStr">
        <is>
          <t>A 40533-2024</t>
        </is>
      </c>
      <c r="B930" s="1" t="n">
        <v>45555</v>
      </c>
      <c r="C930" s="1" t="n">
        <v>45758</v>
      </c>
      <c r="D930" t="inlineStr">
        <is>
          <t>NORRBOTTENS LÄN</t>
        </is>
      </c>
      <c r="E930" t="inlineStr">
        <is>
          <t>BODEN</t>
        </is>
      </c>
      <c r="F930" t="inlineStr">
        <is>
          <t>Sveaskog</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HYPERLINK("https://klasma.github.io/Logging_2582/artfynd/A 40533-2024 artfynd.xlsx", "A 40533-2024")</f>
        <v/>
      </c>
      <c r="T930">
        <f>HYPERLINK("https://klasma.github.io/Logging_2582/kartor/A 40533-2024 karta.png", "A 40533-2024")</f>
        <v/>
      </c>
      <c r="V930">
        <f>HYPERLINK("https://klasma.github.io/Logging_2582/klagomål/A 40533-2024 FSC-klagomål.docx", "A 40533-2024")</f>
        <v/>
      </c>
      <c r="W930">
        <f>HYPERLINK("https://klasma.github.io/Logging_2582/klagomålsmail/A 40533-2024 FSC-klagomål mail.docx", "A 40533-2024")</f>
        <v/>
      </c>
      <c r="X930">
        <f>HYPERLINK("https://klasma.github.io/Logging_2582/tillsyn/A 40533-2024 tillsynsbegäran.docx", "A 40533-2024")</f>
        <v/>
      </c>
      <c r="Y930">
        <f>HYPERLINK("https://klasma.github.io/Logging_2582/tillsynsmail/A 40533-2024 tillsynsbegäran mail.docx", "A 40533-2024")</f>
        <v/>
      </c>
    </row>
    <row r="931" ht="15" customHeight="1">
      <c r="A931" t="inlineStr">
        <is>
          <t>A 41151-2024</t>
        </is>
      </c>
      <c r="B931" s="1" t="n">
        <v>45559</v>
      </c>
      <c r="C931" s="1" t="n">
        <v>45758</v>
      </c>
      <c r="D931" t="inlineStr">
        <is>
          <t>NORRBOTTENS LÄN</t>
        </is>
      </c>
      <c r="E931" t="inlineStr">
        <is>
          <t>GÄLLIVARE</t>
        </is>
      </c>
      <c r="F931" t="inlineStr">
        <is>
          <t>Sveaskog</t>
        </is>
      </c>
      <c r="G931" t="n">
        <v>12.5</v>
      </c>
      <c r="H931" t="n">
        <v>0</v>
      </c>
      <c r="I931" t="n">
        <v>0</v>
      </c>
      <c r="J931" t="n">
        <v>1</v>
      </c>
      <c r="K931" t="n">
        <v>0</v>
      </c>
      <c r="L931" t="n">
        <v>0</v>
      </c>
      <c r="M931" t="n">
        <v>0</v>
      </c>
      <c r="N931" t="n">
        <v>0</v>
      </c>
      <c r="O931" t="n">
        <v>1</v>
      </c>
      <c r="P931" t="n">
        <v>0</v>
      </c>
      <c r="Q931" t="n">
        <v>1</v>
      </c>
      <c r="R931" s="2" t="inlineStr">
        <is>
          <t>Tallticka</t>
        </is>
      </c>
      <c r="S931">
        <f>HYPERLINK("https://klasma.github.io/Logging_2523/artfynd/A 41151-2024 artfynd.xlsx", "A 41151-2024")</f>
        <v/>
      </c>
      <c r="T931">
        <f>HYPERLINK("https://klasma.github.io/Logging_2523/kartor/A 41151-2024 karta.png", "A 41151-2024")</f>
        <v/>
      </c>
      <c r="V931">
        <f>HYPERLINK("https://klasma.github.io/Logging_2523/klagomål/A 41151-2024 FSC-klagomål.docx", "A 41151-2024")</f>
        <v/>
      </c>
      <c r="W931">
        <f>HYPERLINK("https://klasma.github.io/Logging_2523/klagomålsmail/A 41151-2024 FSC-klagomål mail.docx", "A 41151-2024")</f>
        <v/>
      </c>
      <c r="X931">
        <f>HYPERLINK("https://klasma.github.io/Logging_2523/tillsyn/A 41151-2024 tillsynsbegäran.docx", "A 41151-2024")</f>
        <v/>
      </c>
      <c r="Y931">
        <f>HYPERLINK("https://klasma.github.io/Logging_2523/tillsynsmail/A 41151-2024 tillsynsbegäran mail.docx", "A 41151-2024")</f>
        <v/>
      </c>
    </row>
    <row r="932" ht="15" customHeight="1">
      <c r="A932" t="inlineStr">
        <is>
          <t>A 41375-2024</t>
        </is>
      </c>
      <c r="B932" s="1" t="n">
        <v>45559</v>
      </c>
      <c r="C932" s="1" t="n">
        <v>45758</v>
      </c>
      <c r="D932" t="inlineStr">
        <is>
          <t>NORRBOTTENS LÄN</t>
        </is>
      </c>
      <c r="E932" t="inlineStr">
        <is>
          <t>ARJEPLOG</t>
        </is>
      </c>
      <c r="F932" t="inlineStr">
        <is>
          <t>Övriga statliga verk och myndigheter</t>
        </is>
      </c>
      <c r="G932" t="n">
        <v>5.9</v>
      </c>
      <c r="H932" t="n">
        <v>1</v>
      </c>
      <c r="I932" t="n">
        <v>1</v>
      </c>
      <c r="J932" t="n">
        <v>0</v>
      </c>
      <c r="K932" t="n">
        <v>0</v>
      </c>
      <c r="L932" t="n">
        <v>0</v>
      </c>
      <c r="M932" t="n">
        <v>0</v>
      </c>
      <c r="N932" t="n">
        <v>0</v>
      </c>
      <c r="O932" t="n">
        <v>0</v>
      </c>
      <c r="P932" t="n">
        <v>0</v>
      </c>
      <c r="Q932" t="n">
        <v>1</v>
      </c>
      <c r="R932" s="2" t="inlineStr">
        <is>
          <t>Korallrot</t>
        </is>
      </c>
      <c r="S932">
        <f>HYPERLINK("https://klasma.github.io/Logging_2506/artfynd/A 41375-2024 artfynd.xlsx", "A 41375-2024")</f>
        <v/>
      </c>
      <c r="T932">
        <f>HYPERLINK("https://klasma.github.io/Logging_2506/kartor/A 41375-2024 karta.png", "A 41375-2024")</f>
        <v/>
      </c>
      <c r="V932">
        <f>HYPERLINK("https://klasma.github.io/Logging_2506/klagomål/A 41375-2024 FSC-klagomål.docx", "A 41375-2024")</f>
        <v/>
      </c>
      <c r="W932">
        <f>HYPERLINK("https://klasma.github.io/Logging_2506/klagomålsmail/A 41375-2024 FSC-klagomål mail.docx", "A 41375-2024")</f>
        <v/>
      </c>
      <c r="X932">
        <f>HYPERLINK("https://klasma.github.io/Logging_2506/tillsyn/A 41375-2024 tillsynsbegäran.docx", "A 41375-2024")</f>
        <v/>
      </c>
      <c r="Y932">
        <f>HYPERLINK("https://klasma.github.io/Logging_2506/tillsynsmail/A 41375-2024 tillsynsbegäran mail.docx", "A 41375-2024")</f>
        <v/>
      </c>
    </row>
    <row r="933" ht="15" customHeight="1">
      <c r="A933" t="inlineStr">
        <is>
          <t>A 42554-2024</t>
        </is>
      </c>
      <c r="B933" s="1" t="n">
        <v>45565</v>
      </c>
      <c r="C933" s="1" t="n">
        <v>45758</v>
      </c>
      <c r="D933" t="inlineStr">
        <is>
          <t>NORRBOTTENS LÄN</t>
        </is>
      </c>
      <c r="E933" t="inlineStr">
        <is>
          <t>ÄLVSBYN</t>
        </is>
      </c>
      <c r="F933" t="inlineStr">
        <is>
          <t>Sveaskog</t>
        </is>
      </c>
      <c r="G933" t="n">
        <v>4.8</v>
      </c>
      <c r="H933" t="n">
        <v>1</v>
      </c>
      <c r="I933" t="n">
        <v>0</v>
      </c>
      <c r="J933" t="n">
        <v>0</v>
      </c>
      <c r="K933" t="n">
        <v>0</v>
      </c>
      <c r="L933" t="n">
        <v>0</v>
      </c>
      <c r="M933" t="n">
        <v>0</v>
      </c>
      <c r="N933" t="n">
        <v>0</v>
      </c>
      <c r="O933" t="n">
        <v>0</v>
      </c>
      <c r="P933" t="n">
        <v>0</v>
      </c>
      <c r="Q933" t="n">
        <v>1</v>
      </c>
      <c r="R933" s="2" t="inlineStr">
        <is>
          <t>Nattviol</t>
        </is>
      </c>
      <c r="S933">
        <f>HYPERLINK("https://klasma.github.io/Logging_2560/artfynd/A 42554-2024 artfynd.xlsx", "A 42554-2024")</f>
        <v/>
      </c>
      <c r="T933">
        <f>HYPERLINK("https://klasma.github.io/Logging_2560/kartor/A 42554-2024 karta.png", "A 42554-2024")</f>
        <v/>
      </c>
      <c r="V933">
        <f>HYPERLINK("https://klasma.github.io/Logging_2560/klagomål/A 42554-2024 FSC-klagomål.docx", "A 42554-2024")</f>
        <v/>
      </c>
      <c r="W933">
        <f>HYPERLINK("https://klasma.github.io/Logging_2560/klagomålsmail/A 42554-2024 FSC-klagomål mail.docx", "A 42554-2024")</f>
        <v/>
      </c>
      <c r="X933">
        <f>HYPERLINK("https://klasma.github.io/Logging_2560/tillsyn/A 42554-2024 tillsynsbegäran.docx", "A 42554-2024")</f>
        <v/>
      </c>
      <c r="Y933">
        <f>HYPERLINK("https://klasma.github.io/Logging_2560/tillsynsmail/A 42554-2024 tillsynsbegäran mail.docx", "A 42554-2024")</f>
        <v/>
      </c>
    </row>
    <row r="934" ht="15" customHeight="1">
      <c r="A934" t="inlineStr">
        <is>
          <t>A 43039-2024</t>
        </is>
      </c>
      <c r="B934" s="1" t="n">
        <v>45567</v>
      </c>
      <c r="C934" s="1" t="n">
        <v>45758</v>
      </c>
      <c r="D934" t="inlineStr">
        <is>
          <t>NORRBOTTENS LÄN</t>
        </is>
      </c>
      <c r="E934" t="inlineStr">
        <is>
          <t>JOKKMOKK</t>
        </is>
      </c>
      <c r="F934" t="inlineStr">
        <is>
          <t>Sveaskog</t>
        </is>
      </c>
      <c r="G934" t="n">
        <v>8.199999999999999</v>
      </c>
      <c r="H934" t="n">
        <v>1</v>
      </c>
      <c r="I934" t="n">
        <v>0</v>
      </c>
      <c r="J934" t="n">
        <v>0</v>
      </c>
      <c r="K934" t="n">
        <v>1</v>
      </c>
      <c r="L934" t="n">
        <v>0</v>
      </c>
      <c r="M934" t="n">
        <v>0</v>
      </c>
      <c r="N934" t="n">
        <v>0</v>
      </c>
      <c r="O934" t="n">
        <v>1</v>
      </c>
      <c r="P934" t="n">
        <v>1</v>
      </c>
      <c r="Q934" t="n">
        <v>1</v>
      </c>
      <c r="R934" s="2" t="inlineStr">
        <is>
          <t>Doftticka</t>
        </is>
      </c>
      <c r="S934">
        <f>HYPERLINK("https://klasma.github.io/Logging_2510/artfynd/A 43039-2024 artfynd.xlsx", "A 43039-2024")</f>
        <v/>
      </c>
      <c r="T934">
        <f>HYPERLINK("https://klasma.github.io/Logging_2510/kartor/A 43039-2024 karta.png", "A 43039-2024")</f>
        <v/>
      </c>
      <c r="V934">
        <f>HYPERLINK("https://klasma.github.io/Logging_2510/klagomål/A 43039-2024 FSC-klagomål.docx", "A 43039-2024")</f>
        <v/>
      </c>
      <c r="W934">
        <f>HYPERLINK("https://klasma.github.io/Logging_2510/klagomålsmail/A 43039-2024 FSC-klagomål mail.docx", "A 43039-2024")</f>
        <v/>
      </c>
      <c r="X934">
        <f>HYPERLINK("https://klasma.github.io/Logging_2510/tillsyn/A 43039-2024 tillsynsbegäran.docx", "A 43039-2024")</f>
        <v/>
      </c>
      <c r="Y934">
        <f>HYPERLINK("https://klasma.github.io/Logging_2510/tillsynsmail/A 43039-2024 tillsynsbegäran mail.docx", "A 43039-2024")</f>
        <v/>
      </c>
    </row>
    <row r="935" ht="15" customHeight="1">
      <c r="A935" t="inlineStr">
        <is>
          <t>A 43023-2024</t>
        </is>
      </c>
      <c r="B935" s="1" t="n">
        <v>45567</v>
      </c>
      <c r="C935" s="1" t="n">
        <v>45758</v>
      </c>
      <c r="D935" t="inlineStr">
        <is>
          <t>NORRBOTTENS LÄN</t>
        </is>
      </c>
      <c r="E935" t="inlineStr">
        <is>
          <t>JOKKMOKK</t>
        </is>
      </c>
      <c r="F935" t="inlineStr">
        <is>
          <t>Sveaskog</t>
        </is>
      </c>
      <c r="G935" t="n">
        <v>11.1</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43023-2024 artfynd.xlsx", "A 43023-2024")</f>
        <v/>
      </c>
      <c r="T935">
        <f>HYPERLINK("https://klasma.github.io/Logging_2510/kartor/A 43023-2024 karta.png", "A 43023-2024")</f>
        <v/>
      </c>
      <c r="V935">
        <f>HYPERLINK("https://klasma.github.io/Logging_2510/klagomål/A 43023-2024 FSC-klagomål.docx", "A 43023-2024")</f>
        <v/>
      </c>
      <c r="W935">
        <f>HYPERLINK("https://klasma.github.io/Logging_2510/klagomålsmail/A 43023-2024 FSC-klagomål mail.docx", "A 43023-2024")</f>
        <v/>
      </c>
      <c r="X935">
        <f>HYPERLINK("https://klasma.github.io/Logging_2510/tillsyn/A 43023-2024 tillsynsbegäran.docx", "A 43023-2024")</f>
        <v/>
      </c>
      <c r="Y935">
        <f>HYPERLINK("https://klasma.github.io/Logging_2510/tillsynsmail/A 43023-2024 tillsynsbegäran mail.docx", "A 43023-2024")</f>
        <v/>
      </c>
    </row>
    <row r="936" ht="15" customHeight="1">
      <c r="A936" t="inlineStr">
        <is>
          <t>A 43774-2024</t>
        </is>
      </c>
      <c r="B936" s="1" t="n">
        <v>45570</v>
      </c>
      <c r="C936" s="1" t="n">
        <v>45758</v>
      </c>
      <c r="D936" t="inlineStr">
        <is>
          <t>NORRBOTTENS LÄN</t>
        </is>
      </c>
      <c r="E936" t="inlineStr">
        <is>
          <t>ÄLVSBYN</t>
        </is>
      </c>
      <c r="F936" t="inlineStr">
        <is>
          <t>SCA</t>
        </is>
      </c>
      <c r="G936" t="n">
        <v>2</v>
      </c>
      <c r="H936" t="n">
        <v>0</v>
      </c>
      <c r="I936" t="n">
        <v>0</v>
      </c>
      <c r="J936" t="n">
        <v>1</v>
      </c>
      <c r="K936" t="n">
        <v>0</v>
      </c>
      <c r="L936" t="n">
        <v>0</v>
      </c>
      <c r="M936" t="n">
        <v>0</v>
      </c>
      <c r="N936" t="n">
        <v>0</v>
      </c>
      <c r="O936" t="n">
        <v>1</v>
      </c>
      <c r="P936" t="n">
        <v>0</v>
      </c>
      <c r="Q936" t="n">
        <v>1</v>
      </c>
      <c r="R936" s="2" t="inlineStr">
        <is>
          <t>Gammelgransskål</t>
        </is>
      </c>
      <c r="S936">
        <f>HYPERLINK("https://klasma.github.io/Logging_2560/artfynd/A 43774-2024 artfynd.xlsx", "A 43774-2024")</f>
        <v/>
      </c>
      <c r="T936">
        <f>HYPERLINK("https://klasma.github.io/Logging_2560/kartor/A 43774-2024 karta.png", "A 43774-2024")</f>
        <v/>
      </c>
      <c r="V936">
        <f>HYPERLINK("https://klasma.github.io/Logging_2560/klagomål/A 43774-2024 FSC-klagomål.docx", "A 43774-2024")</f>
        <v/>
      </c>
      <c r="W936">
        <f>HYPERLINK("https://klasma.github.io/Logging_2560/klagomålsmail/A 43774-2024 FSC-klagomål mail.docx", "A 43774-2024")</f>
        <v/>
      </c>
      <c r="X936">
        <f>HYPERLINK("https://klasma.github.io/Logging_2560/tillsyn/A 43774-2024 tillsynsbegäran.docx", "A 43774-2024")</f>
        <v/>
      </c>
      <c r="Y936">
        <f>HYPERLINK("https://klasma.github.io/Logging_2560/tillsynsmail/A 43774-2024 tillsynsbegäran mail.docx", "A 43774-2024")</f>
        <v/>
      </c>
    </row>
    <row r="937" ht="15" customHeight="1">
      <c r="A937" t="inlineStr">
        <is>
          <t>A 44147-2024</t>
        </is>
      </c>
      <c r="B937" s="1" t="n">
        <v>45572</v>
      </c>
      <c r="C937" s="1" t="n">
        <v>45758</v>
      </c>
      <c r="D937" t="inlineStr">
        <is>
          <t>NORRBOTTENS LÄN</t>
        </is>
      </c>
      <c r="E937" t="inlineStr">
        <is>
          <t>JOKKMOKK</t>
        </is>
      </c>
      <c r="F937" t="inlineStr">
        <is>
          <t>Sveaskog</t>
        </is>
      </c>
      <c r="G937" t="n">
        <v>6.2</v>
      </c>
      <c r="H937" t="n">
        <v>1</v>
      </c>
      <c r="I937" t="n">
        <v>1</v>
      </c>
      <c r="J937" t="n">
        <v>0</v>
      </c>
      <c r="K937" t="n">
        <v>0</v>
      </c>
      <c r="L937" t="n">
        <v>0</v>
      </c>
      <c r="M937" t="n">
        <v>0</v>
      </c>
      <c r="N937" t="n">
        <v>0</v>
      </c>
      <c r="O937" t="n">
        <v>0</v>
      </c>
      <c r="P937" t="n">
        <v>0</v>
      </c>
      <c r="Q937" t="n">
        <v>1</v>
      </c>
      <c r="R937" s="2" t="inlineStr">
        <is>
          <t>Plattlummer</t>
        </is>
      </c>
      <c r="S937">
        <f>HYPERLINK("https://klasma.github.io/Logging_2510/artfynd/A 44147-2024 artfynd.xlsx", "A 44147-2024")</f>
        <v/>
      </c>
      <c r="T937">
        <f>HYPERLINK("https://klasma.github.io/Logging_2510/kartor/A 44147-2024 karta.png", "A 44147-2024")</f>
        <v/>
      </c>
      <c r="V937">
        <f>HYPERLINK("https://klasma.github.io/Logging_2510/klagomål/A 44147-2024 FSC-klagomål.docx", "A 44147-2024")</f>
        <v/>
      </c>
      <c r="W937">
        <f>HYPERLINK("https://klasma.github.io/Logging_2510/klagomålsmail/A 44147-2024 FSC-klagomål mail.docx", "A 44147-2024")</f>
        <v/>
      </c>
      <c r="X937">
        <f>HYPERLINK("https://klasma.github.io/Logging_2510/tillsyn/A 44147-2024 tillsynsbegäran.docx", "A 44147-2024")</f>
        <v/>
      </c>
      <c r="Y937">
        <f>HYPERLINK("https://klasma.github.io/Logging_2510/tillsynsmail/A 44147-2024 tillsynsbegäran mail.docx", "A 44147-2024")</f>
        <v/>
      </c>
    </row>
    <row r="938" ht="15" customHeight="1">
      <c r="A938" t="inlineStr">
        <is>
          <t>A 44481-2024</t>
        </is>
      </c>
      <c r="B938" s="1" t="n">
        <v>45574</v>
      </c>
      <c r="C938" s="1" t="n">
        <v>45758</v>
      </c>
      <c r="D938" t="inlineStr">
        <is>
          <t>NORRBOTTENS LÄN</t>
        </is>
      </c>
      <c r="E938" t="inlineStr">
        <is>
          <t>GÄLLIVARE</t>
        </is>
      </c>
      <c r="F938" t="inlineStr">
        <is>
          <t>Sveaskog</t>
        </is>
      </c>
      <c r="G938" t="n">
        <v>10.8</v>
      </c>
      <c r="H938" t="n">
        <v>0</v>
      </c>
      <c r="I938" t="n">
        <v>0</v>
      </c>
      <c r="J938" t="n">
        <v>1</v>
      </c>
      <c r="K938" t="n">
        <v>0</v>
      </c>
      <c r="L938" t="n">
        <v>0</v>
      </c>
      <c r="M938" t="n">
        <v>0</v>
      </c>
      <c r="N938" t="n">
        <v>0</v>
      </c>
      <c r="O938" t="n">
        <v>1</v>
      </c>
      <c r="P938" t="n">
        <v>0</v>
      </c>
      <c r="Q938" t="n">
        <v>1</v>
      </c>
      <c r="R938" s="2" t="inlineStr">
        <is>
          <t>Motaggsvamp</t>
        </is>
      </c>
      <c r="S938">
        <f>HYPERLINK("https://klasma.github.io/Logging_2523/artfynd/A 44481-2024 artfynd.xlsx", "A 44481-2024")</f>
        <v/>
      </c>
      <c r="T938">
        <f>HYPERLINK("https://klasma.github.io/Logging_2523/kartor/A 44481-2024 karta.png", "A 44481-2024")</f>
        <v/>
      </c>
      <c r="V938">
        <f>HYPERLINK("https://klasma.github.io/Logging_2523/klagomål/A 44481-2024 FSC-klagomål.docx", "A 44481-2024")</f>
        <v/>
      </c>
      <c r="W938">
        <f>HYPERLINK("https://klasma.github.io/Logging_2523/klagomålsmail/A 44481-2024 FSC-klagomål mail.docx", "A 44481-2024")</f>
        <v/>
      </c>
      <c r="X938">
        <f>HYPERLINK("https://klasma.github.io/Logging_2523/tillsyn/A 44481-2024 tillsynsbegäran.docx", "A 44481-2024")</f>
        <v/>
      </c>
      <c r="Y938">
        <f>HYPERLINK("https://klasma.github.io/Logging_2523/tillsynsmail/A 44481-2024 tillsynsbegäran mail.docx", "A 44481-2024")</f>
        <v/>
      </c>
    </row>
    <row r="939" ht="15" customHeight="1">
      <c r="A939" t="inlineStr">
        <is>
          <t>A 44648-2024</t>
        </is>
      </c>
      <c r="B939" s="1" t="n">
        <v>45574</v>
      </c>
      <c r="C939" s="1" t="n">
        <v>45758</v>
      </c>
      <c r="D939" t="inlineStr">
        <is>
          <t>NORRBOTTENS LÄN</t>
        </is>
      </c>
      <c r="E939" t="inlineStr">
        <is>
          <t>GÄLLIVARE</t>
        </is>
      </c>
      <c r="F939" t="inlineStr">
        <is>
          <t>Sveaskog</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HYPERLINK("https://klasma.github.io/Logging_2523/artfynd/A 44648-2024 artfynd.xlsx", "A 44648-2024")</f>
        <v/>
      </c>
      <c r="T939">
        <f>HYPERLINK("https://klasma.github.io/Logging_2523/kartor/A 44648-2024 karta.png", "A 44648-2024")</f>
        <v/>
      </c>
      <c r="V939">
        <f>HYPERLINK("https://klasma.github.io/Logging_2523/klagomål/A 44648-2024 FSC-klagomål.docx", "A 44648-2024")</f>
        <v/>
      </c>
      <c r="W939">
        <f>HYPERLINK("https://klasma.github.io/Logging_2523/klagomålsmail/A 44648-2024 FSC-klagomål mail.docx", "A 44648-2024")</f>
        <v/>
      </c>
      <c r="X939">
        <f>HYPERLINK("https://klasma.github.io/Logging_2523/tillsyn/A 44648-2024 tillsynsbegäran.docx", "A 44648-2024")</f>
        <v/>
      </c>
      <c r="Y939">
        <f>HYPERLINK("https://klasma.github.io/Logging_2523/tillsynsmail/A 44648-2024 tillsynsbegäran mail.docx", "A 44648-2024")</f>
        <v/>
      </c>
    </row>
    <row r="940" ht="15" customHeight="1">
      <c r="A940" t="inlineStr">
        <is>
          <t>A 44704-2024</t>
        </is>
      </c>
      <c r="B940" s="1" t="n">
        <v>45574</v>
      </c>
      <c r="C940" s="1" t="n">
        <v>45758</v>
      </c>
      <c r="D940" t="inlineStr">
        <is>
          <t>NORRBOTTENS LÄN</t>
        </is>
      </c>
      <c r="E940" t="inlineStr">
        <is>
          <t>PITEÅ</t>
        </is>
      </c>
      <c r="F940" t="inlineStr">
        <is>
          <t>Sveaskog</t>
        </is>
      </c>
      <c r="G940" t="n">
        <v>3.2</v>
      </c>
      <c r="H940" t="n">
        <v>0</v>
      </c>
      <c r="I940" t="n">
        <v>0</v>
      </c>
      <c r="J940" t="n">
        <v>1</v>
      </c>
      <c r="K940" t="n">
        <v>0</v>
      </c>
      <c r="L940" t="n">
        <v>0</v>
      </c>
      <c r="M940" t="n">
        <v>0</v>
      </c>
      <c r="N940" t="n">
        <v>0</v>
      </c>
      <c r="O940" t="n">
        <v>1</v>
      </c>
      <c r="P940" t="n">
        <v>0</v>
      </c>
      <c r="Q940" t="n">
        <v>1</v>
      </c>
      <c r="R940" s="2" t="inlineStr">
        <is>
          <t>Granticka</t>
        </is>
      </c>
      <c r="S940">
        <f>HYPERLINK("https://klasma.github.io/Logging_2581/artfynd/A 44704-2024 artfynd.xlsx", "A 44704-2024")</f>
        <v/>
      </c>
      <c r="T940">
        <f>HYPERLINK("https://klasma.github.io/Logging_2581/kartor/A 44704-2024 karta.png", "A 44704-2024")</f>
        <v/>
      </c>
      <c r="V940">
        <f>HYPERLINK("https://klasma.github.io/Logging_2581/klagomål/A 44704-2024 FSC-klagomål.docx", "A 44704-2024")</f>
        <v/>
      </c>
      <c r="W940">
        <f>HYPERLINK("https://klasma.github.io/Logging_2581/klagomålsmail/A 44704-2024 FSC-klagomål mail.docx", "A 44704-2024")</f>
        <v/>
      </c>
      <c r="X940">
        <f>HYPERLINK("https://klasma.github.io/Logging_2581/tillsyn/A 44704-2024 tillsynsbegäran.docx", "A 44704-2024")</f>
        <v/>
      </c>
      <c r="Y940">
        <f>HYPERLINK("https://klasma.github.io/Logging_2581/tillsynsmail/A 44704-2024 tillsynsbegäran mail.docx", "A 44704-2024")</f>
        <v/>
      </c>
    </row>
    <row r="941" ht="15" customHeight="1">
      <c r="A941" t="inlineStr">
        <is>
          <t>A 44777-2024</t>
        </is>
      </c>
      <c r="B941" s="1" t="n">
        <v>45574</v>
      </c>
      <c r="C941" s="1" t="n">
        <v>45758</v>
      </c>
      <c r="D941" t="inlineStr">
        <is>
          <t>NORRBOTTENS LÄN</t>
        </is>
      </c>
      <c r="E941" t="inlineStr">
        <is>
          <t>PAJALA</t>
        </is>
      </c>
      <c r="F941" t="inlineStr">
        <is>
          <t>Sveaskog</t>
        </is>
      </c>
      <c r="G941" t="n">
        <v>6.3</v>
      </c>
      <c r="H941" t="n">
        <v>0</v>
      </c>
      <c r="I941" t="n">
        <v>0</v>
      </c>
      <c r="J941" t="n">
        <v>1</v>
      </c>
      <c r="K941" t="n">
        <v>0</v>
      </c>
      <c r="L941" t="n">
        <v>0</v>
      </c>
      <c r="M941" t="n">
        <v>0</v>
      </c>
      <c r="N941" t="n">
        <v>0</v>
      </c>
      <c r="O941" t="n">
        <v>1</v>
      </c>
      <c r="P941" t="n">
        <v>0</v>
      </c>
      <c r="Q941" t="n">
        <v>1</v>
      </c>
      <c r="R941" s="2" t="inlineStr">
        <is>
          <t>Garnlav</t>
        </is>
      </c>
      <c r="S941">
        <f>HYPERLINK("https://klasma.github.io/Logging_2521/artfynd/A 44777-2024 artfynd.xlsx", "A 44777-2024")</f>
        <v/>
      </c>
      <c r="T941">
        <f>HYPERLINK("https://klasma.github.io/Logging_2521/kartor/A 44777-2024 karta.png", "A 44777-2024")</f>
        <v/>
      </c>
      <c r="V941">
        <f>HYPERLINK("https://klasma.github.io/Logging_2521/klagomål/A 44777-2024 FSC-klagomål.docx", "A 44777-2024")</f>
        <v/>
      </c>
      <c r="W941">
        <f>HYPERLINK("https://klasma.github.io/Logging_2521/klagomålsmail/A 44777-2024 FSC-klagomål mail.docx", "A 44777-2024")</f>
        <v/>
      </c>
      <c r="X941">
        <f>HYPERLINK("https://klasma.github.io/Logging_2521/tillsyn/A 44777-2024 tillsynsbegäran.docx", "A 44777-2024")</f>
        <v/>
      </c>
      <c r="Y941">
        <f>HYPERLINK("https://klasma.github.io/Logging_2521/tillsynsmail/A 44777-2024 tillsynsbegäran mail.docx", "A 44777-2024")</f>
        <v/>
      </c>
    </row>
    <row r="942" ht="15" customHeight="1">
      <c r="A942" t="inlineStr">
        <is>
          <t>A 45386-2024</t>
        </is>
      </c>
      <c r="B942" s="1" t="n">
        <v>45576</v>
      </c>
      <c r="C942" s="1" t="n">
        <v>45758</v>
      </c>
      <c r="D942" t="inlineStr">
        <is>
          <t>NORRBOTTENS LÄN</t>
        </is>
      </c>
      <c r="E942" t="inlineStr">
        <is>
          <t>ARVIDSJAUR</t>
        </is>
      </c>
      <c r="F942" t="inlineStr">
        <is>
          <t>Sveaskog</t>
        </is>
      </c>
      <c r="G942" t="n">
        <v>11.9</v>
      </c>
      <c r="H942" t="n">
        <v>0</v>
      </c>
      <c r="I942" t="n">
        <v>1</v>
      </c>
      <c r="J942" t="n">
        <v>0</v>
      </c>
      <c r="K942" t="n">
        <v>0</v>
      </c>
      <c r="L942" t="n">
        <v>0</v>
      </c>
      <c r="M942" t="n">
        <v>0</v>
      </c>
      <c r="N942" t="n">
        <v>0</v>
      </c>
      <c r="O942" t="n">
        <v>0</v>
      </c>
      <c r="P942" t="n">
        <v>0</v>
      </c>
      <c r="Q942" t="n">
        <v>1</v>
      </c>
      <c r="R942" s="2" t="inlineStr">
        <is>
          <t>Dropptaggsvamp</t>
        </is>
      </c>
      <c r="S942">
        <f>HYPERLINK("https://klasma.github.io/Logging_2505/artfynd/A 45386-2024 artfynd.xlsx", "A 45386-2024")</f>
        <v/>
      </c>
      <c r="T942">
        <f>HYPERLINK("https://klasma.github.io/Logging_2505/kartor/A 45386-2024 karta.png", "A 45386-2024")</f>
        <v/>
      </c>
      <c r="V942">
        <f>HYPERLINK("https://klasma.github.io/Logging_2505/klagomål/A 45386-2024 FSC-klagomål.docx", "A 45386-2024")</f>
        <v/>
      </c>
      <c r="W942">
        <f>HYPERLINK("https://klasma.github.io/Logging_2505/klagomålsmail/A 45386-2024 FSC-klagomål mail.docx", "A 45386-2024")</f>
        <v/>
      </c>
      <c r="X942">
        <f>HYPERLINK("https://klasma.github.io/Logging_2505/tillsyn/A 45386-2024 tillsynsbegäran.docx", "A 45386-2024")</f>
        <v/>
      </c>
      <c r="Y942">
        <f>HYPERLINK("https://klasma.github.io/Logging_2505/tillsynsmail/A 45386-2024 tillsynsbegäran mail.docx", "A 45386-2024")</f>
        <v/>
      </c>
    </row>
    <row r="943" ht="15" customHeight="1">
      <c r="A943" t="inlineStr">
        <is>
          <t>A 46280-2024</t>
        </is>
      </c>
      <c r="B943" s="1" t="n">
        <v>45581</v>
      </c>
      <c r="C943" s="1" t="n">
        <v>45758</v>
      </c>
      <c r="D943" t="inlineStr">
        <is>
          <t>NORRBOTTENS LÄN</t>
        </is>
      </c>
      <c r="E943" t="inlineStr">
        <is>
          <t>ÖVERKALIX</t>
        </is>
      </c>
      <c r="F943" t="inlineStr">
        <is>
          <t>SCA</t>
        </is>
      </c>
      <c r="G943" t="n">
        <v>6</v>
      </c>
      <c r="H943" t="n">
        <v>1</v>
      </c>
      <c r="I943" t="n">
        <v>0</v>
      </c>
      <c r="J943" t="n">
        <v>1</v>
      </c>
      <c r="K943" t="n">
        <v>0</v>
      </c>
      <c r="L943" t="n">
        <v>0</v>
      </c>
      <c r="M943" t="n">
        <v>0</v>
      </c>
      <c r="N943" t="n">
        <v>0</v>
      </c>
      <c r="O943" t="n">
        <v>1</v>
      </c>
      <c r="P943" t="n">
        <v>0</v>
      </c>
      <c r="Q943" t="n">
        <v>1</v>
      </c>
      <c r="R943" s="2" t="inlineStr">
        <is>
          <t>Spillkråka</t>
        </is>
      </c>
      <c r="S943">
        <f>HYPERLINK("https://klasma.github.io/Logging_2513/artfynd/A 46280-2024 artfynd.xlsx", "A 46280-2024")</f>
        <v/>
      </c>
      <c r="T943">
        <f>HYPERLINK("https://klasma.github.io/Logging_2513/kartor/A 46280-2024 karta.png", "A 46280-2024")</f>
        <v/>
      </c>
      <c r="V943">
        <f>HYPERLINK("https://klasma.github.io/Logging_2513/klagomål/A 46280-2024 FSC-klagomål.docx", "A 46280-2024")</f>
        <v/>
      </c>
      <c r="W943">
        <f>HYPERLINK("https://klasma.github.io/Logging_2513/klagomålsmail/A 46280-2024 FSC-klagomål mail.docx", "A 46280-2024")</f>
        <v/>
      </c>
      <c r="X943">
        <f>HYPERLINK("https://klasma.github.io/Logging_2513/tillsyn/A 46280-2024 tillsynsbegäran.docx", "A 46280-2024")</f>
        <v/>
      </c>
      <c r="Y943">
        <f>HYPERLINK("https://klasma.github.io/Logging_2513/tillsynsmail/A 46280-2024 tillsynsbegäran mail.docx", "A 46280-2024")</f>
        <v/>
      </c>
      <c r="Z943">
        <f>HYPERLINK("https://klasma.github.io/Logging_2513/fåglar/A 46280-2024 prioriterade fågelarter.docx", "A 46280-2024")</f>
        <v/>
      </c>
    </row>
    <row r="944" ht="15" customHeight="1">
      <c r="A944" t="inlineStr">
        <is>
          <t>A 46281-2024</t>
        </is>
      </c>
      <c r="B944" s="1" t="n">
        <v>45581</v>
      </c>
      <c r="C944" s="1" t="n">
        <v>45758</v>
      </c>
      <c r="D944" t="inlineStr">
        <is>
          <t>NORRBOTTENS LÄN</t>
        </is>
      </c>
      <c r="E944" t="inlineStr">
        <is>
          <t>ÖVERKALIX</t>
        </is>
      </c>
      <c r="F944" t="inlineStr">
        <is>
          <t>SCA</t>
        </is>
      </c>
      <c r="G944" t="n">
        <v>1.2</v>
      </c>
      <c r="H944" t="n">
        <v>0</v>
      </c>
      <c r="I944" t="n">
        <v>0</v>
      </c>
      <c r="J944" t="n">
        <v>1</v>
      </c>
      <c r="K944" t="n">
        <v>0</v>
      </c>
      <c r="L944" t="n">
        <v>0</v>
      </c>
      <c r="M944" t="n">
        <v>0</v>
      </c>
      <c r="N944" t="n">
        <v>0</v>
      </c>
      <c r="O944" t="n">
        <v>1</v>
      </c>
      <c r="P944" t="n">
        <v>0</v>
      </c>
      <c r="Q944" t="n">
        <v>1</v>
      </c>
      <c r="R944" s="2" t="inlineStr">
        <is>
          <t>Blå taggsvamp</t>
        </is>
      </c>
      <c r="S944">
        <f>HYPERLINK("https://klasma.github.io/Logging_2513/artfynd/A 46281-2024 artfynd.xlsx", "A 46281-2024")</f>
        <v/>
      </c>
      <c r="T944">
        <f>HYPERLINK("https://klasma.github.io/Logging_2513/kartor/A 46281-2024 karta.png", "A 46281-2024")</f>
        <v/>
      </c>
      <c r="V944">
        <f>HYPERLINK("https://klasma.github.io/Logging_2513/klagomål/A 46281-2024 FSC-klagomål.docx", "A 46281-2024")</f>
        <v/>
      </c>
      <c r="W944">
        <f>HYPERLINK("https://klasma.github.io/Logging_2513/klagomålsmail/A 46281-2024 FSC-klagomål mail.docx", "A 46281-2024")</f>
        <v/>
      </c>
      <c r="X944">
        <f>HYPERLINK("https://klasma.github.io/Logging_2513/tillsyn/A 46281-2024 tillsynsbegäran.docx", "A 46281-2024")</f>
        <v/>
      </c>
      <c r="Y944">
        <f>HYPERLINK("https://klasma.github.io/Logging_2513/tillsynsmail/A 46281-2024 tillsynsbegäran mail.docx", "A 46281-2024")</f>
        <v/>
      </c>
    </row>
    <row r="945" ht="15" customHeight="1">
      <c r="A945" t="inlineStr">
        <is>
          <t>A 46388-2024</t>
        </is>
      </c>
      <c r="B945" s="1" t="n">
        <v>45582</v>
      </c>
      <c r="C945" s="1" t="n">
        <v>45758</v>
      </c>
      <c r="D945" t="inlineStr">
        <is>
          <t>NORRBOTTENS LÄN</t>
        </is>
      </c>
      <c r="E945" t="inlineStr">
        <is>
          <t>JOKKMOKK</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HYPERLINK("https://klasma.github.io/Logging_2510/artfynd/A 46388-2024 artfynd.xlsx", "A 46388-2024")</f>
        <v/>
      </c>
      <c r="T945">
        <f>HYPERLINK("https://klasma.github.io/Logging_2510/kartor/A 46388-2024 karta.png", "A 46388-2024")</f>
        <v/>
      </c>
      <c r="V945">
        <f>HYPERLINK("https://klasma.github.io/Logging_2510/klagomål/A 46388-2024 FSC-klagomål.docx", "A 46388-2024")</f>
        <v/>
      </c>
      <c r="W945">
        <f>HYPERLINK("https://klasma.github.io/Logging_2510/klagomålsmail/A 46388-2024 FSC-klagomål mail.docx", "A 46388-2024")</f>
        <v/>
      </c>
      <c r="X945">
        <f>HYPERLINK("https://klasma.github.io/Logging_2510/tillsyn/A 46388-2024 tillsynsbegäran.docx", "A 46388-2024")</f>
        <v/>
      </c>
      <c r="Y945">
        <f>HYPERLINK("https://klasma.github.io/Logging_2510/tillsynsmail/A 46388-2024 tillsynsbegäran mail.docx", "A 46388-2024")</f>
        <v/>
      </c>
    </row>
    <row r="946" ht="15" customHeight="1">
      <c r="A946" t="inlineStr">
        <is>
          <t>A 46652-2024</t>
        </is>
      </c>
      <c r="B946" s="1" t="n">
        <v>45583</v>
      </c>
      <c r="C946" s="1" t="n">
        <v>45758</v>
      </c>
      <c r="D946" t="inlineStr">
        <is>
          <t>NORRBOTTENS LÄN</t>
        </is>
      </c>
      <c r="E946" t="inlineStr">
        <is>
          <t>GÄLLIVARE</t>
        </is>
      </c>
      <c r="F946" t="inlineStr">
        <is>
          <t>Sveaskog</t>
        </is>
      </c>
      <c r="G946" t="n">
        <v>10.2</v>
      </c>
      <c r="H946" t="n">
        <v>0</v>
      </c>
      <c r="I946" t="n">
        <v>0</v>
      </c>
      <c r="J946" t="n">
        <v>1</v>
      </c>
      <c r="K946" t="n">
        <v>0</v>
      </c>
      <c r="L946" t="n">
        <v>0</v>
      </c>
      <c r="M946" t="n">
        <v>0</v>
      </c>
      <c r="N946" t="n">
        <v>0</v>
      </c>
      <c r="O946" t="n">
        <v>1</v>
      </c>
      <c r="P946" t="n">
        <v>0</v>
      </c>
      <c r="Q946" t="n">
        <v>1</v>
      </c>
      <c r="R946" s="2" t="inlineStr">
        <is>
          <t>Motaggsvamp</t>
        </is>
      </c>
      <c r="S946">
        <f>HYPERLINK("https://klasma.github.io/Logging_2523/artfynd/A 46652-2024 artfynd.xlsx", "A 46652-2024")</f>
        <v/>
      </c>
      <c r="T946">
        <f>HYPERLINK("https://klasma.github.io/Logging_2523/kartor/A 46652-2024 karta.png", "A 46652-2024")</f>
        <v/>
      </c>
      <c r="V946">
        <f>HYPERLINK("https://klasma.github.io/Logging_2523/klagomål/A 46652-2024 FSC-klagomål.docx", "A 46652-2024")</f>
        <v/>
      </c>
      <c r="W946">
        <f>HYPERLINK("https://klasma.github.io/Logging_2523/klagomålsmail/A 46652-2024 FSC-klagomål mail.docx", "A 46652-2024")</f>
        <v/>
      </c>
      <c r="X946">
        <f>HYPERLINK("https://klasma.github.io/Logging_2523/tillsyn/A 46652-2024 tillsynsbegäran.docx", "A 46652-2024")</f>
        <v/>
      </c>
      <c r="Y946">
        <f>HYPERLINK("https://klasma.github.io/Logging_2523/tillsynsmail/A 46652-2024 tillsynsbegäran mail.docx", "A 46652-2024")</f>
        <v/>
      </c>
    </row>
    <row r="947" ht="15" customHeight="1">
      <c r="A947" t="inlineStr">
        <is>
          <t>A 46952-2024</t>
        </is>
      </c>
      <c r="B947" s="1" t="n">
        <v>45585</v>
      </c>
      <c r="C947" s="1" t="n">
        <v>45758</v>
      </c>
      <c r="D947" t="inlineStr">
        <is>
          <t>NORRBOTTENS LÄN</t>
        </is>
      </c>
      <c r="E947" t="inlineStr">
        <is>
          <t>PAJALA</t>
        </is>
      </c>
      <c r="G947" t="n">
        <v>19.1</v>
      </c>
      <c r="H947" t="n">
        <v>1</v>
      </c>
      <c r="I947" t="n">
        <v>1</v>
      </c>
      <c r="J947" t="n">
        <v>0</v>
      </c>
      <c r="K947" t="n">
        <v>0</v>
      </c>
      <c r="L947" t="n">
        <v>0</v>
      </c>
      <c r="M947" t="n">
        <v>0</v>
      </c>
      <c r="N947" t="n">
        <v>0</v>
      </c>
      <c r="O947" t="n">
        <v>0</v>
      </c>
      <c r="P947" t="n">
        <v>0</v>
      </c>
      <c r="Q947" t="n">
        <v>1</v>
      </c>
      <c r="R947" s="2" t="inlineStr">
        <is>
          <t>Lappranunkel</t>
        </is>
      </c>
      <c r="S947">
        <f>HYPERLINK("https://klasma.github.io/Logging_2521/artfynd/A 46952-2024 artfynd.xlsx", "A 46952-2024")</f>
        <v/>
      </c>
      <c r="T947">
        <f>HYPERLINK("https://klasma.github.io/Logging_2521/kartor/A 46952-2024 karta.png", "A 46952-2024")</f>
        <v/>
      </c>
      <c r="V947">
        <f>HYPERLINK("https://klasma.github.io/Logging_2521/klagomål/A 46952-2024 FSC-klagomål.docx", "A 46952-2024")</f>
        <v/>
      </c>
      <c r="W947">
        <f>HYPERLINK("https://klasma.github.io/Logging_2521/klagomålsmail/A 46952-2024 FSC-klagomål mail.docx", "A 46952-2024")</f>
        <v/>
      </c>
      <c r="X947">
        <f>HYPERLINK("https://klasma.github.io/Logging_2521/tillsyn/A 46952-2024 tillsynsbegäran.docx", "A 46952-2024")</f>
        <v/>
      </c>
      <c r="Y947">
        <f>HYPERLINK("https://klasma.github.io/Logging_2521/tillsynsmail/A 46952-2024 tillsynsbegäran mail.docx", "A 46952-2024")</f>
        <v/>
      </c>
    </row>
    <row r="948" ht="15" customHeight="1">
      <c r="A948" t="inlineStr">
        <is>
          <t>A 47018-2024</t>
        </is>
      </c>
      <c r="B948" s="1" t="n">
        <v>45586</v>
      </c>
      <c r="C948" s="1" t="n">
        <v>45758</v>
      </c>
      <c r="D948" t="inlineStr">
        <is>
          <t>NORRBOTTENS LÄN</t>
        </is>
      </c>
      <c r="E948" t="inlineStr">
        <is>
          <t>BODEN</t>
        </is>
      </c>
      <c r="F948" t="inlineStr">
        <is>
          <t>Sveaskog</t>
        </is>
      </c>
      <c r="G948" t="n">
        <v>18.1</v>
      </c>
      <c r="H948" t="n">
        <v>0</v>
      </c>
      <c r="I948" t="n">
        <v>0</v>
      </c>
      <c r="J948" t="n">
        <v>1</v>
      </c>
      <c r="K948" t="n">
        <v>0</v>
      </c>
      <c r="L948" t="n">
        <v>0</v>
      </c>
      <c r="M948" t="n">
        <v>0</v>
      </c>
      <c r="N948" t="n">
        <v>0</v>
      </c>
      <c r="O948" t="n">
        <v>1</v>
      </c>
      <c r="P948" t="n">
        <v>0</v>
      </c>
      <c r="Q948" t="n">
        <v>1</v>
      </c>
      <c r="R948" s="2" t="inlineStr">
        <is>
          <t>Blågrå svartspik</t>
        </is>
      </c>
      <c r="S948">
        <f>HYPERLINK("https://klasma.github.io/Logging_2582/artfynd/A 47018-2024 artfynd.xlsx", "A 47018-2024")</f>
        <v/>
      </c>
      <c r="T948">
        <f>HYPERLINK("https://klasma.github.io/Logging_2582/kartor/A 47018-2024 karta.png", "A 47018-2024")</f>
        <v/>
      </c>
      <c r="V948">
        <f>HYPERLINK("https://klasma.github.io/Logging_2582/klagomål/A 47018-2024 FSC-klagomål.docx", "A 47018-2024")</f>
        <v/>
      </c>
      <c r="W948">
        <f>HYPERLINK("https://klasma.github.io/Logging_2582/klagomålsmail/A 47018-2024 FSC-klagomål mail.docx", "A 47018-2024")</f>
        <v/>
      </c>
      <c r="X948">
        <f>HYPERLINK("https://klasma.github.io/Logging_2582/tillsyn/A 47018-2024 tillsynsbegäran.docx", "A 47018-2024")</f>
        <v/>
      </c>
      <c r="Y948">
        <f>HYPERLINK("https://klasma.github.io/Logging_2582/tillsynsmail/A 47018-2024 tillsynsbegäran mail.docx", "A 47018-2024")</f>
        <v/>
      </c>
    </row>
    <row r="949" ht="15" customHeight="1">
      <c r="A949" t="inlineStr">
        <is>
          <t>A 47680-2024</t>
        </is>
      </c>
      <c r="B949" s="1" t="n">
        <v>45588</v>
      </c>
      <c r="C949" s="1" t="n">
        <v>45758</v>
      </c>
      <c r="D949" t="inlineStr">
        <is>
          <t>NORRBOTTENS LÄN</t>
        </is>
      </c>
      <c r="E949" t="inlineStr">
        <is>
          <t>ÖVERKALIX</t>
        </is>
      </c>
      <c r="F949" t="inlineStr">
        <is>
          <t>Sveaskog</t>
        </is>
      </c>
      <c r="G949" t="n">
        <v>2.1</v>
      </c>
      <c r="H949" t="n">
        <v>0</v>
      </c>
      <c r="I949" t="n">
        <v>0</v>
      </c>
      <c r="J949" t="n">
        <v>1</v>
      </c>
      <c r="K949" t="n">
        <v>0</v>
      </c>
      <c r="L949" t="n">
        <v>0</v>
      </c>
      <c r="M949" t="n">
        <v>0</v>
      </c>
      <c r="N949" t="n">
        <v>0</v>
      </c>
      <c r="O949" t="n">
        <v>1</v>
      </c>
      <c r="P949" t="n">
        <v>0</v>
      </c>
      <c r="Q949" t="n">
        <v>1</v>
      </c>
      <c r="R949" s="2" t="inlineStr">
        <is>
          <t>Blå taggsvamp</t>
        </is>
      </c>
      <c r="S949">
        <f>HYPERLINK("https://klasma.github.io/Logging_2513/artfynd/A 47680-2024 artfynd.xlsx", "A 47680-2024")</f>
        <v/>
      </c>
      <c r="T949">
        <f>HYPERLINK("https://klasma.github.io/Logging_2513/kartor/A 47680-2024 karta.png", "A 47680-2024")</f>
        <v/>
      </c>
      <c r="V949">
        <f>HYPERLINK("https://klasma.github.io/Logging_2513/klagomål/A 47680-2024 FSC-klagomål.docx", "A 47680-2024")</f>
        <v/>
      </c>
      <c r="W949">
        <f>HYPERLINK("https://klasma.github.io/Logging_2513/klagomålsmail/A 47680-2024 FSC-klagomål mail.docx", "A 47680-2024")</f>
        <v/>
      </c>
      <c r="X949">
        <f>HYPERLINK("https://klasma.github.io/Logging_2513/tillsyn/A 47680-2024 tillsynsbegäran.docx", "A 47680-2024")</f>
        <v/>
      </c>
      <c r="Y949">
        <f>HYPERLINK("https://klasma.github.io/Logging_2513/tillsynsmail/A 47680-2024 tillsynsbegäran mail.docx", "A 47680-2024")</f>
        <v/>
      </c>
    </row>
    <row r="950" ht="15" customHeight="1">
      <c r="A950" t="inlineStr">
        <is>
          <t>A 48368-2024</t>
        </is>
      </c>
      <c r="B950" s="1" t="n">
        <v>45590</v>
      </c>
      <c r="C950" s="1" t="n">
        <v>45758</v>
      </c>
      <c r="D950" t="inlineStr">
        <is>
          <t>NORRBOTTENS LÄN</t>
        </is>
      </c>
      <c r="E950" t="inlineStr">
        <is>
          <t>ARVIDSJAUR</t>
        </is>
      </c>
      <c r="F950" t="inlineStr">
        <is>
          <t>Sveaskog</t>
        </is>
      </c>
      <c r="G950" t="n">
        <v>7.2</v>
      </c>
      <c r="H950" t="n">
        <v>0</v>
      </c>
      <c r="I950" t="n">
        <v>0</v>
      </c>
      <c r="J950" t="n">
        <v>1</v>
      </c>
      <c r="K950" t="n">
        <v>0</v>
      </c>
      <c r="L950" t="n">
        <v>0</v>
      </c>
      <c r="M950" t="n">
        <v>0</v>
      </c>
      <c r="N950" t="n">
        <v>0</v>
      </c>
      <c r="O950" t="n">
        <v>1</v>
      </c>
      <c r="P950" t="n">
        <v>0</v>
      </c>
      <c r="Q950" t="n">
        <v>1</v>
      </c>
      <c r="R950" s="2" t="inlineStr">
        <is>
          <t>Orange taggsvamp</t>
        </is>
      </c>
      <c r="S950">
        <f>HYPERLINK("https://klasma.github.io/Logging_2505/artfynd/A 48368-2024 artfynd.xlsx", "A 48368-2024")</f>
        <v/>
      </c>
      <c r="T950">
        <f>HYPERLINK("https://klasma.github.io/Logging_2505/kartor/A 48368-2024 karta.png", "A 48368-2024")</f>
        <v/>
      </c>
      <c r="V950">
        <f>HYPERLINK("https://klasma.github.io/Logging_2505/klagomål/A 48368-2024 FSC-klagomål.docx", "A 48368-2024")</f>
        <v/>
      </c>
      <c r="W950">
        <f>HYPERLINK("https://klasma.github.io/Logging_2505/klagomålsmail/A 48368-2024 FSC-klagomål mail.docx", "A 48368-2024")</f>
        <v/>
      </c>
      <c r="X950">
        <f>HYPERLINK("https://klasma.github.io/Logging_2505/tillsyn/A 48368-2024 tillsynsbegäran.docx", "A 48368-2024")</f>
        <v/>
      </c>
      <c r="Y950">
        <f>HYPERLINK("https://klasma.github.io/Logging_2505/tillsynsmail/A 48368-2024 tillsynsbegäran mail.docx", "A 48368-2024")</f>
        <v/>
      </c>
    </row>
    <row r="951" ht="15" customHeight="1">
      <c r="A951" t="inlineStr">
        <is>
          <t>A 48899-2024</t>
        </is>
      </c>
      <c r="B951" s="1" t="n">
        <v>45594</v>
      </c>
      <c r="C951" s="1" t="n">
        <v>45758</v>
      </c>
      <c r="D951" t="inlineStr">
        <is>
          <t>NORRBOTTENS LÄN</t>
        </is>
      </c>
      <c r="E951" t="inlineStr">
        <is>
          <t>BODEN</t>
        </is>
      </c>
      <c r="F951" t="inlineStr">
        <is>
          <t>SCA</t>
        </is>
      </c>
      <c r="G951" t="n">
        <v>18</v>
      </c>
      <c r="H951" t="n">
        <v>1</v>
      </c>
      <c r="I951" t="n">
        <v>0</v>
      </c>
      <c r="J951" t="n">
        <v>0</v>
      </c>
      <c r="K951" t="n">
        <v>0</v>
      </c>
      <c r="L951" t="n">
        <v>0</v>
      </c>
      <c r="M951" t="n">
        <v>0</v>
      </c>
      <c r="N951" t="n">
        <v>0</v>
      </c>
      <c r="O951" t="n">
        <v>0</v>
      </c>
      <c r="P951" t="n">
        <v>0</v>
      </c>
      <c r="Q951" t="n">
        <v>1</v>
      </c>
      <c r="R951" s="2" t="inlineStr">
        <is>
          <t>Fläcknycklar</t>
        </is>
      </c>
      <c r="S951">
        <f>HYPERLINK("https://klasma.github.io/Logging_2582/artfynd/A 48899-2024 artfynd.xlsx", "A 48899-2024")</f>
        <v/>
      </c>
      <c r="T951">
        <f>HYPERLINK("https://klasma.github.io/Logging_2582/kartor/A 48899-2024 karta.png", "A 48899-2024")</f>
        <v/>
      </c>
      <c r="V951">
        <f>HYPERLINK("https://klasma.github.io/Logging_2582/klagomål/A 48899-2024 FSC-klagomål.docx", "A 48899-2024")</f>
        <v/>
      </c>
      <c r="W951">
        <f>HYPERLINK("https://klasma.github.io/Logging_2582/klagomålsmail/A 48899-2024 FSC-klagomål mail.docx", "A 48899-2024")</f>
        <v/>
      </c>
      <c r="X951">
        <f>HYPERLINK("https://klasma.github.io/Logging_2582/tillsyn/A 48899-2024 tillsynsbegäran.docx", "A 48899-2024")</f>
        <v/>
      </c>
      <c r="Y951">
        <f>HYPERLINK("https://klasma.github.io/Logging_2582/tillsynsmail/A 48899-2024 tillsynsbegäran mail.docx", "A 48899-2024")</f>
        <v/>
      </c>
    </row>
    <row r="952" ht="15" customHeight="1">
      <c r="A952" t="inlineStr">
        <is>
          <t>A 49525-2024</t>
        </is>
      </c>
      <c r="B952" s="1" t="n">
        <v>45596</v>
      </c>
      <c r="C952" s="1" t="n">
        <v>45758</v>
      </c>
      <c r="D952" t="inlineStr">
        <is>
          <t>NORRBOTTENS LÄN</t>
        </is>
      </c>
      <c r="E952" t="inlineStr">
        <is>
          <t>JOKKMOKK</t>
        </is>
      </c>
      <c r="F952" t="inlineStr">
        <is>
          <t>SCA</t>
        </is>
      </c>
      <c r="G952" t="n">
        <v>2.5</v>
      </c>
      <c r="H952" t="n">
        <v>0</v>
      </c>
      <c r="I952" t="n">
        <v>0</v>
      </c>
      <c r="J952" t="n">
        <v>0</v>
      </c>
      <c r="K952" t="n">
        <v>1</v>
      </c>
      <c r="L952" t="n">
        <v>0</v>
      </c>
      <c r="M952" t="n">
        <v>0</v>
      </c>
      <c r="N952" t="n">
        <v>0</v>
      </c>
      <c r="O952" t="n">
        <v>1</v>
      </c>
      <c r="P952" t="n">
        <v>1</v>
      </c>
      <c r="Q952" t="n">
        <v>1</v>
      </c>
      <c r="R952" s="2" t="inlineStr">
        <is>
          <t>Ringlav</t>
        </is>
      </c>
      <c r="S952">
        <f>HYPERLINK("https://klasma.github.io/Logging_2510/artfynd/A 49525-2024 artfynd.xlsx", "A 49525-2024")</f>
        <v/>
      </c>
      <c r="T952">
        <f>HYPERLINK("https://klasma.github.io/Logging_2510/kartor/A 49525-2024 karta.png", "A 49525-2024")</f>
        <v/>
      </c>
      <c r="V952">
        <f>HYPERLINK("https://klasma.github.io/Logging_2510/klagomål/A 49525-2024 FSC-klagomål.docx", "A 49525-2024")</f>
        <v/>
      </c>
      <c r="W952">
        <f>HYPERLINK("https://klasma.github.io/Logging_2510/klagomålsmail/A 49525-2024 FSC-klagomål mail.docx", "A 49525-2024")</f>
        <v/>
      </c>
      <c r="X952">
        <f>HYPERLINK("https://klasma.github.io/Logging_2510/tillsyn/A 49525-2024 tillsynsbegäran.docx", "A 49525-2024")</f>
        <v/>
      </c>
      <c r="Y952">
        <f>HYPERLINK("https://klasma.github.io/Logging_2510/tillsynsmail/A 49525-2024 tillsynsbegäran mail.docx", "A 49525-2024")</f>
        <v/>
      </c>
    </row>
    <row r="953" ht="15" customHeight="1">
      <c r="A953" t="inlineStr">
        <is>
          <t>A 50121-2024</t>
        </is>
      </c>
      <c r="B953" s="1" t="n">
        <v>45600</v>
      </c>
      <c r="C953" s="1" t="n">
        <v>45758</v>
      </c>
      <c r="D953" t="inlineStr">
        <is>
          <t>NORRBOTTENS LÄN</t>
        </is>
      </c>
      <c r="E953" t="inlineStr">
        <is>
          <t>JOKKMOKK</t>
        </is>
      </c>
      <c r="G953" t="n">
        <v>2.3</v>
      </c>
      <c r="H953" t="n">
        <v>1</v>
      </c>
      <c r="I953" t="n">
        <v>0</v>
      </c>
      <c r="J953" t="n">
        <v>1</v>
      </c>
      <c r="K953" t="n">
        <v>0</v>
      </c>
      <c r="L953" t="n">
        <v>0</v>
      </c>
      <c r="M953" t="n">
        <v>0</v>
      </c>
      <c r="N953" t="n">
        <v>0</v>
      </c>
      <c r="O953" t="n">
        <v>1</v>
      </c>
      <c r="P953" t="n">
        <v>0</v>
      </c>
      <c r="Q953" t="n">
        <v>1</v>
      </c>
      <c r="R953" s="2" t="inlineStr">
        <is>
          <t>Buskskvätta</t>
        </is>
      </c>
      <c r="S953">
        <f>HYPERLINK("https://klasma.github.io/Logging_2510/artfynd/A 50121-2024 artfynd.xlsx", "A 50121-2024")</f>
        <v/>
      </c>
      <c r="T953">
        <f>HYPERLINK("https://klasma.github.io/Logging_2510/kartor/A 50121-2024 karta.png", "A 50121-2024")</f>
        <v/>
      </c>
      <c r="V953">
        <f>HYPERLINK("https://klasma.github.io/Logging_2510/klagomål/A 50121-2024 FSC-klagomål.docx", "A 50121-2024")</f>
        <v/>
      </c>
      <c r="W953">
        <f>HYPERLINK("https://klasma.github.io/Logging_2510/klagomålsmail/A 50121-2024 FSC-klagomål mail.docx", "A 50121-2024")</f>
        <v/>
      </c>
      <c r="X953">
        <f>HYPERLINK("https://klasma.github.io/Logging_2510/tillsyn/A 50121-2024 tillsynsbegäran.docx", "A 50121-2024")</f>
        <v/>
      </c>
      <c r="Y953">
        <f>HYPERLINK("https://klasma.github.io/Logging_2510/tillsynsmail/A 50121-2024 tillsynsbegäran mail.docx", "A 50121-2024")</f>
        <v/>
      </c>
      <c r="Z953">
        <f>HYPERLINK("https://klasma.github.io/Logging_2510/fåglar/A 50121-2024 prioriterade fågelarter.docx", "A 50121-2024")</f>
        <v/>
      </c>
    </row>
    <row r="954" ht="15" customHeight="1">
      <c r="A954" t="inlineStr">
        <is>
          <t>A 50912-2024</t>
        </is>
      </c>
      <c r="B954" s="1" t="n">
        <v>45602</v>
      </c>
      <c r="C954" s="1" t="n">
        <v>45758</v>
      </c>
      <c r="D954" t="inlineStr">
        <is>
          <t>NORRBOTTENS LÄN</t>
        </is>
      </c>
      <c r="E954" t="inlineStr">
        <is>
          <t>BODEN</t>
        </is>
      </c>
      <c r="G954" t="n">
        <v>3.5</v>
      </c>
      <c r="H954" t="n">
        <v>1</v>
      </c>
      <c r="I954" t="n">
        <v>0</v>
      </c>
      <c r="J954" t="n">
        <v>0</v>
      </c>
      <c r="K954" t="n">
        <v>0</v>
      </c>
      <c r="L954" t="n">
        <v>0</v>
      </c>
      <c r="M954" t="n">
        <v>0</v>
      </c>
      <c r="N954" t="n">
        <v>0</v>
      </c>
      <c r="O954" t="n">
        <v>0</v>
      </c>
      <c r="P954" t="n">
        <v>0</v>
      </c>
      <c r="Q954" t="n">
        <v>1</v>
      </c>
      <c r="R954" s="2" t="inlineStr">
        <is>
          <t>Revlummer</t>
        </is>
      </c>
      <c r="S954">
        <f>HYPERLINK("https://klasma.github.io/Logging_2582/artfynd/A 50912-2024 artfynd.xlsx", "A 50912-2024")</f>
        <v/>
      </c>
      <c r="T954">
        <f>HYPERLINK("https://klasma.github.io/Logging_2582/kartor/A 50912-2024 karta.png", "A 50912-2024")</f>
        <v/>
      </c>
      <c r="V954">
        <f>HYPERLINK("https://klasma.github.io/Logging_2582/klagomål/A 50912-2024 FSC-klagomål.docx", "A 50912-2024")</f>
        <v/>
      </c>
      <c r="W954">
        <f>HYPERLINK("https://klasma.github.io/Logging_2582/klagomålsmail/A 50912-2024 FSC-klagomål mail.docx", "A 50912-2024")</f>
        <v/>
      </c>
      <c r="X954">
        <f>HYPERLINK("https://klasma.github.io/Logging_2582/tillsyn/A 50912-2024 tillsynsbegäran.docx", "A 50912-2024")</f>
        <v/>
      </c>
      <c r="Y954">
        <f>HYPERLINK("https://klasma.github.io/Logging_2582/tillsynsmail/A 50912-2024 tillsynsbegäran mail.docx", "A 50912-2024")</f>
        <v/>
      </c>
    </row>
    <row r="955" ht="15" customHeight="1">
      <c r="A955" t="inlineStr">
        <is>
          <t>A 50866-2024</t>
        </is>
      </c>
      <c r="B955" s="1" t="n">
        <v>45602</v>
      </c>
      <c r="C955" s="1" t="n">
        <v>45758</v>
      </c>
      <c r="D955" t="inlineStr">
        <is>
          <t>NORRBOTTENS LÄN</t>
        </is>
      </c>
      <c r="E955" t="inlineStr">
        <is>
          <t>BODEN</t>
        </is>
      </c>
      <c r="F955" t="inlineStr">
        <is>
          <t>Sveaskog</t>
        </is>
      </c>
      <c r="G955" t="n">
        <v>2.7</v>
      </c>
      <c r="H955" t="n">
        <v>0</v>
      </c>
      <c r="I955" t="n">
        <v>0</v>
      </c>
      <c r="J955" t="n">
        <v>1</v>
      </c>
      <c r="K955" t="n">
        <v>0</v>
      </c>
      <c r="L955" t="n">
        <v>0</v>
      </c>
      <c r="M955" t="n">
        <v>0</v>
      </c>
      <c r="N955" t="n">
        <v>0</v>
      </c>
      <c r="O955" t="n">
        <v>1</v>
      </c>
      <c r="P955" t="n">
        <v>0</v>
      </c>
      <c r="Q955" t="n">
        <v>1</v>
      </c>
      <c r="R955" s="2" t="inlineStr">
        <is>
          <t>Garnlav</t>
        </is>
      </c>
      <c r="S955">
        <f>HYPERLINK("https://klasma.github.io/Logging_2582/artfynd/A 50866-2024 artfynd.xlsx", "A 50866-2024")</f>
        <v/>
      </c>
      <c r="T955">
        <f>HYPERLINK("https://klasma.github.io/Logging_2582/kartor/A 50866-2024 karta.png", "A 50866-2024")</f>
        <v/>
      </c>
      <c r="V955">
        <f>HYPERLINK("https://klasma.github.io/Logging_2582/klagomål/A 50866-2024 FSC-klagomål.docx", "A 50866-2024")</f>
        <v/>
      </c>
      <c r="W955">
        <f>HYPERLINK("https://klasma.github.io/Logging_2582/klagomålsmail/A 50866-2024 FSC-klagomål mail.docx", "A 50866-2024")</f>
        <v/>
      </c>
      <c r="X955">
        <f>HYPERLINK("https://klasma.github.io/Logging_2582/tillsyn/A 50866-2024 tillsynsbegäran.docx", "A 50866-2024")</f>
        <v/>
      </c>
      <c r="Y955">
        <f>HYPERLINK("https://klasma.github.io/Logging_2582/tillsynsmail/A 50866-2024 tillsynsbegäran mail.docx", "A 50866-2024")</f>
        <v/>
      </c>
    </row>
    <row r="956" ht="15" customHeight="1">
      <c r="A956" t="inlineStr">
        <is>
          <t>A 51497-2024</t>
        </is>
      </c>
      <c r="B956" s="1" t="n">
        <v>45604</v>
      </c>
      <c r="C956" s="1" t="n">
        <v>45758</v>
      </c>
      <c r="D956" t="inlineStr">
        <is>
          <t>NORRBOTTENS LÄN</t>
        </is>
      </c>
      <c r="E956" t="inlineStr">
        <is>
          <t>JOKKMOKK</t>
        </is>
      </c>
      <c r="G956" t="n">
        <v>16.6</v>
      </c>
      <c r="H956" t="n">
        <v>0</v>
      </c>
      <c r="I956" t="n">
        <v>0</v>
      </c>
      <c r="J956" t="n">
        <v>1</v>
      </c>
      <c r="K956" t="n">
        <v>0</v>
      </c>
      <c r="L956" t="n">
        <v>0</v>
      </c>
      <c r="M956" t="n">
        <v>0</v>
      </c>
      <c r="N956" t="n">
        <v>0</v>
      </c>
      <c r="O956" t="n">
        <v>1</v>
      </c>
      <c r="P956" t="n">
        <v>0</v>
      </c>
      <c r="Q956" t="n">
        <v>1</v>
      </c>
      <c r="R956" s="2" t="inlineStr">
        <is>
          <t>Tallticka</t>
        </is>
      </c>
      <c r="S956">
        <f>HYPERLINK("https://klasma.github.io/Logging_2510/artfynd/A 51497-2024 artfynd.xlsx", "A 51497-2024")</f>
        <v/>
      </c>
      <c r="T956">
        <f>HYPERLINK("https://klasma.github.io/Logging_2510/kartor/A 51497-2024 karta.png", "A 51497-2024")</f>
        <v/>
      </c>
      <c r="V956">
        <f>HYPERLINK("https://klasma.github.io/Logging_2510/klagomål/A 51497-2024 FSC-klagomål.docx", "A 51497-2024")</f>
        <v/>
      </c>
      <c r="W956">
        <f>HYPERLINK("https://klasma.github.io/Logging_2510/klagomålsmail/A 51497-2024 FSC-klagomål mail.docx", "A 51497-2024")</f>
        <v/>
      </c>
      <c r="X956">
        <f>HYPERLINK("https://klasma.github.io/Logging_2510/tillsyn/A 51497-2024 tillsynsbegäran.docx", "A 51497-2024")</f>
        <v/>
      </c>
      <c r="Y956">
        <f>HYPERLINK("https://klasma.github.io/Logging_2510/tillsynsmail/A 51497-2024 tillsynsbegäran mail.docx", "A 51497-2024")</f>
        <v/>
      </c>
    </row>
    <row r="957" ht="15" customHeight="1">
      <c r="A957" t="inlineStr">
        <is>
          <t>A 52260-2024</t>
        </is>
      </c>
      <c r="B957" s="1" t="n">
        <v>45608</v>
      </c>
      <c r="C957" s="1" t="n">
        <v>45758</v>
      </c>
      <c r="D957" t="inlineStr">
        <is>
          <t>NORRBOTTENS LÄN</t>
        </is>
      </c>
      <c r="E957" t="inlineStr">
        <is>
          <t>JOKKMOKK</t>
        </is>
      </c>
      <c r="F957" t="inlineStr">
        <is>
          <t>Allmännings- och besparingsskogar</t>
        </is>
      </c>
      <c r="G957" t="n">
        <v>11.6</v>
      </c>
      <c r="H957" t="n">
        <v>0</v>
      </c>
      <c r="I957" t="n">
        <v>0</v>
      </c>
      <c r="J957" t="n">
        <v>1</v>
      </c>
      <c r="K957" t="n">
        <v>0</v>
      </c>
      <c r="L957" t="n">
        <v>0</v>
      </c>
      <c r="M957" t="n">
        <v>0</v>
      </c>
      <c r="N957" t="n">
        <v>0</v>
      </c>
      <c r="O957" t="n">
        <v>1</v>
      </c>
      <c r="P957" t="n">
        <v>0</v>
      </c>
      <c r="Q957" t="n">
        <v>1</v>
      </c>
      <c r="R957" s="2" t="inlineStr">
        <is>
          <t>Tallticka</t>
        </is>
      </c>
      <c r="S957">
        <f>HYPERLINK("https://klasma.github.io/Logging_2510/artfynd/A 52260-2024 artfynd.xlsx", "A 52260-2024")</f>
        <v/>
      </c>
      <c r="T957">
        <f>HYPERLINK("https://klasma.github.io/Logging_2510/kartor/A 52260-2024 karta.png", "A 52260-2024")</f>
        <v/>
      </c>
      <c r="V957">
        <f>HYPERLINK("https://klasma.github.io/Logging_2510/klagomål/A 52260-2024 FSC-klagomål.docx", "A 52260-2024")</f>
        <v/>
      </c>
      <c r="W957">
        <f>HYPERLINK("https://klasma.github.io/Logging_2510/klagomålsmail/A 52260-2024 FSC-klagomål mail.docx", "A 52260-2024")</f>
        <v/>
      </c>
      <c r="X957">
        <f>HYPERLINK("https://klasma.github.io/Logging_2510/tillsyn/A 52260-2024 tillsynsbegäran.docx", "A 52260-2024")</f>
        <v/>
      </c>
      <c r="Y957">
        <f>HYPERLINK("https://klasma.github.io/Logging_2510/tillsynsmail/A 52260-2024 tillsynsbegäran mail.docx", "A 52260-2024")</f>
        <v/>
      </c>
    </row>
    <row r="958" ht="15" customHeight="1">
      <c r="A958" t="inlineStr">
        <is>
          <t>A 53142-2024</t>
        </is>
      </c>
      <c r="B958" s="1" t="n">
        <v>45611</v>
      </c>
      <c r="C958" s="1" t="n">
        <v>45758</v>
      </c>
      <c r="D958" t="inlineStr">
        <is>
          <t>NORRBOTTENS LÄN</t>
        </is>
      </c>
      <c r="E958" t="inlineStr">
        <is>
          <t>BODEN</t>
        </is>
      </c>
      <c r="F958" t="inlineStr">
        <is>
          <t>Sveaskog</t>
        </is>
      </c>
      <c r="G958" t="n">
        <v>6.6</v>
      </c>
      <c r="H958" t="n">
        <v>1</v>
      </c>
      <c r="I958" t="n">
        <v>0</v>
      </c>
      <c r="J958" t="n">
        <v>0</v>
      </c>
      <c r="K958" t="n">
        <v>1</v>
      </c>
      <c r="L958" t="n">
        <v>0</v>
      </c>
      <c r="M958" t="n">
        <v>0</v>
      </c>
      <c r="N958" t="n">
        <v>0</v>
      </c>
      <c r="O958" t="n">
        <v>1</v>
      </c>
      <c r="P958" t="n">
        <v>1</v>
      </c>
      <c r="Q958" t="n">
        <v>1</v>
      </c>
      <c r="R958" s="2" t="inlineStr">
        <is>
          <t>Doftticka</t>
        </is>
      </c>
      <c r="S958">
        <f>HYPERLINK("https://klasma.github.io/Logging_2582/artfynd/A 53142-2024 artfynd.xlsx", "A 53142-2024")</f>
        <v/>
      </c>
      <c r="T958">
        <f>HYPERLINK("https://klasma.github.io/Logging_2582/kartor/A 53142-2024 karta.png", "A 53142-2024")</f>
        <v/>
      </c>
      <c r="V958">
        <f>HYPERLINK("https://klasma.github.io/Logging_2582/klagomål/A 53142-2024 FSC-klagomål.docx", "A 53142-2024")</f>
        <v/>
      </c>
      <c r="W958">
        <f>HYPERLINK("https://klasma.github.io/Logging_2582/klagomålsmail/A 53142-2024 FSC-klagomål mail.docx", "A 53142-2024")</f>
        <v/>
      </c>
      <c r="X958">
        <f>HYPERLINK("https://klasma.github.io/Logging_2582/tillsyn/A 53142-2024 tillsynsbegäran.docx", "A 53142-2024")</f>
        <v/>
      </c>
      <c r="Y958">
        <f>HYPERLINK("https://klasma.github.io/Logging_2582/tillsynsmail/A 53142-2024 tillsynsbegäran mail.docx", "A 53142-2024")</f>
        <v/>
      </c>
    </row>
    <row r="959" ht="15" customHeight="1">
      <c r="A959" t="inlineStr">
        <is>
          <t>A 52994-2024</t>
        </is>
      </c>
      <c r="B959" s="1" t="n">
        <v>45611</v>
      </c>
      <c r="C959" s="1" t="n">
        <v>45758</v>
      </c>
      <c r="D959" t="inlineStr">
        <is>
          <t>NORRBOTTENS LÄN</t>
        </is>
      </c>
      <c r="E959" t="inlineStr">
        <is>
          <t>JOKKMOKK</t>
        </is>
      </c>
      <c r="F959" t="inlineStr">
        <is>
          <t>Sveaskog</t>
        </is>
      </c>
      <c r="G959" t="n">
        <v>17.1</v>
      </c>
      <c r="H959" t="n">
        <v>0</v>
      </c>
      <c r="I959" t="n">
        <v>0</v>
      </c>
      <c r="J959" t="n">
        <v>1</v>
      </c>
      <c r="K959" t="n">
        <v>0</v>
      </c>
      <c r="L959" t="n">
        <v>0</v>
      </c>
      <c r="M959" t="n">
        <v>0</v>
      </c>
      <c r="N959" t="n">
        <v>0</v>
      </c>
      <c r="O959" t="n">
        <v>1</v>
      </c>
      <c r="P959" t="n">
        <v>0</v>
      </c>
      <c r="Q959" t="n">
        <v>1</v>
      </c>
      <c r="R959" s="2" t="inlineStr">
        <is>
          <t>Blå taggsvamp</t>
        </is>
      </c>
      <c r="S959">
        <f>HYPERLINK("https://klasma.github.io/Logging_2510/artfynd/A 52994-2024 artfynd.xlsx", "A 52994-2024")</f>
        <v/>
      </c>
      <c r="T959">
        <f>HYPERLINK("https://klasma.github.io/Logging_2510/kartor/A 52994-2024 karta.png", "A 52994-2024")</f>
        <v/>
      </c>
      <c r="V959">
        <f>HYPERLINK("https://klasma.github.io/Logging_2510/klagomål/A 52994-2024 FSC-klagomål.docx", "A 52994-2024")</f>
        <v/>
      </c>
      <c r="W959">
        <f>HYPERLINK("https://klasma.github.io/Logging_2510/klagomålsmail/A 52994-2024 FSC-klagomål mail.docx", "A 52994-2024")</f>
        <v/>
      </c>
      <c r="X959">
        <f>HYPERLINK("https://klasma.github.io/Logging_2510/tillsyn/A 52994-2024 tillsynsbegäran.docx", "A 52994-2024")</f>
        <v/>
      </c>
      <c r="Y959">
        <f>HYPERLINK("https://klasma.github.io/Logging_2510/tillsynsmail/A 52994-2024 tillsynsbegäran mail.docx", "A 52994-2024")</f>
        <v/>
      </c>
    </row>
    <row r="960" ht="15" customHeight="1">
      <c r="A960" t="inlineStr">
        <is>
          <t>A 53651-2024</t>
        </is>
      </c>
      <c r="B960" s="1" t="n">
        <v>45615</v>
      </c>
      <c r="C960" s="1" t="n">
        <v>45758</v>
      </c>
      <c r="D960" t="inlineStr">
        <is>
          <t>NORRBOTTENS LÄN</t>
        </is>
      </c>
      <c r="E960" t="inlineStr">
        <is>
          <t>ARVIDSJAUR</t>
        </is>
      </c>
      <c r="F960" t="inlineStr">
        <is>
          <t>Sveaskog</t>
        </is>
      </c>
      <c r="G960" t="n">
        <v>2.7</v>
      </c>
      <c r="H960" t="n">
        <v>0</v>
      </c>
      <c r="I960" t="n">
        <v>1</v>
      </c>
      <c r="J960" t="n">
        <v>0</v>
      </c>
      <c r="K960" t="n">
        <v>0</v>
      </c>
      <c r="L960" t="n">
        <v>0</v>
      </c>
      <c r="M960" t="n">
        <v>0</v>
      </c>
      <c r="N960" t="n">
        <v>0</v>
      </c>
      <c r="O960" t="n">
        <v>0</v>
      </c>
      <c r="P960" t="n">
        <v>0</v>
      </c>
      <c r="Q960" t="n">
        <v>1</v>
      </c>
      <c r="R960" s="2" t="inlineStr">
        <is>
          <t>Dropptaggsvamp</t>
        </is>
      </c>
      <c r="S960">
        <f>HYPERLINK("https://klasma.github.io/Logging_2505/artfynd/A 53651-2024 artfynd.xlsx", "A 53651-2024")</f>
        <v/>
      </c>
      <c r="T960">
        <f>HYPERLINK("https://klasma.github.io/Logging_2505/kartor/A 53651-2024 karta.png", "A 53651-2024")</f>
        <v/>
      </c>
      <c r="V960">
        <f>HYPERLINK("https://klasma.github.io/Logging_2505/klagomål/A 53651-2024 FSC-klagomål.docx", "A 53651-2024")</f>
        <v/>
      </c>
      <c r="W960">
        <f>HYPERLINK("https://klasma.github.io/Logging_2505/klagomålsmail/A 53651-2024 FSC-klagomål mail.docx", "A 53651-2024")</f>
        <v/>
      </c>
      <c r="X960">
        <f>HYPERLINK("https://klasma.github.io/Logging_2505/tillsyn/A 53651-2024 tillsynsbegäran.docx", "A 53651-2024")</f>
        <v/>
      </c>
      <c r="Y960">
        <f>HYPERLINK("https://klasma.github.io/Logging_2505/tillsynsmail/A 53651-2024 tillsynsbegäran mail.docx", "A 53651-2024")</f>
        <v/>
      </c>
    </row>
    <row r="961" ht="15" customHeight="1">
      <c r="A961" t="inlineStr">
        <is>
          <t>A 53801-2024</t>
        </is>
      </c>
      <c r="B961" s="1" t="n">
        <v>45615</v>
      </c>
      <c r="C961" s="1" t="n">
        <v>45758</v>
      </c>
      <c r="D961" t="inlineStr">
        <is>
          <t>NORRBOTTENS LÄN</t>
        </is>
      </c>
      <c r="E961" t="inlineStr">
        <is>
          <t>GÄLLIVARE</t>
        </is>
      </c>
      <c r="G961" t="n">
        <v>3.1</v>
      </c>
      <c r="H961" t="n">
        <v>1</v>
      </c>
      <c r="I961" t="n">
        <v>0</v>
      </c>
      <c r="J961" t="n">
        <v>0</v>
      </c>
      <c r="K961" t="n">
        <v>0</v>
      </c>
      <c r="L961" t="n">
        <v>0</v>
      </c>
      <c r="M961" t="n">
        <v>0</v>
      </c>
      <c r="N961" t="n">
        <v>0</v>
      </c>
      <c r="O961" t="n">
        <v>0</v>
      </c>
      <c r="P961" t="n">
        <v>0</v>
      </c>
      <c r="Q961" t="n">
        <v>1</v>
      </c>
      <c r="R961" s="2" t="inlineStr">
        <is>
          <t>Revlummer</t>
        </is>
      </c>
      <c r="S961">
        <f>HYPERLINK("https://klasma.github.io/Logging_2523/artfynd/A 53801-2024 artfynd.xlsx", "A 53801-2024")</f>
        <v/>
      </c>
      <c r="T961">
        <f>HYPERLINK("https://klasma.github.io/Logging_2523/kartor/A 53801-2024 karta.png", "A 53801-2024")</f>
        <v/>
      </c>
      <c r="V961">
        <f>HYPERLINK("https://klasma.github.io/Logging_2523/klagomål/A 53801-2024 FSC-klagomål.docx", "A 53801-2024")</f>
        <v/>
      </c>
      <c r="W961">
        <f>HYPERLINK("https://klasma.github.io/Logging_2523/klagomålsmail/A 53801-2024 FSC-klagomål mail.docx", "A 53801-2024")</f>
        <v/>
      </c>
      <c r="X961">
        <f>HYPERLINK("https://klasma.github.io/Logging_2523/tillsyn/A 53801-2024 tillsynsbegäran.docx", "A 53801-2024")</f>
        <v/>
      </c>
      <c r="Y961">
        <f>HYPERLINK("https://klasma.github.io/Logging_2523/tillsynsmail/A 53801-2024 tillsynsbegäran mail.docx", "A 53801-2024")</f>
        <v/>
      </c>
    </row>
    <row r="962" ht="15" customHeight="1">
      <c r="A962" t="inlineStr">
        <is>
          <t>A 54539-2024</t>
        </is>
      </c>
      <c r="B962" s="1" t="n">
        <v>45617</v>
      </c>
      <c r="C962" s="1" t="n">
        <v>45758</v>
      </c>
      <c r="D962" t="inlineStr">
        <is>
          <t>NORRBOTTENS LÄN</t>
        </is>
      </c>
      <c r="E962" t="inlineStr">
        <is>
          <t>ARVIDSJAUR</t>
        </is>
      </c>
      <c r="F962" t="inlineStr">
        <is>
          <t>Sveaskog</t>
        </is>
      </c>
      <c r="G962" t="n">
        <v>22.1</v>
      </c>
      <c r="H962" t="n">
        <v>0</v>
      </c>
      <c r="I962" t="n">
        <v>0</v>
      </c>
      <c r="J962" t="n">
        <v>1</v>
      </c>
      <c r="K962" t="n">
        <v>0</v>
      </c>
      <c r="L962" t="n">
        <v>0</v>
      </c>
      <c r="M962" t="n">
        <v>0</v>
      </c>
      <c r="N962" t="n">
        <v>0</v>
      </c>
      <c r="O962" t="n">
        <v>1</v>
      </c>
      <c r="P962" t="n">
        <v>0</v>
      </c>
      <c r="Q962" t="n">
        <v>1</v>
      </c>
      <c r="R962" s="2" t="inlineStr">
        <is>
          <t>Vaddporing</t>
        </is>
      </c>
      <c r="S962">
        <f>HYPERLINK("https://klasma.github.io/Logging_2505/artfynd/A 54539-2024 artfynd.xlsx", "A 54539-2024")</f>
        <v/>
      </c>
      <c r="T962">
        <f>HYPERLINK("https://klasma.github.io/Logging_2505/kartor/A 54539-2024 karta.png", "A 54539-2024")</f>
        <v/>
      </c>
      <c r="V962">
        <f>HYPERLINK("https://klasma.github.io/Logging_2505/klagomål/A 54539-2024 FSC-klagomål.docx", "A 54539-2024")</f>
        <v/>
      </c>
      <c r="W962">
        <f>HYPERLINK("https://klasma.github.io/Logging_2505/klagomålsmail/A 54539-2024 FSC-klagomål mail.docx", "A 54539-2024")</f>
        <v/>
      </c>
      <c r="X962">
        <f>HYPERLINK("https://klasma.github.io/Logging_2505/tillsyn/A 54539-2024 tillsynsbegäran.docx", "A 54539-2024")</f>
        <v/>
      </c>
      <c r="Y962">
        <f>HYPERLINK("https://klasma.github.io/Logging_2505/tillsynsmail/A 54539-2024 tillsynsbegäran mail.docx", "A 54539-2024")</f>
        <v/>
      </c>
    </row>
    <row r="963" ht="15" customHeight="1">
      <c r="A963" t="inlineStr">
        <is>
          <t>A 55419-2024</t>
        </is>
      </c>
      <c r="B963" s="1" t="n">
        <v>45622</v>
      </c>
      <c r="C963" s="1" t="n">
        <v>45758</v>
      </c>
      <c r="D963" t="inlineStr">
        <is>
          <t>NORRBOTTENS LÄN</t>
        </is>
      </c>
      <c r="E963" t="inlineStr">
        <is>
          <t>ÖVERKALIX</t>
        </is>
      </c>
      <c r="F963" t="inlineStr">
        <is>
          <t>Sveaskog</t>
        </is>
      </c>
      <c r="G963" t="n">
        <v>15.8</v>
      </c>
      <c r="H963" t="n">
        <v>0</v>
      </c>
      <c r="I963" t="n">
        <v>0</v>
      </c>
      <c r="J963" t="n">
        <v>1</v>
      </c>
      <c r="K963" t="n">
        <v>0</v>
      </c>
      <c r="L963" t="n">
        <v>0</v>
      </c>
      <c r="M963" t="n">
        <v>0</v>
      </c>
      <c r="N963" t="n">
        <v>0</v>
      </c>
      <c r="O963" t="n">
        <v>1</v>
      </c>
      <c r="P963" t="n">
        <v>0</v>
      </c>
      <c r="Q963" t="n">
        <v>1</v>
      </c>
      <c r="R963" s="2" t="inlineStr">
        <is>
          <t>Lunglav</t>
        </is>
      </c>
      <c r="S963">
        <f>HYPERLINK("https://klasma.github.io/Logging_2513/artfynd/A 55419-2024 artfynd.xlsx", "A 55419-2024")</f>
        <v/>
      </c>
      <c r="T963">
        <f>HYPERLINK("https://klasma.github.io/Logging_2513/kartor/A 55419-2024 karta.png", "A 55419-2024")</f>
        <v/>
      </c>
      <c r="V963">
        <f>HYPERLINK("https://klasma.github.io/Logging_2513/klagomål/A 55419-2024 FSC-klagomål.docx", "A 55419-2024")</f>
        <v/>
      </c>
      <c r="W963">
        <f>HYPERLINK("https://klasma.github.io/Logging_2513/klagomålsmail/A 55419-2024 FSC-klagomål mail.docx", "A 55419-2024")</f>
        <v/>
      </c>
      <c r="X963">
        <f>HYPERLINK("https://klasma.github.io/Logging_2513/tillsyn/A 55419-2024 tillsynsbegäran.docx", "A 55419-2024")</f>
        <v/>
      </c>
      <c r="Y963">
        <f>HYPERLINK("https://klasma.github.io/Logging_2513/tillsynsmail/A 55419-2024 tillsynsbegäran mail.docx", "A 55419-2024")</f>
        <v/>
      </c>
    </row>
    <row r="964" ht="15" customHeight="1">
      <c r="A964" t="inlineStr">
        <is>
          <t>A 55788-2024</t>
        </is>
      </c>
      <c r="B964" s="1" t="n">
        <v>45623</v>
      </c>
      <c r="C964" s="1" t="n">
        <v>45758</v>
      </c>
      <c r="D964" t="inlineStr">
        <is>
          <t>NORRBOTTENS LÄN</t>
        </is>
      </c>
      <c r="E964" t="inlineStr">
        <is>
          <t>ÄLVSBYN</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HYPERLINK("https://klasma.github.io/Logging_2560/artfynd/A 55788-2024 artfynd.xlsx", "A 55788-2024")</f>
        <v/>
      </c>
      <c r="T964">
        <f>HYPERLINK("https://klasma.github.io/Logging_2560/kartor/A 55788-2024 karta.png", "A 55788-2024")</f>
        <v/>
      </c>
      <c r="V964">
        <f>HYPERLINK("https://klasma.github.io/Logging_2560/klagomål/A 55788-2024 FSC-klagomål.docx", "A 55788-2024")</f>
        <v/>
      </c>
      <c r="W964">
        <f>HYPERLINK("https://klasma.github.io/Logging_2560/klagomålsmail/A 55788-2024 FSC-klagomål mail.docx", "A 55788-2024")</f>
        <v/>
      </c>
      <c r="X964">
        <f>HYPERLINK("https://klasma.github.io/Logging_2560/tillsyn/A 55788-2024 tillsynsbegäran.docx", "A 55788-2024")</f>
        <v/>
      </c>
      <c r="Y964">
        <f>HYPERLINK("https://klasma.github.io/Logging_2560/tillsynsmail/A 55788-2024 tillsynsbegäran mail.docx", "A 55788-2024")</f>
        <v/>
      </c>
    </row>
    <row r="965" ht="15" customHeight="1">
      <c r="A965" t="inlineStr">
        <is>
          <t>A 56518-2024</t>
        </is>
      </c>
      <c r="B965" s="1" t="n">
        <v>45625</v>
      </c>
      <c r="C965" s="1" t="n">
        <v>45758</v>
      </c>
      <c r="D965" t="inlineStr">
        <is>
          <t>NORRBOTTENS LÄN</t>
        </is>
      </c>
      <c r="E965" t="inlineStr">
        <is>
          <t>PITEÅ</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HYPERLINK("https://klasma.github.io/Logging_2581/artfynd/A 56518-2024 artfynd.xlsx", "A 56518-2024")</f>
        <v/>
      </c>
      <c r="T965">
        <f>HYPERLINK("https://klasma.github.io/Logging_2581/kartor/A 56518-2024 karta.png", "A 56518-2024")</f>
        <v/>
      </c>
      <c r="V965">
        <f>HYPERLINK("https://klasma.github.io/Logging_2581/klagomål/A 56518-2024 FSC-klagomål.docx", "A 56518-2024")</f>
        <v/>
      </c>
      <c r="W965">
        <f>HYPERLINK("https://klasma.github.io/Logging_2581/klagomålsmail/A 56518-2024 FSC-klagomål mail.docx", "A 56518-2024")</f>
        <v/>
      </c>
      <c r="X965">
        <f>HYPERLINK("https://klasma.github.io/Logging_2581/tillsyn/A 56518-2024 tillsynsbegäran.docx", "A 56518-2024")</f>
        <v/>
      </c>
      <c r="Y965">
        <f>HYPERLINK("https://klasma.github.io/Logging_2581/tillsynsmail/A 56518-2024 tillsynsbegäran mail.docx", "A 56518-2024")</f>
        <v/>
      </c>
    </row>
    <row r="966" ht="15" customHeight="1">
      <c r="A966" t="inlineStr">
        <is>
          <t>A 56551-2024</t>
        </is>
      </c>
      <c r="B966" s="1" t="n">
        <v>45625</v>
      </c>
      <c r="C966" s="1" t="n">
        <v>45758</v>
      </c>
      <c r="D966" t="inlineStr">
        <is>
          <t>NORRBOTTENS LÄN</t>
        </is>
      </c>
      <c r="E966" t="inlineStr">
        <is>
          <t>ÄLVSBYN</t>
        </is>
      </c>
      <c r="F966" t="inlineStr">
        <is>
          <t>Sveaskog</t>
        </is>
      </c>
      <c r="G966" t="n">
        <v>4.3</v>
      </c>
      <c r="H966" t="n">
        <v>0</v>
      </c>
      <c r="I966" t="n">
        <v>1</v>
      </c>
      <c r="J966" t="n">
        <v>0</v>
      </c>
      <c r="K966" t="n">
        <v>0</v>
      </c>
      <c r="L966" t="n">
        <v>0</v>
      </c>
      <c r="M966" t="n">
        <v>0</v>
      </c>
      <c r="N966" t="n">
        <v>0</v>
      </c>
      <c r="O966" t="n">
        <v>0</v>
      </c>
      <c r="P966" t="n">
        <v>0</v>
      </c>
      <c r="Q966" t="n">
        <v>1</v>
      </c>
      <c r="R966" s="2" t="inlineStr">
        <is>
          <t>Dropptaggsvamp</t>
        </is>
      </c>
      <c r="S966">
        <f>HYPERLINK("https://klasma.github.io/Logging_2560/artfynd/A 56551-2024 artfynd.xlsx", "A 56551-2024")</f>
        <v/>
      </c>
      <c r="T966">
        <f>HYPERLINK("https://klasma.github.io/Logging_2560/kartor/A 56551-2024 karta.png", "A 56551-2024")</f>
        <v/>
      </c>
      <c r="V966">
        <f>HYPERLINK("https://klasma.github.io/Logging_2560/klagomål/A 56551-2024 FSC-klagomål.docx", "A 56551-2024")</f>
        <v/>
      </c>
      <c r="W966">
        <f>HYPERLINK("https://klasma.github.io/Logging_2560/klagomålsmail/A 56551-2024 FSC-klagomål mail.docx", "A 56551-2024")</f>
        <v/>
      </c>
      <c r="X966">
        <f>HYPERLINK("https://klasma.github.io/Logging_2560/tillsyn/A 56551-2024 tillsynsbegäran.docx", "A 56551-2024")</f>
        <v/>
      </c>
      <c r="Y966">
        <f>HYPERLINK("https://klasma.github.io/Logging_2560/tillsynsmail/A 56551-2024 tillsynsbegäran mail.docx", "A 56551-2024")</f>
        <v/>
      </c>
    </row>
    <row r="967" ht="15" customHeight="1">
      <c r="A967" t="inlineStr">
        <is>
          <t>A 57140-2024</t>
        </is>
      </c>
      <c r="B967" s="1" t="n">
        <v>45629</v>
      </c>
      <c r="C967" s="1" t="n">
        <v>45758</v>
      </c>
      <c r="D967" t="inlineStr">
        <is>
          <t>NORRBOTTENS LÄN</t>
        </is>
      </c>
      <c r="E967" t="inlineStr">
        <is>
          <t>ÄLVSBYN</t>
        </is>
      </c>
      <c r="G967" t="n">
        <v>2.6</v>
      </c>
      <c r="H967" t="n">
        <v>1</v>
      </c>
      <c r="I967" t="n">
        <v>0</v>
      </c>
      <c r="J967" t="n">
        <v>0</v>
      </c>
      <c r="K967" t="n">
        <v>0</v>
      </c>
      <c r="L967" t="n">
        <v>0</v>
      </c>
      <c r="M967" t="n">
        <v>0</v>
      </c>
      <c r="N967" t="n">
        <v>0</v>
      </c>
      <c r="O967" t="n">
        <v>0</v>
      </c>
      <c r="P967" t="n">
        <v>0</v>
      </c>
      <c r="Q967" t="n">
        <v>1</v>
      </c>
      <c r="R967" s="2" t="inlineStr">
        <is>
          <t>Fläcknycklar</t>
        </is>
      </c>
      <c r="S967">
        <f>HYPERLINK("https://klasma.github.io/Logging_2560/artfynd/A 57140-2024 artfynd.xlsx", "A 57140-2024")</f>
        <v/>
      </c>
      <c r="T967">
        <f>HYPERLINK("https://klasma.github.io/Logging_2560/kartor/A 57140-2024 karta.png", "A 57140-2024")</f>
        <v/>
      </c>
      <c r="V967">
        <f>HYPERLINK("https://klasma.github.io/Logging_2560/klagomål/A 57140-2024 FSC-klagomål.docx", "A 57140-2024")</f>
        <v/>
      </c>
      <c r="W967">
        <f>HYPERLINK("https://klasma.github.io/Logging_2560/klagomålsmail/A 57140-2024 FSC-klagomål mail.docx", "A 57140-2024")</f>
        <v/>
      </c>
      <c r="X967">
        <f>HYPERLINK("https://klasma.github.io/Logging_2560/tillsyn/A 57140-2024 tillsynsbegäran.docx", "A 57140-2024")</f>
        <v/>
      </c>
      <c r="Y967">
        <f>HYPERLINK("https://klasma.github.io/Logging_2560/tillsynsmail/A 57140-2024 tillsynsbegäran mail.docx", "A 57140-2024")</f>
        <v/>
      </c>
    </row>
    <row r="968" ht="15" customHeight="1">
      <c r="A968" t="inlineStr">
        <is>
          <t>A 57043-2024</t>
        </is>
      </c>
      <c r="B968" s="1" t="n">
        <v>45629</v>
      </c>
      <c r="C968" s="1" t="n">
        <v>45758</v>
      </c>
      <c r="D968" t="inlineStr">
        <is>
          <t>NORRBOTTENS LÄN</t>
        </is>
      </c>
      <c r="E968" t="inlineStr">
        <is>
          <t>ARVIDSJAUR</t>
        </is>
      </c>
      <c r="F968" t="inlineStr">
        <is>
          <t>Sveaskog</t>
        </is>
      </c>
      <c r="G968" t="n">
        <v>2.6</v>
      </c>
      <c r="H968" t="n">
        <v>0</v>
      </c>
      <c r="I968" t="n">
        <v>0</v>
      </c>
      <c r="J968" t="n">
        <v>1</v>
      </c>
      <c r="K968" t="n">
        <v>0</v>
      </c>
      <c r="L968" t="n">
        <v>0</v>
      </c>
      <c r="M968" t="n">
        <v>0</v>
      </c>
      <c r="N968" t="n">
        <v>0</v>
      </c>
      <c r="O968" t="n">
        <v>1</v>
      </c>
      <c r="P968" t="n">
        <v>0</v>
      </c>
      <c r="Q968" t="n">
        <v>1</v>
      </c>
      <c r="R968" s="2" t="inlineStr">
        <is>
          <t>Granticka</t>
        </is>
      </c>
      <c r="S968">
        <f>HYPERLINK("https://klasma.github.io/Logging_2505/artfynd/A 57043-2024 artfynd.xlsx", "A 57043-2024")</f>
        <v/>
      </c>
      <c r="T968">
        <f>HYPERLINK("https://klasma.github.io/Logging_2505/kartor/A 57043-2024 karta.png", "A 57043-2024")</f>
        <v/>
      </c>
      <c r="V968">
        <f>HYPERLINK("https://klasma.github.io/Logging_2505/klagomål/A 57043-2024 FSC-klagomål.docx", "A 57043-2024")</f>
        <v/>
      </c>
      <c r="W968">
        <f>HYPERLINK("https://klasma.github.io/Logging_2505/klagomålsmail/A 57043-2024 FSC-klagomål mail.docx", "A 57043-2024")</f>
        <v/>
      </c>
      <c r="X968">
        <f>HYPERLINK("https://klasma.github.io/Logging_2505/tillsyn/A 57043-2024 tillsynsbegäran.docx", "A 57043-2024")</f>
        <v/>
      </c>
      <c r="Y968">
        <f>HYPERLINK("https://klasma.github.io/Logging_2505/tillsynsmail/A 57043-2024 tillsynsbegäran mail.docx", "A 57043-2024")</f>
        <v/>
      </c>
    </row>
    <row r="969" ht="15" customHeight="1">
      <c r="A969" t="inlineStr">
        <is>
          <t>A 57659-2024</t>
        </is>
      </c>
      <c r="B969" s="1" t="n">
        <v>45630</v>
      </c>
      <c r="C969" s="1" t="n">
        <v>45758</v>
      </c>
      <c r="D969" t="inlineStr">
        <is>
          <t>NORRBOTTENS LÄN</t>
        </is>
      </c>
      <c r="E969" t="inlineStr">
        <is>
          <t>PITEÅ</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HYPERLINK("https://klasma.github.io/Logging_2581/artfynd/A 57659-2024 artfynd.xlsx", "A 57659-2024")</f>
        <v/>
      </c>
      <c r="T969">
        <f>HYPERLINK("https://klasma.github.io/Logging_2581/kartor/A 57659-2024 karta.png", "A 57659-2024")</f>
        <v/>
      </c>
      <c r="V969">
        <f>HYPERLINK("https://klasma.github.io/Logging_2581/klagomål/A 57659-2024 FSC-klagomål.docx", "A 57659-2024")</f>
        <v/>
      </c>
      <c r="W969">
        <f>HYPERLINK("https://klasma.github.io/Logging_2581/klagomålsmail/A 57659-2024 FSC-klagomål mail.docx", "A 57659-2024")</f>
        <v/>
      </c>
      <c r="X969">
        <f>HYPERLINK("https://klasma.github.io/Logging_2581/tillsyn/A 57659-2024 tillsynsbegäran.docx", "A 57659-2024")</f>
        <v/>
      </c>
      <c r="Y969">
        <f>HYPERLINK("https://klasma.github.io/Logging_2581/tillsynsmail/A 57659-2024 tillsynsbegäran mail.docx", "A 57659-2024")</f>
        <v/>
      </c>
    </row>
    <row r="970" ht="15" customHeight="1">
      <c r="A970" t="inlineStr">
        <is>
          <t>A 58032-2024</t>
        </is>
      </c>
      <c r="B970" s="1" t="n">
        <v>45631</v>
      </c>
      <c r="C970" s="1" t="n">
        <v>45758</v>
      </c>
      <c r="D970" t="inlineStr">
        <is>
          <t>NORRBOTTENS LÄN</t>
        </is>
      </c>
      <c r="E970" t="inlineStr">
        <is>
          <t>PITEÅ</t>
        </is>
      </c>
      <c r="G970" t="n">
        <v>1.2</v>
      </c>
      <c r="H970" t="n">
        <v>0</v>
      </c>
      <c r="I970" t="n">
        <v>0</v>
      </c>
      <c r="J970" t="n">
        <v>1</v>
      </c>
      <c r="K970" t="n">
        <v>0</v>
      </c>
      <c r="L970" t="n">
        <v>0</v>
      </c>
      <c r="M970" t="n">
        <v>0</v>
      </c>
      <c r="N970" t="n">
        <v>0</v>
      </c>
      <c r="O970" t="n">
        <v>1</v>
      </c>
      <c r="P970" t="n">
        <v>0</v>
      </c>
      <c r="Q970" t="n">
        <v>1</v>
      </c>
      <c r="R970" s="2" t="inlineStr">
        <is>
          <t>Granticka</t>
        </is>
      </c>
      <c r="S970">
        <f>HYPERLINK("https://klasma.github.io/Logging_2581/artfynd/A 58032-2024 artfynd.xlsx", "A 58032-2024")</f>
        <v/>
      </c>
      <c r="T970">
        <f>HYPERLINK("https://klasma.github.io/Logging_2581/kartor/A 58032-2024 karta.png", "A 58032-2024")</f>
        <v/>
      </c>
      <c r="V970">
        <f>HYPERLINK("https://klasma.github.io/Logging_2581/klagomål/A 58032-2024 FSC-klagomål.docx", "A 58032-2024")</f>
        <v/>
      </c>
      <c r="W970">
        <f>HYPERLINK("https://klasma.github.io/Logging_2581/klagomålsmail/A 58032-2024 FSC-klagomål mail.docx", "A 58032-2024")</f>
        <v/>
      </c>
      <c r="X970">
        <f>HYPERLINK("https://klasma.github.io/Logging_2581/tillsyn/A 58032-2024 tillsynsbegäran.docx", "A 58032-2024")</f>
        <v/>
      </c>
      <c r="Y970">
        <f>HYPERLINK("https://klasma.github.io/Logging_2581/tillsynsmail/A 58032-2024 tillsynsbegäran mail.docx", "A 58032-2024")</f>
        <v/>
      </c>
    </row>
    <row r="971" ht="15" customHeight="1">
      <c r="A971" t="inlineStr">
        <is>
          <t>A 59395-2024</t>
        </is>
      </c>
      <c r="B971" s="1" t="n">
        <v>45638</v>
      </c>
      <c r="C971" s="1" t="n">
        <v>45758</v>
      </c>
      <c r="D971" t="inlineStr">
        <is>
          <t>NORRBOTTENS LÄN</t>
        </is>
      </c>
      <c r="E971" t="inlineStr">
        <is>
          <t>LULEÅ</t>
        </is>
      </c>
      <c r="F971" t="inlineStr">
        <is>
          <t>Sveaskog</t>
        </is>
      </c>
      <c r="G971" t="n">
        <v>18.3</v>
      </c>
      <c r="H971" t="n">
        <v>0</v>
      </c>
      <c r="I971" t="n">
        <v>1</v>
      </c>
      <c r="J971" t="n">
        <v>0</v>
      </c>
      <c r="K971" t="n">
        <v>0</v>
      </c>
      <c r="L971" t="n">
        <v>0</v>
      </c>
      <c r="M971" t="n">
        <v>0</v>
      </c>
      <c r="N971" t="n">
        <v>0</v>
      </c>
      <c r="O971" t="n">
        <v>0</v>
      </c>
      <c r="P971" t="n">
        <v>0</v>
      </c>
      <c r="Q971" t="n">
        <v>1</v>
      </c>
      <c r="R971" s="2" t="inlineStr">
        <is>
          <t>Stuplav</t>
        </is>
      </c>
      <c r="S971">
        <f>HYPERLINK("https://klasma.github.io/Logging_2580/artfynd/A 59395-2024 artfynd.xlsx", "A 59395-2024")</f>
        <v/>
      </c>
      <c r="T971">
        <f>HYPERLINK("https://klasma.github.io/Logging_2580/kartor/A 59395-2024 karta.png", "A 59395-2024")</f>
        <v/>
      </c>
      <c r="V971">
        <f>HYPERLINK("https://klasma.github.io/Logging_2580/klagomål/A 59395-2024 FSC-klagomål.docx", "A 59395-2024")</f>
        <v/>
      </c>
      <c r="W971">
        <f>HYPERLINK("https://klasma.github.io/Logging_2580/klagomålsmail/A 59395-2024 FSC-klagomål mail.docx", "A 59395-2024")</f>
        <v/>
      </c>
      <c r="X971">
        <f>HYPERLINK("https://klasma.github.io/Logging_2580/tillsyn/A 59395-2024 tillsynsbegäran.docx", "A 59395-2024")</f>
        <v/>
      </c>
      <c r="Y971">
        <f>HYPERLINK("https://klasma.github.io/Logging_2580/tillsynsmail/A 59395-2024 tillsynsbegäran mail.docx", "A 59395-2024")</f>
        <v/>
      </c>
    </row>
    <row r="972" ht="15" customHeight="1">
      <c r="A972" t="inlineStr">
        <is>
          <t>A 59861-2024</t>
        </is>
      </c>
      <c r="B972" s="1" t="n">
        <v>45638</v>
      </c>
      <c r="C972" s="1" t="n">
        <v>45758</v>
      </c>
      <c r="D972" t="inlineStr">
        <is>
          <t>NORRBOTTENS LÄN</t>
        </is>
      </c>
      <c r="E972" t="inlineStr">
        <is>
          <t>BODEN</t>
        </is>
      </c>
      <c r="G972" t="n">
        <v>2.1</v>
      </c>
      <c r="H972" t="n">
        <v>0</v>
      </c>
      <c r="I972" t="n">
        <v>0</v>
      </c>
      <c r="J972" t="n">
        <v>1</v>
      </c>
      <c r="K972" t="n">
        <v>0</v>
      </c>
      <c r="L972" t="n">
        <v>0</v>
      </c>
      <c r="M972" t="n">
        <v>0</v>
      </c>
      <c r="N972" t="n">
        <v>0</v>
      </c>
      <c r="O972" t="n">
        <v>1</v>
      </c>
      <c r="P972" t="n">
        <v>0</v>
      </c>
      <c r="Q972" t="n">
        <v>1</v>
      </c>
      <c r="R972" s="2" t="inlineStr">
        <is>
          <t>Kolflarnlav</t>
        </is>
      </c>
      <c r="S972">
        <f>HYPERLINK("https://klasma.github.io/Logging_2582/artfynd/A 59861-2024 artfynd.xlsx", "A 59861-2024")</f>
        <v/>
      </c>
      <c r="T972">
        <f>HYPERLINK("https://klasma.github.io/Logging_2582/kartor/A 59861-2024 karta.png", "A 59861-2024")</f>
        <v/>
      </c>
      <c r="V972">
        <f>HYPERLINK("https://klasma.github.io/Logging_2582/klagomål/A 59861-2024 FSC-klagomål.docx", "A 59861-2024")</f>
        <v/>
      </c>
      <c r="W972">
        <f>HYPERLINK("https://klasma.github.io/Logging_2582/klagomålsmail/A 59861-2024 FSC-klagomål mail.docx", "A 59861-2024")</f>
        <v/>
      </c>
      <c r="X972">
        <f>HYPERLINK("https://klasma.github.io/Logging_2582/tillsyn/A 59861-2024 tillsynsbegäran.docx", "A 59861-2024")</f>
        <v/>
      </c>
      <c r="Y972">
        <f>HYPERLINK("https://klasma.github.io/Logging_2582/tillsynsmail/A 59861-2024 tillsynsbegäran mail.docx", "A 59861-2024")</f>
        <v/>
      </c>
    </row>
    <row r="973" ht="15" customHeight="1">
      <c r="A973" t="inlineStr">
        <is>
          <t>A 59847-2024</t>
        </is>
      </c>
      <c r="B973" s="1" t="n">
        <v>45639</v>
      </c>
      <c r="C973" s="1" t="n">
        <v>45758</v>
      </c>
      <c r="D973" t="inlineStr">
        <is>
          <t>NORRBOTTENS LÄN</t>
        </is>
      </c>
      <c r="E973" t="inlineStr">
        <is>
          <t>HAPARANDA</t>
        </is>
      </c>
      <c r="G973" t="n">
        <v>10.3</v>
      </c>
      <c r="H973" t="n">
        <v>0</v>
      </c>
      <c r="I973" t="n">
        <v>1</v>
      </c>
      <c r="J973" t="n">
        <v>0</v>
      </c>
      <c r="K973" t="n">
        <v>0</v>
      </c>
      <c r="L973" t="n">
        <v>0</v>
      </c>
      <c r="M973" t="n">
        <v>0</v>
      </c>
      <c r="N973" t="n">
        <v>0</v>
      </c>
      <c r="O973" t="n">
        <v>0</v>
      </c>
      <c r="P973" t="n">
        <v>0</v>
      </c>
      <c r="Q973" t="n">
        <v>1</v>
      </c>
      <c r="R973" s="2" t="inlineStr">
        <is>
          <t>Ögonpyrola</t>
        </is>
      </c>
      <c r="S973">
        <f>HYPERLINK("https://klasma.github.io/Logging_2583/artfynd/A 59847-2024 artfynd.xlsx", "A 59847-2024")</f>
        <v/>
      </c>
      <c r="T973">
        <f>HYPERLINK("https://klasma.github.io/Logging_2583/kartor/A 59847-2024 karta.png", "A 59847-2024")</f>
        <v/>
      </c>
      <c r="V973">
        <f>HYPERLINK("https://klasma.github.io/Logging_2583/klagomål/A 59847-2024 FSC-klagomål.docx", "A 59847-2024")</f>
        <v/>
      </c>
      <c r="W973">
        <f>HYPERLINK("https://klasma.github.io/Logging_2583/klagomålsmail/A 59847-2024 FSC-klagomål mail.docx", "A 59847-2024")</f>
        <v/>
      </c>
      <c r="X973">
        <f>HYPERLINK("https://klasma.github.io/Logging_2583/tillsyn/A 59847-2024 tillsynsbegäran.docx", "A 59847-2024")</f>
        <v/>
      </c>
      <c r="Y973">
        <f>HYPERLINK("https://klasma.github.io/Logging_2583/tillsynsmail/A 59847-2024 tillsynsbegäran mail.docx", "A 59847-2024")</f>
        <v/>
      </c>
    </row>
    <row r="974" ht="15" customHeight="1">
      <c r="A974" t="inlineStr">
        <is>
          <t>A 60002-2024</t>
        </is>
      </c>
      <c r="B974" s="1" t="n">
        <v>45642</v>
      </c>
      <c r="C974" s="1" t="n">
        <v>45758</v>
      </c>
      <c r="D974" t="inlineStr">
        <is>
          <t>NORRBOTTENS LÄN</t>
        </is>
      </c>
      <c r="E974" t="inlineStr">
        <is>
          <t>LULEÅ</t>
        </is>
      </c>
      <c r="G974" t="n">
        <v>5</v>
      </c>
      <c r="H974" t="n">
        <v>1</v>
      </c>
      <c r="I974" t="n">
        <v>0</v>
      </c>
      <c r="J974" t="n">
        <v>0</v>
      </c>
      <c r="K974" t="n">
        <v>0</v>
      </c>
      <c r="L974" t="n">
        <v>0</v>
      </c>
      <c r="M974" t="n">
        <v>0</v>
      </c>
      <c r="N974" t="n">
        <v>0</v>
      </c>
      <c r="O974" t="n">
        <v>0</v>
      </c>
      <c r="P974" t="n">
        <v>0</v>
      </c>
      <c r="Q974" t="n">
        <v>1</v>
      </c>
      <c r="R974" s="2" t="inlineStr">
        <is>
          <t>Fläcknycklar</t>
        </is>
      </c>
      <c r="S974">
        <f>HYPERLINK("https://klasma.github.io/Logging_2580/artfynd/A 60002-2024 artfynd.xlsx", "A 60002-2024")</f>
        <v/>
      </c>
      <c r="T974">
        <f>HYPERLINK("https://klasma.github.io/Logging_2580/kartor/A 60002-2024 karta.png", "A 60002-2024")</f>
        <v/>
      </c>
      <c r="V974">
        <f>HYPERLINK("https://klasma.github.io/Logging_2580/klagomål/A 60002-2024 FSC-klagomål.docx", "A 60002-2024")</f>
        <v/>
      </c>
      <c r="W974">
        <f>HYPERLINK("https://klasma.github.io/Logging_2580/klagomålsmail/A 60002-2024 FSC-klagomål mail.docx", "A 60002-2024")</f>
        <v/>
      </c>
      <c r="X974">
        <f>HYPERLINK("https://klasma.github.io/Logging_2580/tillsyn/A 60002-2024 tillsynsbegäran.docx", "A 60002-2024")</f>
        <v/>
      </c>
      <c r="Y974">
        <f>HYPERLINK("https://klasma.github.io/Logging_2580/tillsynsmail/A 60002-2024 tillsynsbegäran mail.docx", "A 60002-2024")</f>
        <v/>
      </c>
    </row>
    <row r="975" ht="15" customHeight="1">
      <c r="A975" t="inlineStr">
        <is>
          <t>A 60408-2024</t>
        </is>
      </c>
      <c r="B975" s="1" t="n">
        <v>45643</v>
      </c>
      <c r="C975" s="1" t="n">
        <v>45758</v>
      </c>
      <c r="D975" t="inlineStr">
        <is>
          <t>NORRBOTTENS LÄN</t>
        </is>
      </c>
      <c r="E975" t="inlineStr">
        <is>
          <t>PAJALA</t>
        </is>
      </c>
      <c r="G975" t="n">
        <v>20</v>
      </c>
      <c r="H975" t="n">
        <v>1</v>
      </c>
      <c r="I975" t="n">
        <v>0</v>
      </c>
      <c r="J975" t="n">
        <v>1</v>
      </c>
      <c r="K975" t="n">
        <v>0</v>
      </c>
      <c r="L975" t="n">
        <v>0</v>
      </c>
      <c r="M975" t="n">
        <v>0</v>
      </c>
      <c r="N975" t="n">
        <v>0</v>
      </c>
      <c r="O975" t="n">
        <v>1</v>
      </c>
      <c r="P975" t="n">
        <v>0</v>
      </c>
      <c r="Q975" t="n">
        <v>1</v>
      </c>
      <c r="R975" s="2" t="inlineStr">
        <is>
          <t>Järpe</t>
        </is>
      </c>
      <c r="S975">
        <f>HYPERLINK("https://klasma.github.io/Logging_2521/artfynd/A 60408-2024 artfynd.xlsx", "A 60408-2024")</f>
        <v/>
      </c>
      <c r="T975">
        <f>HYPERLINK("https://klasma.github.io/Logging_2521/kartor/A 60408-2024 karta.png", "A 60408-2024")</f>
        <v/>
      </c>
      <c r="V975">
        <f>HYPERLINK("https://klasma.github.io/Logging_2521/klagomål/A 60408-2024 FSC-klagomål.docx", "A 60408-2024")</f>
        <v/>
      </c>
      <c r="W975">
        <f>HYPERLINK("https://klasma.github.io/Logging_2521/klagomålsmail/A 60408-2024 FSC-klagomål mail.docx", "A 60408-2024")</f>
        <v/>
      </c>
      <c r="X975">
        <f>HYPERLINK("https://klasma.github.io/Logging_2521/tillsyn/A 60408-2024 tillsynsbegäran.docx", "A 60408-2024")</f>
        <v/>
      </c>
      <c r="Y975">
        <f>HYPERLINK("https://klasma.github.io/Logging_2521/tillsynsmail/A 60408-2024 tillsynsbegäran mail.docx", "A 60408-2024")</f>
        <v/>
      </c>
      <c r="Z975">
        <f>HYPERLINK("https://klasma.github.io/Logging_2521/fåglar/A 60408-2024 prioriterade fågelarter.docx", "A 60408-2024")</f>
        <v/>
      </c>
    </row>
    <row r="976" ht="15" customHeight="1">
      <c r="A976" t="inlineStr">
        <is>
          <t>A 60686-2024</t>
        </is>
      </c>
      <c r="B976" s="1" t="n">
        <v>45644</v>
      </c>
      <c r="C976" s="1" t="n">
        <v>45758</v>
      </c>
      <c r="D976" t="inlineStr">
        <is>
          <t>NORRBOTTENS LÄN</t>
        </is>
      </c>
      <c r="E976" t="inlineStr">
        <is>
          <t>PITEÅ</t>
        </is>
      </c>
      <c r="G976" t="n">
        <v>1.3</v>
      </c>
      <c r="H976" t="n">
        <v>0</v>
      </c>
      <c r="I976" t="n">
        <v>1</v>
      </c>
      <c r="J976" t="n">
        <v>0</v>
      </c>
      <c r="K976" t="n">
        <v>0</v>
      </c>
      <c r="L976" t="n">
        <v>0</v>
      </c>
      <c r="M976" t="n">
        <v>0</v>
      </c>
      <c r="N976" t="n">
        <v>0</v>
      </c>
      <c r="O976" t="n">
        <v>0</v>
      </c>
      <c r="P976" t="n">
        <v>0</v>
      </c>
      <c r="Q976" t="n">
        <v>1</v>
      </c>
      <c r="R976" s="2" t="inlineStr">
        <is>
          <t>Norrlandslav</t>
        </is>
      </c>
      <c r="S976">
        <f>HYPERLINK("https://klasma.github.io/Logging_2581/artfynd/A 60686-2024 artfynd.xlsx", "A 60686-2024")</f>
        <v/>
      </c>
      <c r="T976">
        <f>HYPERLINK("https://klasma.github.io/Logging_2581/kartor/A 60686-2024 karta.png", "A 60686-2024")</f>
        <v/>
      </c>
      <c r="V976">
        <f>HYPERLINK("https://klasma.github.io/Logging_2581/klagomål/A 60686-2024 FSC-klagomål.docx", "A 60686-2024")</f>
        <v/>
      </c>
      <c r="W976">
        <f>HYPERLINK("https://klasma.github.io/Logging_2581/klagomålsmail/A 60686-2024 FSC-klagomål mail.docx", "A 60686-2024")</f>
        <v/>
      </c>
      <c r="X976">
        <f>HYPERLINK("https://klasma.github.io/Logging_2581/tillsyn/A 60686-2024 tillsynsbegäran.docx", "A 60686-2024")</f>
        <v/>
      </c>
      <c r="Y976">
        <f>HYPERLINK("https://klasma.github.io/Logging_2581/tillsynsmail/A 60686-2024 tillsynsbegäran mail.docx", "A 60686-2024")</f>
        <v/>
      </c>
    </row>
    <row r="977" ht="15" customHeight="1">
      <c r="A977" t="inlineStr">
        <is>
          <t>A 61219-2024</t>
        </is>
      </c>
      <c r="B977" s="1" t="n">
        <v>45645</v>
      </c>
      <c r="C977" s="1" t="n">
        <v>45758</v>
      </c>
      <c r="D977" t="inlineStr">
        <is>
          <t>NORRBOTTENS LÄN</t>
        </is>
      </c>
      <c r="E977" t="inlineStr">
        <is>
          <t>BODEN</t>
        </is>
      </c>
      <c r="F977" t="inlineStr">
        <is>
          <t>Sveaskog</t>
        </is>
      </c>
      <c r="G977" t="n">
        <v>1.5</v>
      </c>
      <c r="H977" t="n">
        <v>0</v>
      </c>
      <c r="I977" t="n">
        <v>0</v>
      </c>
      <c r="J977" t="n">
        <v>1</v>
      </c>
      <c r="K977" t="n">
        <v>0</v>
      </c>
      <c r="L977" t="n">
        <v>0</v>
      </c>
      <c r="M977" t="n">
        <v>0</v>
      </c>
      <c r="N977" t="n">
        <v>0</v>
      </c>
      <c r="O977" t="n">
        <v>1</v>
      </c>
      <c r="P977" t="n">
        <v>0</v>
      </c>
      <c r="Q977" t="n">
        <v>1</v>
      </c>
      <c r="R977" s="2" t="inlineStr">
        <is>
          <t>Tallticka</t>
        </is>
      </c>
      <c r="S977">
        <f>HYPERLINK("https://klasma.github.io/Logging_2582/artfynd/A 61219-2024 artfynd.xlsx", "A 61219-2024")</f>
        <v/>
      </c>
      <c r="T977">
        <f>HYPERLINK("https://klasma.github.io/Logging_2582/kartor/A 61219-2024 karta.png", "A 61219-2024")</f>
        <v/>
      </c>
      <c r="V977">
        <f>HYPERLINK("https://klasma.github.io/Logging_2582/klagomål/A 61219-2024 FSC-klagomål.docx", "A 61219-2024")</f>
        <v/>
      </c>
      <c r="W977">
        <f>HYPERLINK("https://klasma.github.io/Logging_2582/klagomålsmail/A 61219-2024 FSC-klagomål mail.docx", "A 61219-2024")</f>
        <v/>
      </c>
      <c r="X977">
        <f>HYPERLINK("https://klasma.github.io/Logging_2582/tillsyn/A 61219-2024 tillsynsbegäran.docx", "A 61219-2024")</f>
        <v/>
      </c>
      <c r="Y977">
        <f>HYPERLINK("https://klasma.github.io/Logging_2582/tillsynsmail/A 61219-2024 tillsynsbegäran mail.docx", "A 61219-2024")</f>
        <v/>
      </c>
    </row>
    <row r="978" ht="15" customHeight="1">
      <c r="A978" t="inlineStr">
        <is>
          <t>A 739-2025</t>
        </is>
      </c>
      <c r="B978" s="1" t="n">
        <v>45664</v>
      </c>
      <c r="C978" s="1" t="n">
        <v>45758</v>
      </c>
      <c r="D978" t="inlineStr">
        <is>
          <t>NORRBOTTENS LÄN</t>
        </is>
      </c>
      <c r="E978" t="inlineStr">
        <is>
          <t>LULEÅ</t>
        </is>
      </c>
      <c r="G978" t="n">
        <v>1.8</v>
      </c>
      <c r="H978" t="n">
        <v>0</v>
      </c>
      <c r="I978" t="n">
        <v>0</v>
      </c>
      <c r="J978" t="n">
        <v>1</v>
      </c>
      <c r="K978" t="n">
        <v>0</v>
      </c>
      <c r="L978" t="n">
        <v>0</v>
      </c>
      <c r="M978" t="n">
        <v>0</v>
      </c>
      <c r="N978" t="n">
        <v>0</v>
      </c>
      <c r="O978" t="n">
        <v>1</v>
      </c>
      <c r="P978" t="n">
        <v>0</v>
      </c>
      <c r="Q978" t="n">
        <v>1</v>
      </c>
      <c r="R978" s="2" t="inlineStr">
        <is>
          <t>Garnlav</t>
        </is>
      </c>
      <c r="S978">
        <f>HYPERLINK("https://klasma.github.io/Logging_2580/artfynd/A 739-2025 artfynd.xlsx", "A 739-2025")</f>
        <v/>
      </c>
      <c r="T978">
        <f>HYPERLINK("https://klasma.github.io/Logging_2580/kartor/A 739-2025 karta.png", "A 739-2025")</f>
        <v/>
      </c>
      <c r="U978">
        <f>HYPERLINK("https://klasma.github.io/Logging_2580/knärot/A 739-2025 karta knärot.png", "A 739-2025")</f>
        <v/>
      </c>
      <c r="V978">
        <f>HYPERLINK("https://klasma.github.io/Logging_2580/klagomål/A 739-2025 FSC-klagomål.docx", "A 739-2025")</f>
        <v/>
      </c>
      <c r="W978">
        <f>HYPERLINK("https://klasma.github.io/Logging_2580/klagomålsmail/A 739-2025 FSC-klagomål mail.docx", "A 739-2025")</f>
        <v/>
      </c>
      <c r="X978">
        <f>HYPERLINK("https://klasma.github.io/Logging_2580/tillsyn/A 739-2025 tillsynsbegäran.docx", "A 739-2025")</f>
        <v/>
      </c>
      <c r="Y978">
        <f>HYPERLINK("https://klasma.github.io/Logging_2580/tillsynsmail/A 739-2025 tillsynsbegäran mail.docx", "A 739-2025")</f>
        <v/>
      </c>
    </row>
    <row r="979" ht="15" customHeight="1">
      <c r="A979" t="inlineStr">
        <is>
          <t>A 733-2025</t>
        </is>
      </c>
      <c r="B979" s="1" t="n">
        <v>45664</v>
      </c>
      <c r="C979" s="1" t="n">
        <v>45758</v>
      </c>
      <c r="D979" t="inlineStr">
        <is>
          <t>NORRBOTTENS LÄN</t>
        </is>
      </c>
      <c r="E979" t="inlineStr">
        <is>
          <t>LULEÅ</t>
        </is>
      </c>
      <c r="G979" t="n">
        <v>0.8</v>
      </c>
      <c r="H979" t="n">
        <v>0</v>
      </c>
      <c r="I979" t="n">
        <v>0</v>
      </c>
      <c r="J979" t="n">
        <v>1</v>
      </c>
      <c r="K979" t="n">
        <v>0</v>
      </c>
      <c r="L979" t="n">
        <v>0</v>
      </c>
      <c r="M979" t="n">
        <v>0</v>
      </c>
      <c r="N979" t="n">
        <v>0</v>
      </c>
      <c r="O979" t="n">
        <v>1</v>
      </c>
      <c r="P979" t="n">
        <v>0</v>
      </c>
      <c r="Q979" t="n">
        <v>1</v>
      </c>
      <c r="R979" s="2" t="inlineStr">
        <is>
          <t>Gränsticka</t>
        </is>
      </c>
      <c r="S979">
        <f>HYPERLINK("https://klasma.github.io/Logging_2580/artfynd/A 733-2025 artfynd.xlsx", "A 733-2025")</f>
        <v/>
      </c>
      <c r="T979">
        <f>HYPERLINK("https://klasma.github.io/Logging_2580/kartor/A 733-2025 karta.png", "A 733-2025")</f>
        <v/>
      </c>
      <c r="V979">
        <f>HYPERLINK("https://klasma.github.io/Logging_2580/klagomål/A 733-2025 FSC-klagomål.docx", "A 733-2025")</f>
        <v/>
      </c>
      <c r="W979">
        <f>HYPERLINK("https://klasma.github.io/Logging_2580/klagomålsmail/A 733-2025 FSC-klagomål mail.docx", "A 733-2025")</f>
        <v/>
      </c>
      <c r="X979">
        <f>HYPERLINK("https://klasma.github.io/Logging_2580/tillsyn/A 733-2025 tillsynsbegäran.docx", "A 733-2025")</f>
        <v/>
      </c>
      <c r="Y979">
        <f>HYPERLINK("https://klasma.github.io/Logging_2580/tillsynsmail/A 733-2025 tillsynsbegäran mail.docx", "A 733-2025")</f>
        <v/>
      </c>
    </row>
    <row r="980" ht="15" customHeight="1">
      <c r="A980" t="inlineStr">
        <is>
          <t>A 2559-2025</t>
        </is>
      </c>
      <c r="B980" s="1" t="n">
        <v>45673</v>
      </c>
      <c r="C980" s="1" t="n">
        <v>45758</v>
      </c>
      <c r="D980" t="inlineStr">
        <is>
          <t>NORRBOTTENS LÄN</t>
        </is>
      </c>
      <c r="E980" t="inlineStr">
        <is>
          <t>ARJEPLOG</t>
        </is>
      </c>
      <c r="G980" t="n">
        <v>12.4</v>
      </c>
      <c r="H980" t="n">
        <v>0</v>
      </c>
      <c r="I980" t="n">
        <v>0</v>
      </c>
      <c r="J980" t="n">
        <v>0</v>
      </c>
      <c r="K980" t="n">
        <v>1</v>
      </c>
      <c r="L980" t="n">
        <v>0</v>
      </c>
      <c r="M980" t="n">
        <v>0</v>
      </c>
      <c r="N980" t="n">
        <v>0</v>
      </c>
      <c r="O980" t="n">
        <v>1</v>
      </c>
      <c r="P980" t="n">
        <v>1</v>
      </c>
      <c r="Q980" t="n">
        <v>1</v>
      </c>
      <c r="R980" s="2" t="inlineStr">
        <is>
          <t>Gräddporing</t>
        </is>
      </c>
      <c r="S980">
        <f>HYPERLINK("https://klasma.github.io/Logging_2506/artfynd/A 2559-2025 artfynd.xlsx", "A 2559-2025")</f>
        <v/>
      </c>
      <c r="T980">
        <f>HYPERLINK("https://klasma.github.io/Logging_2506/kartor/A 2559-2025 karta.png", "A 2559-2025")</f>
        <v/>
      </c>
      <c r="V980">
        <f>HYPERLINK("https://klasma.github.io/Logging_2506/klagomål/A 2559-2025 FSC-klagomål.docx", "A 2559-2025")</f>
        <v/>
      </c>
      <c r="W980">
        <f>HYPERLINK("https://klasma.github.io/Logging_2506/klagomålsmail/A 2559-2025 FSC-klagomål mail.docx", "A 2559-2025")</f>
        <v/>
      </c>
      <c r="X980">
        <f>HYPERLINK("https://klasma.github.io/Logging_2506/tillsyn/A 2559-2025 tillsynsbegäran.docx", "A 2559-2025")</f>
        <v/>
      </c>
      <c r="Y980">
        <f>HYPERLINK("https://klasma.github.io/Logging_2506/tillsynsmail/A 2559-2025 tillsynsbegäran mail.docx", "A 2559-2025")</f>
        <v/>
      </c>
    </row>
    <row r="981" ht="15" customHeight="1">
      <c r="A981" t="inlineStr">
        <is>
          <t>A 3578-2025</t>
        </is>
      </c>
      <c r="B981" s="1" t="n">
        <v>45680</v>
      </c>
      <c r="C981" s="1" t="n">
        <v>45758</v>
      </c>
      <c r="D981" t="inlineStr">
        <is>
          <t>NORRBOTTENS LÄN</t>
        </is>
      </c>
      <c r="E981" t="inlineStr">
        <is>
          <t>LULEÅ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HYPERLINK("https://klasma.github.io/Logging_2580/artfynd/A 3578-2025 artfynd.xlsx", "A 3578-2025")</f>
        <v/>
      </c>
      <c r="T981">
        <f>HYPERLINK("https://klasma.github.io/Logging_2580/kartor/A 3578-2025 karta.png", "A 3578-2025")</f>
        <v/>
      </c>
      <c r="V981">
        <f>HYPERLINK("https://klasma.github.io/Logging_2580/klagomål/A 3578-2025 FSC-klagomål.docx", "A 3578-2025")</f>
        <v/>
      </c>
      <c r="W981">
        <f>HYPERLINK("https://klasma.github.io/Logging_2580/klagomålsmail/A 3578-2025 FSC-klagomål mail.docx", "A 3578-2025")</f>
        <v/>
      </c>
      <c r="X981">
        <f>HYPERLINK("https://klasma.github.io/Logging_2580/tillsyn/A 3578-2025 tillsynsbegäran.docx", "A 3578-2025")</f>
        <v/>
      </c>
      <c r="Y981">
        <f>HYPERLINK("https://klasma.github.io/Logging_2580/tillsynsmail/A 3578-2025 tillsynsbegäran mail.docx", "A 3578-2025")</f>
        <v/>
      </c>
      <c r="Z981">
        <f>HYPERLINK("https://klasma.github.io/Logging_2580/fåglar/A 3578-2025 prioriterade fågelarter.docx", "A 3578-2025")</f>
        <v/>
      </c>
    </row>
    <row r="982" ht="15" customHeight="1">
      <c r="A982" t="inlineStr">
        <is>
          <t>A 4346-2025</t>
        </is>
      </c>
      <c r="B982" s="1" t="n">
        <v>45685</v>
      </c>
      <c r="C982" s="1" t="n">
        <v>45758</v>
      </c>
      <c r="D982" t="inlineStr">
        <is>
          <t>NORRBOTTENS LÄN</t>
        </is>
      </c>
      <c r="E982" t="inlineStr">
        <is>
          <t>LULEÅ</t>
        </is>
      </c>
      <c r="G982" t="n">
        <v>12.3</v>
      </c>
      <c r="H982" t="n">
        <v>0</v>
      </c>
      <c r="I982" t="n">
        <v>0</v>
      </c>
      <c r="J982" t="n">
        <v>1</v>
      </c>
      <c r="K982" t="n">
        <v>0</v>
      </c>
      <c r="L982" t="n">
        <v>0</v>
      </c>
      <c r="M982" t="n">
        <v>0</v>
      </c>
      <c r="N982" t="n">
        <v>0</v>
      </c>
      <c r="O982" t="n">
        <v>1</v>
      </c>
      <c r="P982" t="n">
        <v>0</v>
      </c>
      <c r="Q982" t="n">
        <v>1</v>
      </c>
      <c r="R982" s="2" t="inlineStr">
        <is>
          <t>Garnlav</t>
        </is>
      </c>
      <c r="S982">
        <f>HYPERLINK("https://klasma.github.io/Logging_2580/artfynd/A 4346-2025 artfynd.xlsx", "A 4346-2025")</f>
        <v/>
      </c>
      <c r="T982">
        <f>HYPERLINK("https://klasma.github.io/Logging_2580/kartor/A 4346-2025 karta.png", "A 4346-2025")</f>
        <v/>
      </c>
      <c r="V982">
        <f>HYPERLINK("https://klasma.github.io/Logging_2580/klagomål/A 4346-2025 FSC-klagomål.docx", "A 4346-2025")</f>
        <v/>
      </c>
      <c r="W982">
        <f>HYPERLINK("https://klasma.github.io/Logging_2580/klagomålsmail/A 4346-2025 FSC-klagomål mail.docx", "A 4346-2025")</f>
        <v/>
      </c>
      <c r="X982">
        <f>HYPERLINK("https://klasma.github.io/Logging_2580/tillsyn/A 4346-2025 tillsynsbegäran.docx", "A 4346-2025")</f>
        <v/>
      </c>
      <c r="Y982">
        <f>HYPERLINK("https://klasma.github.io/Logging_2580/tillsynsmail/A 4346-2025 tillsynsbegäran mail.docx", "A 4346-2025")</f>
        <v/>
      </c>
    </row>
    <row r="983" ht="15" customHeight="1">
      <c r="A983" t="inlineStr">
        <is>
          <t>A 4908-2025</t>
        </is>
      </c>
      <c r="B983" s="1" t="n">
        <v>45688</v>
      </c>
      <c r="C983" s="1" t="n">
        <v>45758</v>
      </c>
      <c r="D983" t="inlineStr">
        <is>
          <t>NORRBOTTENS LÄN</t>
        </is>
      </c>
      <c r="E983" t="inlineStr">
        <is>
          <t>GÄLLIVARE</t>
        </is>
      </c>
      <c r="F983" t="inlineStr">
        <is>
          <t>SCA</t>
        </is>
      </c>
      <c r="G983" t="n">
        <v>6.4</v>
      </c>
      <c r="H983" t="n">
        <v>1</v>
      </c>
      <c r="I983" t="n">
        <v>0</v>
      </c>
      <c r="J983" t="n">
        <v>1</v>
      </c>
      <c r="K983" t="n">
        <v>0</v>
      </c>
      <c r="L983" t="n">
        <v>0</v>
      </c>
      <c r="M983" t="n">
        <v>0</v>
      </c>
      <c r="N983" t="n">
        <v>0</v>
      </c>
      <c r="O983" t="n">
        <v>1</v>
      </c>
      <c r="P983" t="n">
        <v>0</v>
      </c>
      <c r="Q983" t="n">
        <v>1</v>
      </c>
      <c r="R983" s="2" t="inlineStr">
        <is>
          <t>Utter</t>
        </is>
      </c>
      <c r="S983">
        <f>HYPERLINK("https://klasma.github.io/Logging_2523/artfynd/A 4908-2025 artfynd.xlsx", "A 4908-2025")</f>
        <v/>
      </c>
      <c r="T983">
        <f>HYPERLINK("https://klasma.github.io/Logging_2523/kartor/A 4908-2025 karta.png", "A 4908-2025")</f>
        <v/>
      </c>
      <c r="V983">
        <f>HYPERLINK("https://klasma.github.io/Logging_2523/klagomål/A 4908-2025 FSC-klagomål.docx", "A 4908-2025")</f>
        <v/>
      </c>
      <c r="W983">
        <f>HYPERLINK("https://klasma.github.io/Logging_2523/klagomålsmail/A 4908-2025 FSC-klagomål mail.docx", "A 4908-2025")</f>
        <v/>
      </c>
      <c r="X983">
        <f>HYPERLINK("https://klasma.github.io/Logging_2523/tillsyn/A 4908-2025 tillsynsbegäran.docx", "A 4908-2025")</f>
        <v/>
      </c>
      <c r="Y983">
        <f>HYPERLINK("https://klasma.github.io/Logging_2523/tillsynsmail/A 4908-2025 tillsynsbegäran mail.docx", "A 4908-2025")</f>
        <v/>
      </c>
    </row>
    <row r="984" ht="15" customHeight="1">
      <c r="A984" t="inlineStr">
        <is>
          <t>A 6923-2025</t>
        </is>
      </c>
      <c r="B984" s="1" t="n">
        <v>45701</v>
      </c>
      <c r="C984" s="1" t="n">
        <v>45758</v>
      </c>
      <c r="D984" t="inlineStr">
        <is>
          <t>NORRBOTTENS LÄN</t>
        </is>
      </c>
      <c r="E984" t="inlineStr">
        <is>
          <t>LULEÅ</t>
        </is>
      </c>
      <c r="F984" t="inlineStr">
        <is>
          <t>SCA</t>
        </is>
      </c>
      <c r="G984" t="n">
        <v>5.2</v>
      </c>
      <c r="H984" t="n">
        <v>0</v>
      </c>
      <c r="I984" t="n">
        <v>0</v>
      </c>
      <c r="J984" t="n">
        <v>1</v>
      </c>
      <c r="K984" t="n">
        <v>0</v>
      </c>
      <c r="L984" t="n">
        <v>0</v>
      </c>
      <c r="M984" t="n">
        <v>0</v>
      </c>
      <c r="N984" t="n">
        <v>0</v>
      </c>
      <c r="O984" t="n">
        <v>1</v>
      </c>
      <c r="P984" t="n">
        <v>0</v>
      </c>
      <c r="Q984" t="n">
        <v>1</v>
      </c>
      <c r="R984" s="2" t="inlineStr">
        <is>
          <t>Tallticka</t>
        </is>
      </c>
      <c r="S984">
        <f>HYPERLINK("https://klasma.github.io/Logging_2580/artfynd/A 6923-2025 artfynd.xlsx", "A 6923-2025")</f>
        <v/>
      </c>
      <c r="T984">
        <f>HYPERLINK("https://klasma.github.io/Logging_2580/kartor/A 6923-2025 karta.png", "A 6923-2025")</f>
        <v/>
      </c>
      <c r="V984">
        <f>HYPERLINK("https://klasma.github.io/Logging_2580/klagomål/A 6923-2025 FSC-klagomål.docx", "A 6923-2025")</f>
        <v/>
      </c>
      <c r="W984">
        <f>HYPERLINK("https://klasma.github.io/Logging_2580/klagomålsmail/A 6923-2025 FSC-klagomål mail.docx", "A 6923-2025")</f>
        <v/>
      </c>
      <c r="X984">
        <f>HYPERLINK("https://klasma.github.io/Logging_2580/tillsyn/A 6923-2025 tillsynsbegäran.docx", "A 6923-2025")</f>
        <v/>
      </c>
      <c r="Y984">
        <f>HYPERLINK("https://klasma.github.io/Logging_2580/tillsynsmail/A 6923-2025 tillsynsbegäran mail.docx", "A 6923-2025")</f>
        <v/>
      </c>
    </row>
    <row r="985" ht="15" customHeight="1">
      <c r="A985" t="inlineStr">
        <is>
          <t>A 10949-2025</t>
        </is>
      </c>
      <c r="B985" s="1" t="n">
        <v>45723</v>
      </c>
      <c r="C985" s="1" t="n">
        <v>45758</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45758</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45758</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45758</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45758</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45758</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45758</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45758</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45758</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45758</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45758</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45758</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45758</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45758</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45758</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45758</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45758</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45758</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45758</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45758</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45758</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45758</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45758</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45758</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45758</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45758</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45758</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45758</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45758</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45758</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45758</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45758</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45758</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45758</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45758</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45758</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45758</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45758</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45758</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45758</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45758</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45758</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45758</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45758</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45758</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45758</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45758</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45758</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45758</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45758</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45758</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45758</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45758</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45758</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45758</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45758</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45758</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45758</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45758</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45758</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45758</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45758</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45758</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45758</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45758</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45758</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45758</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45758</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45758</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45758</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45758</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45758</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45758</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45758</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45758</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45758</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45758</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45758</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45758</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45758</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45758</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45758</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45758</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45758</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45758</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45758</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45758</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45758</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45758</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45758</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45758</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45758</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45758</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45758</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45758</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45758</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45758</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45758</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45758</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45758</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45758</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45758</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45758</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45758</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45758</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45758</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45758</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45758</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45758</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45758</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45758</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45758</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45758</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45758</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45758</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45758</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45758</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45758</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45758</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45758</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45758</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45758</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45758</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45758</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45758</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45758</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45758</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45758</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45758</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45758</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45758</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45758</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45758</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45758</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45758</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45758</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45758</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45758</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45758</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45758</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45758</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45758</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45758</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45758</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45758</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45758</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45758</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45758</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45758</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45758</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45758</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45758</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45758</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45758</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45758</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45758</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45758</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45758</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45758</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45758</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45758</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45758</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45758</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45758</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45758</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45758</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45758</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45758</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45758</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45758</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45758</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45758</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45758</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45758</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45758</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45758</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45758</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45758</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45758</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45758</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45758</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45758</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45758</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45758</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45758</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45758</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45758</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45758</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45758</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45758</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45758</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45758</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45758</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45758</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45758</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45758</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45758</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45758</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45758</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45758</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45758</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45758</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45758</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45758</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45758</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45758</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45758</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45758</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45758</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45758</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45758</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45758</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45758</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45758</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45758</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45758</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45758</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45758</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45758</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45758</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45758</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45758</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45758</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45758</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45758</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45758</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45758</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45758</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45758</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45758</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45758</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45758</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45758</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45758</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45758</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45758</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45758</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45758</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45758</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45758</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45758</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45758</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45758</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45758</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45758</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45758</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45758</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45758</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45758</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45758</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45758</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45758</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45758</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45758</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45758</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45758</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45758</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45758</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45758</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45758</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45758</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45758</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45758</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45758</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45758</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45758</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45758</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45758</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45758</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45758</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45758</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45758</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45758</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45758</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45758</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45758</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45758</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45758</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45758</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45758</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45758</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45758</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45758</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45758</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45758</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45758</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45758</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45758</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45758</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45758</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45758</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45758</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45758</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45758</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45758</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45758</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45758</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45758</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45758</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45758</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45758</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45758</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45758</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45758</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45758</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45758</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45758</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45758</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45758</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45758</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45758</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45758</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45758</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45758</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45758</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45758</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45758</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45758</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45758</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45758</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45758</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45758</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45758</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45758</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45758</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45758</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45758</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45758</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45758</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45758</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45758</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45758</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45758</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45758</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45758</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45758</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45758</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45758</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45758</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45758</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45758</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45758</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45758</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45758</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45758</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45758</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45758</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45758</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45758</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45758</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45758</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45758</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45758</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45758</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45758</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45758</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45758</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45758</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45758</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45758</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45758</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45758</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45758</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45758</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45758</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45758</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45758</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45758</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45758</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45758</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45758</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45758</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45758</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45758</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45758</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45758</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45758</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45758</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45758</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45758</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45758</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45758</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45758</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45758</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45758</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45758</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45758</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45758</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45758</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45758</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45758</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45758</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45758</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45758</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45758</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45758</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45758</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45758</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45758</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45758</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45758</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45758</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45758</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45758</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45758</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45758</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45758</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45758</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45758</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45758</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45758</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45758</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45758</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45758</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45758</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45758</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45758</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45758</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45758</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45758</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45758</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45758</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45758</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45758</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45758</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45758</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45758</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45758</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45758</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45758</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45758</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45758</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45758</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45758</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45758</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45758</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45758</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45758</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45758</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45758</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45758</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45758</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45758</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45758</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45758</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45758</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45758</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45758</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45758</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45758</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45758</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45758</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45758</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45758</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45758</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45758</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45758</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45758</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45758</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45758</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45758</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45758</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45758</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45758</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45758</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45758</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45758</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45758</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45758</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45758</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45758</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45758</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45758</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45758</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45758</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45758</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45758</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45758</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45758</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45758</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45758</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45758</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45758</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45758</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45758</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45758</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45758</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45758</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45758</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45758</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45758</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45758</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45758</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45758</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45758</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45758</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45758</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45758</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45758</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45758</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45758</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45758</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45758</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45758</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45758</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45758</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45758</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45758</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45758</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45758</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45758</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45758</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45758</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45758</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45758</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45758</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45758</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45758</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45758</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45758</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45758</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45758</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45758</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45758</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45758</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45758</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45758</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45758</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45758</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45758</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45758</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45758</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45758</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45758</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45758</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45758</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45758</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45758</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45758</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45758</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45758</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45758</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45758</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45758</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45758</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45758</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45758</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45758</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45758</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45758</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45758</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45758</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45758</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45758</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45758</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45758</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45758</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45758</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45758</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45758</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45758</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45758</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45758</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45758</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45758</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45758</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45758</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45758</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45758</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45758</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45758</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45758</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45758</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45758</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45758</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45758</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45758</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45758</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45758</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45758</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45758</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45758</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45758</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45758</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45758</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45758</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45758</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45758</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45758</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45758</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45758</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45758</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45758</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45758</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45758</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45758</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45758</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45758</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45758</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45758</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45758</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45758</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45758</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45758</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45758</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45758</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45758</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45758</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45758</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45758</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45758</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45758</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45758</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45758</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45758</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45758</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45758</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45758</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45758</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45758</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45758</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45758</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45758</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45758</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45758</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45758</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45758</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45758</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45758</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45758</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45758</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45758</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45758</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45758</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45758</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45758</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45758</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45758</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45758</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45758</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45758</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45758</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45758</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45758</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45758</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45758</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45758</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45758</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45758</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45758</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45758</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45758</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45758</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45758</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45758</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45758</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45758</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45758</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45758</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45758</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45758</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45758</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45758</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45758</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45758</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45758</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45758</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45758</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45758</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45758</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45758</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45758</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45758</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45758</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45758</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45758</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45758</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45758</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45758</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45758</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45758</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45758</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45758</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45758</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45758</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45758</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45758</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45758</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45758</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45758</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45758</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45758</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45758</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45758</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45758</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45758</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45758</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45758</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45758</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45758</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45758</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45758</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45758</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45758</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45758</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45758</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45758</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45758</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45758</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45758</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45758</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45758</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45758</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45758</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45758</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45758</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45758</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45758</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45758</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45758</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45758</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45758</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45758</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45758</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45758</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45758</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45758</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45758</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45758</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45758</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45758</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45758</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45758</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45758</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45758</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45758</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45758</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45758</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45758</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45758</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45758</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45758</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45758</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45758</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45758</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45758</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45758</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45758</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45758</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45758</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45758</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45758</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45758</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45758</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45758</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45758</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45758</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45758</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45758</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45758</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45758</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45758</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45758</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45758</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45758</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45758</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45758</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45758</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45758</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45758</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45758</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45758</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45758</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45758</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45758</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45758</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45758</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45758</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45758</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45758</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45758</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45758</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45758</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45758</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45758</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45758</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45758</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45758</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45758</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45758</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45758</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45758</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45758</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45758</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45758</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45758</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45758</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45758</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45758</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45758</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45758</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45758</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45758</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45758</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45758</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45758</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45758</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45758</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45758</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45758</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45758</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45758</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45758</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45758</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45758</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45758</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45758</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45758</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45758</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45758</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45758</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45758</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45758</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45758</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45758</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45758</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45758</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45758</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45758</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45758</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45758</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45758</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45758</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45758</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45758</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45758</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45758</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45758</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45758</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45758</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45758</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45758</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45758</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45758</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45758</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45758</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45758</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45758</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45758</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45758</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45758</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45758</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45758</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45758</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45758</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45758</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45758</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45758</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45758</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45758</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45758</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45758</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45758</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45758</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45758</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45758</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45758</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45758</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45758</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45758</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45758</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45758</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45758</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45758</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45758</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45758</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45758</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45758</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45758</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45758</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45758</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45758</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45758</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45758</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45758</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45758</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45758</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45758</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45758</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45758</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45758</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45758</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45758</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45758</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45758</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45758</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45758</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45758</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45758</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45758</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45758</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45758</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45758</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45758</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45758</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45758</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45758</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45758</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45758</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45758</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45758</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45758</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45758</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45758</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45758</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45758</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45758</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45758</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45758</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45758</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45758</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45758</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45758</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45758</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45758</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45758</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45758</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45758</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45758</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45758</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45758</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45758</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45758</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45758</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45758</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45758</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45758</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45758</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45758</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45758</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45758</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45758</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45758</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45758</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45758</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45758</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45758</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45758</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45758</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45758</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45758</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45758</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45758</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45758</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45758</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45758</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45758</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45758</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45758</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45758</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45758</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45758</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45758</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45758</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45758</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45758</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45758</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45758</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45758</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45758</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45758</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45758</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45758</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45758</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45758</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45758</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45758</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45758</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45758</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45758</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45758</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45758</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45758</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45758</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45758</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45758</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45758</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45758</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45758</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45758</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45758</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45758</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45758</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45758</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45758</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45758</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45758</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45758</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45758</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45758</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45758</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45758</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45758</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45758</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45758</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45758</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45758</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45758</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45758</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45758</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45758</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45758</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45758</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45758</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45758</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45758</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45758</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45758</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45758</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45758</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45758</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45758</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45758</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45758</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45758</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45758</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45758</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45758</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45758</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45758</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45758</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45758</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45758</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45758</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45758</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45758</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45758</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45758</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45758</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45758</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45758</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45758</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45758</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45758</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45758</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45758</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45758</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45758</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45758</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45758</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45758</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45758</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45758</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45758</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45758</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45758</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45758</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45758</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45758</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45758</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45758</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45758</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45758</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45758</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45758</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45758</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45758</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45758</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45758</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45758</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45758</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45758</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45758</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45758</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45758</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45758</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45758</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45758</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45758</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45758</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45758</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45758</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45758</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45758</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45758</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45758</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45758</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45758</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45758</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45758</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45758</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45758</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45758</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45758</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45758</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45758</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45758</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45758</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45758</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45758</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45758</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45758</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45758</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45758</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45758</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45758</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45758</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45758</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45758</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45758</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45758</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45758</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45758</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45758</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45758</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45758</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45758</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45758</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45758</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45758</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45758</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45758</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45758</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45758</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45758</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45758</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45758</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45758</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45758</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45758</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45758</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45758</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45758</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45758</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45758</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45758</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45758</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45758</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45758</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45758</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45758</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45758</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45758</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45758</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45758</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45758</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45758</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45758</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45758</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45758</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45758</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45758</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45758</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45758</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45758</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45758</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45758</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45758</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45758</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45758</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45758</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45758</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45758</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45758</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45758</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45758</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45758</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45758</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45758</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45758</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45758</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45758</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45758</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45758</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45758</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45758</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45758</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45758</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45758</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45758</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45758</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45758</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45758</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45758</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45758</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45758</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45758</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45758</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45758</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45758</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45758</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45758</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45758</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45758</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45758</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45758</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45758</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45758</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45758</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45758</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45758</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45758</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45758</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45758</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45758</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45758</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45758</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45758</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45758</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45758</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45758</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45758</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45758</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45758</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45758</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45758</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45758</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45758</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45758</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45758</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45758</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45758</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45758</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45758</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45758</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45758</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45758</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45758</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45758</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45758</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45758</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45758</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45758</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45758</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45758</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45758</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45758</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45758</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45758</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45758</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45758</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45758</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45758</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45758</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45758</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45758</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45758</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45758</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45758</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45758</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45758</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45758</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45758</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45758</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45758</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45758</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45758</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45758</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45758</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45758</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45758</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45758</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45758</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45758</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45758</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45758</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45758</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45758</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45758</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45758</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45758</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45758</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45758</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45758</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45758</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45758</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45758</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45758</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45758</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45758</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45758</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45758</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45758</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45758</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45758</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45758</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45758</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45758</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45758</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45758</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45758</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45758</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45758</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45758</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45758</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45758</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45758</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45758</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45758</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45758</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45758</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45758</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45758</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45758</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45758</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45758</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45758</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45758</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45758</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45758</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45758</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45758</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45758</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45758</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45758</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45758</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45758</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45758</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45758</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45758</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45758</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45758</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45758</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45758</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45758</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45758</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45758</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45758</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45758</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45758</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45758</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45758</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45758</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45758</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45758</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45758</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45758</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45758</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45758</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45758</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45758</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45758</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45758</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45758</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45758</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45758</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45758</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45758</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45758</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45758</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45758</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45758</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45758</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45758</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45758</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45758</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45758</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45758</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45758</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45758</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45758</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45758</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45758</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45758</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45758</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45758</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45758</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45758</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45758</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45758</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45758</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45758</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45758</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45758</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45758</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45758</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45758</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45758</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45758</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45758</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45758</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45758</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45758</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45758</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45758</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45758</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45758</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45758</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45758</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45758</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45758</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45758</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45758</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45758</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45758</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45758</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45758</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45758</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45758</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45758</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45758</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45758</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45758</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45758</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45758</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45758</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45758</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45758</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45758</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45758</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45758</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45758</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45758</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45758</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45758</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45758</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45758</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45758</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45758</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45758</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45758</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45758</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45758</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45758</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45758</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45758</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45758</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45758</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45758</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45758</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45758</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45758</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45758</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45758</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45758</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45758</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45758</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45758</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45758</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45758</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45758</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45758</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45758</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45758</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45758</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45758</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45758</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45758</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45758</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45758</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45758</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45758</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45758</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45758</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45758</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45758</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45758</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45758</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45758</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45758</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45758</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45758</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45758</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45758</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45758</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45758</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45758</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45758</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45758</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45758</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45758</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45758</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45758</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45758</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45758</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45758</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45758</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45758</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45758</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45758</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45758</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45758</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45758</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45758</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45758</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45758</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45758</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45758</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45758</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45758</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45758</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45758</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45758</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45758</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45758</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45758</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45758</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45758</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45758</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45758</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45758</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45758</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45758</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45758</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45758</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45758</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45758</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45758</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45758</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45758</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45758</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45758</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45758</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45758</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45758</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45758</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45758</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45758</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45758</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45758</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45758</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45758</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45758</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45758</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45758</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45758</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45758</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45758</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45758</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45758</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45758</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45758</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45758</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45758</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45758</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45758</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45758</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45758</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45758</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45758</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45758</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45758</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45758</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45758</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45758</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45758</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45758</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45758</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45758</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45758</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45758</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45758</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45758</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45758</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45758</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45758</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45758</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45758</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45758</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45758</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45758</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45758</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45758</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45758</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45758</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45758</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45758</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45758</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45758</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45758</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45758</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45758</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45758</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45758</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45758</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45758</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45758</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45758</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45758</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45758</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45758</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45758</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45758</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45758</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45758</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45758</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45758</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45758</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45758</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45758</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45758</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45758</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45758</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45758</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45758</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45758</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45758</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45758</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45758</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45758</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45758</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45758</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45758</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45758</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45758</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45758</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45758</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45758</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45758</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45758</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45758</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45758</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45758</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45758</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45758</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45758</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45758</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45758</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45758</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45758</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45758</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45758</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45758</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45758</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45758</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45758</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45758</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45758</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45758</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45758</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45758</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45758</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45758</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45758</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45758</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45758</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45758</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45758</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45758</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45758</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45758</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45758</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45758</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45758</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45758</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45758</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45758</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45758</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45758</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45758</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45758</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45758</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45758</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45758</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45758</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45758</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45758</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45758</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45758</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45758</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45758</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45758</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45758</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45758</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45758</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45758</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45758</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45758</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45758</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45758</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45758</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45758</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45758</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45758</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45758</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45758</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45758</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45758</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45758</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45758</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45758</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45758</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45758</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45758</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45758</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45758</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45758</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45758</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45758</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45758</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45758</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45758</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45758</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45758</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45758</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45758</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45758</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45758</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45758</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45758</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45758</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45758</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45758</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45758</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45758</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45758</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45758</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45758</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45758</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45758</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45758</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45758</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45758</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45758</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45758</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45758</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45758</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45758</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45758</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45758</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45758</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45758</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45758</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45758</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45758</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45758</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45758</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45758</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45758</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45758</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45758</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45758</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45758</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45758</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45758</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45758</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45758</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45758</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45758</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45758</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45758</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45758</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45758</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45758</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45758</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45758</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45758</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45758</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45758</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45758</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45758</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45758</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45758</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45758</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45758</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45758</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45758</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45758</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45758</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45758</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45758</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45758</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45758</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45758</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45758</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45758</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45758</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45758</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45758</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45758</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45758</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45758</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45758</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45758</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45758</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45758</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45758</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45758</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45758</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45758</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45758</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45758</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45758</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45758</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45758</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45758</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45758</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45758</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45758</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45758</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45758</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45758</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45758</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45758</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45758</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45758</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45758</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45758</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45758</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45758</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45758</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45758</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45758</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45758</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45758</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45758</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45758</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45758</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45758</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45758</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45758</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45758</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45758</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45758</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45758</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45758</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45758</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45758</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45758</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45758</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45758</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45758</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45758</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45758</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45758</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45758</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45758</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45758</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45758</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45758</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45758</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45758</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45758</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45758</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45758</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45758</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45758</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45758</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45758</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45758</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45758</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45758</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45758</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45758</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45758</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45758</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45758</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45758</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45758</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45758</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45758</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45758</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45758</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45758</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45758</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45758</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45758</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45758</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45758</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45758</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45758</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45758</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45758</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45758</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45758</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45758</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45758</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45758</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45758</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45758</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45758</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45758</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45758</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45758</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45758</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45758</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45758</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45758</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45758</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45758</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45758</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45758</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45758</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45758</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45758</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45758</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45758</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45758</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45758</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45758</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45758</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45758</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45758</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45758</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45758</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45758</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45758</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45758</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45758</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45758</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45758</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45758</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45758</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45758</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45758</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45758</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45758</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45758</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45758</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45758</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45758</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45758</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45758</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45758</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45758</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45758</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45758</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45758</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45758</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45758</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45758</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45758</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45758</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45758</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45758</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45758</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45758</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45758</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45758</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45758</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45758</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45758</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45758</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45758</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45758</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45758</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45758</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45758</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45758</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45758</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45758</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45758</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45758</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45758</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45758</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45758</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45758</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45758</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45758</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45758</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45758</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45758</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45758</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45758</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45758</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45758</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45758</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45758</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45758</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45758</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45758</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45758</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45758</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45758</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45758</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45758</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45758</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45758</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45758</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45758</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45758</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45758</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45758</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45758</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45758</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45758</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45758</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45758</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45758</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45758</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45758</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45758</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45758</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45758</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45758</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45758</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45758</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45758</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45758</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45758</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45758</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45758</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45758</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45758</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45758</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45758</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45758</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45758</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45758</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45758</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45758</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45758</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45758</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45758</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45758</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45758</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45758</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45758</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45758</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45758</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45758</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45758</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45758</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45758</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45758</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45758</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45758</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45758</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45758</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45758</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45758</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45758</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45758</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45758</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45758</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45758</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45758</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45758</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45758</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45758</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45758</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45758</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45758</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45758</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45758</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45758</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45758</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45758</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45758</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45758</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45758</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45758</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45758</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45758</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45758</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45758</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45758</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45758</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45758</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45758</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45758</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45758</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45758</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45758</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45758</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45758</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45758</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45758</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45758</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45758</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45758</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45758</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45758</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45758</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45758</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45758</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45758</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45758</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45758</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45758</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45758</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45758</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45758</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45758</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45758</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45758</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45758</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45758</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45758</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45758</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45758</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45758</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45758</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45758</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45758</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45758</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45758</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45758</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45758</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45758</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45758</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45758</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45758</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45758</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45758</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45758</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45758</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45758</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45758</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45758</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45758</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45758</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45758</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45758</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45758</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45758</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45758</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45758</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45758</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45758</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45758</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45758</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45758</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45758</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45758</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45758</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45758</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45758</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45758</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45758</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45758</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45758</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45758</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45758</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45758</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45758</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45758</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45758</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45758</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45758</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45758</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45758</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45758</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45758</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45758</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45758</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45758</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45758</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45758</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45758</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45758</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45758</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45758</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45758</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45758</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45758</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45758</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45758</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45758</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45758</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45758</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45758</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45758</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45758</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45758</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45758</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45758</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45758</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45758</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45758</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45758</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45758</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45758</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45758</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45758</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45758</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45758</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45758</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45758</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45758</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45758</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45758</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45758</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45758</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45758</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45758</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45758</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45758</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45758</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45758</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45758</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45758</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45758</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45758</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45758</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45758</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45758</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45758</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45758</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45758</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45758</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45758</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45758</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45758</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45758</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45758</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45758</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45758</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45758</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45758</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45758</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45758</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45758</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45758</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45758</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45758</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45758</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45758</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45758</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45758</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45758</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45758</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45758</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45758</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45758</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45758</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45758</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45758</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45758</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45758</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45758</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45758</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45758</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45758</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45758</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45758</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45758</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45758</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45758</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45758</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45758</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45758</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45758</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45758</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45758</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45758</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45758</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45758</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45758</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45758</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45758</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45758</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45758</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45758</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45758</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45758</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45758</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45758</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45758</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45758</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45758</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45758</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45758</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45758</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45758</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45758</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45758</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45758</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45758</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45758</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45758</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45758</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45758</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45758</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45758</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45758</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45758</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45758</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45758</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45758</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45758</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45758</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45758</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45758</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45758</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45758</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45758</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45758</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45758</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45758</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45758</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45758</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45758</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45758</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45758</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45758</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45758</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45758</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45758</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45758</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45758</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45758</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45758</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45758</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45758</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45758</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45758</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45758</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45758</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45758</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45758</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45758</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45758</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45758</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45758</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45758</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45758</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45758</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45758</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45758</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45758</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45758</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45758</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45758</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45758</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45758</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45758</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45758</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45758</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45758</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45758</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45758</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45758</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45758</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45758</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45758</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45758</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45758</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45758</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45758</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45758</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45758</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45758</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45758</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45758</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45758</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45758</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45758</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45758</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45758</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45758</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45758</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45758</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45758</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45758</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45758</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45758</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45758</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45758</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45758</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45758</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45758</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45758</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45758</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45758</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45758</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45758</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45758</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45758</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45758</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45758</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45758</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45758</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45758</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45758</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45758</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45758</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45758</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45758</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45758</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45758</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45758</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45758</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45758</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45758</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45758</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45758</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45758</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45758</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45758</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45758</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45758</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45758</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45758</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45758</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45758</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45758</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45758</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45758</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45758</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45758</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45758</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45758</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45758</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45758</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45758</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45758</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45758</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45758</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45758</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45758</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45758</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45758</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45758</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45758</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45758</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45758</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45758</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45758</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45758</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45758</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45758</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45758</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45758</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45758</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45758</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45758</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45758</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45758</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45758</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45758</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45758</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45758</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45758</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45758</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45758</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45758</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45758</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45758</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45758</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45758</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45758</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45758</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45758</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45758</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45758</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45758</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45758</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45758</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45758</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45758</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45758</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45758</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45758</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45758</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45758</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45758</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45758</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45758</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45758</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45758</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45758</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45758</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45758</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45758</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45758</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45758</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45758</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45758</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45758</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45758</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45758</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45758</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45758</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45758</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45758</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45758</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45758</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45758</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45758</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45758</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45758</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45758</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45758</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45758</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45758</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45758</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45758</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45758</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45758</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45758</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45758</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45758</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45758</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45758</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45758</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45758</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45758</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45758</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45758</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45758</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45758</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45758</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45758</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45758</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45758</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45758</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45758</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45758</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45758</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45758</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45758</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45758</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45758</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45758</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45758</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45758</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45758</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45758</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45758</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45758</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45758</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45758</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45758</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45758</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45758</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45758</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45758</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45758</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45758</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45758</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45758</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45758</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45758</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45758</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45758</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45758</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45758</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45758</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45758</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45758</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45758</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45758</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45758</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45758</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45758</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45758</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45758</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45758</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45758</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45758</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45758</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45758</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45758</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45758</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45758</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45758</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45758</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45758</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45758</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45758</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45758</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45758</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45758</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45758</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45758</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45758</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45758</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45758</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45758</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45758</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45758</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45758</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45758</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45758</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45758</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45758</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45758</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45758</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45758</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45758</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45758</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45758</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45758</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45758</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45758</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45758</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45758</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45758</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45758</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45758</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45758</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45758</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45758</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45758</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45758</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45758</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45758</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45758</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45758</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45758</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45758</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45758</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45758</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45758</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45758</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45758</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45758</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45758</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45758</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45758</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45758</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45758</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45758</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45758</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45758</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45758</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45758</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45758</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45758</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45758</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45758</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45758</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45758</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45758</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45758</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45758</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45758</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45758</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45758</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45758</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45758</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45758</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45758</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45758</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45758</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45758</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45758</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45758</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45758</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45758</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45758</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45758</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45758</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45758</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45758</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45758</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45758</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45758</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45758</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45758</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45758</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45758</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45758</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45758</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45758</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45758</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45758</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45758</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45758</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45758</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45758</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45758</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45758</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45758</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45758</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45758</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45758</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45758</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45758</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45758</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45758</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45758</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45758</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45758</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45758</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45758</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45758</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45758</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45758</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45758</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45758</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45758</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45758</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45758</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45758</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45758</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45758</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45758</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45758</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45758</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45758</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45758</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45758</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45758</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45758</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45758</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45758</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45758</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45758</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45758</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45758</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45758</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45758</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45758</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45758</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45758</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45758</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45758</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45758</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45758</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45758</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45758</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45758</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45758</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45758</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45758</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45758</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45758</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45758</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45758</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45758</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45758</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45758</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45758</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45758</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45758</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45758</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45758</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45758</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45758</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45758</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45758</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45758</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45758</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45758</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45758</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45758</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45758</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45758</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45758</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45758</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45758</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45758</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45758</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45758</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45758</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45758</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45758</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45758</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45758</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45758</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45758</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45758</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45758</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45758</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45758</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45758</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45758</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45758</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45758</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45758</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45758</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45758</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45758</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45758</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45758</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45758</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45758</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45758</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45758</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45758</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45758</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45758</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45758</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45758</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45758</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45758</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45758</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45758</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45758</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45758</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45758</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45758</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45758</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45758</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45758</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45758</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45758</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45758</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45758</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45758</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45758</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45758</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45758</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45758</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45758</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45758</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45758</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45758</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45758</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45758</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45758</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45758</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45758</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45758</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45758</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45758</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45758</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45758</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45758</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45758</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45758</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45758</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45758</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45758</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45758</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45758</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45758</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45758</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45758</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45758</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45758</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45758</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45758</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45758</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45758</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45758</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45758</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45758</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45758</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45758</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45758</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45758</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45758</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45758</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45758</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45758</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45758</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45758</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45758</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45758</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45758</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45758</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45758</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45758</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45758</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45758</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45758</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45758</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45758</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45758</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45758</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45758</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45758</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45758</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45758</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45758</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45758</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45758</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45758</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45758</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45758</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45758</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45758</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45758</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45758</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45758</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45758</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45758</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45758</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45758</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45758</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45758</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45758</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45758</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45758</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45758</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45758</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45758</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45758</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45758</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45758</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45758</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45758</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45758</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45758</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45758</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45758</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45758</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45758</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45758</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45758</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45758</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45758</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45758</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45758</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45758</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45758</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45758</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45758</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45758</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45758</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45758</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45758</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45758</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45758</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45758</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45758</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45758</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45758</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45758</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45758</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45758</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45758</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45758</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45758</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45758</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45758</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45758</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45758</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45758</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45758</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45758</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45758</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45758</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45758</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45758</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45758</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45758</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45758</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45758</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45758</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45758</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45758</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45758</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45758</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45758</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45758</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45758</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45758</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45758</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45758</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45758</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45758</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45758</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45758</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45758</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45758</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45758</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45758</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45758</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45758</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45758</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45758</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45758</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45758</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45758</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45758</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45758</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45758</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45758</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45758</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45758</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45758</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45758</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45758</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45758</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45758</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45758</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45758</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45758</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45758</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45758</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45758</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45758</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45758</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45758</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45758</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45758</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45758</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45758</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45758</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45758</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45758</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45758</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45758</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45758</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45758</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45758</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45758</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45758</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45758</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45758</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45758</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45758</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45758</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45758</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45758</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45758</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45758</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45758</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45758</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45758</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45758</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45758</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45758</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45758</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45758</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45758</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45758</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45758</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45758</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45758</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45758</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45758</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45758</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45758</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45758</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45758</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45758</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45758</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45758</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45758</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45758</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45758</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45758</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45758</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45758</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45758</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45758</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45758</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45758</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45758</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45758</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45758</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45758</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45758</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45758</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45758</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45758</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45758</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45758</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45758</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45758</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45758</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45758</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45758</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45758</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45758</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45758</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45758</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45758</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45758</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45758</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45758</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45758</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45758</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45758</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45758</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45758</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45758</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45758</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45758</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45758</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45758</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45758</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45758</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45758</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45758</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45758</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45758</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45758</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45758</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45758</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45758</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45758</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45758</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45758</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45758</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45758</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45758</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45758</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45758</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45758</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45758</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45758</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45758</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45758</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45758</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45758</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45758</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45758</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45758</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45758</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45758</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45758</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45758</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45758</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45758</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45758</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45758</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45758</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45758</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45758</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45758</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45758</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45758</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45758</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45758</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45758</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45758</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45758</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45758</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45758</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45758</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45758</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45758</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45758</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45758</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45758</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45758</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45758</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45758</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45758</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45758</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45758</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45758</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45758</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45758</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45758</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45758</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45758</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45758</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45758</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45758</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45758</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45758</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45758</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45758</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45758</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45758</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45758</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45758</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45758</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45758</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45758</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45758</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45758</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45758</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45758</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45758</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45758</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45758</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45758</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45758</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45758</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45758</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45758</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45758</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45758</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45758</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45758</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45758</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45758</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45758</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45758</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45758</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45758</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45758</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45758</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45758</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45758</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45758</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45758</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45758</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45758</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45758</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45758</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45758</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45758</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45758</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45758</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45758</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45758</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45758</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45758</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45758</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45758</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45758</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45758</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45758</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45758</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45758</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45758</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45758</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45758</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45758</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45758</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45758</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45758</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45758</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45758</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45758</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45758</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45758</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45758</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45758</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45758</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45758</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45758</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45758</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45758</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45758</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45758</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45758</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45758</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45758</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45758</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45758</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45758</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45758</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45758</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45758</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45758</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45758</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45758</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45758</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45758</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45758</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45758</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45758</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45758</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45758</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45758</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45758</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45758</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45758</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45758</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45758</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45758</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45758</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45758</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45758</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45758</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45758</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45758</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45758</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45758</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45758</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45758</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45758</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45758</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45758</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45758</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45758</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45758</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45758</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45758</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45758</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45758</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45758</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45758</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45758</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45758</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45758</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45758</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45758</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45758</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45758</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45758</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45758</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45758</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45758</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45758</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45758</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45758</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45758</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45758</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45758</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45758</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45758</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45758</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45758</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45758</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45758</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45758</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45758</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45758</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45758</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45758</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45758</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45758</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45758</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45758</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45758</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45758</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45758</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45758</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45758</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45758</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45758</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45758</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45758</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45758</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45758</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45758</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45758</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45758</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45758</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45758</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45758</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45758</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45758</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45758</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45758</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45758</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45758</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45758</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45758</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45758</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45758</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45758</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45758</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45758</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45758</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45758</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45758</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45758</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45758</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45758</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45758</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45758</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45758</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45758</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45758</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45758</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45758</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45758</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45758</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45758</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45758</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45758</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45758</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45758</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45758</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45758</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45758</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45758</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45758</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45758</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45758</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45758</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45758</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45758</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45758</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45758</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45758</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45758</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45758</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45758</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45758</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45758</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45758</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45758</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45758</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45758</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45758</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45758</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45758</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45758</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45758</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45758</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45758</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45758</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45758</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45758</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45758</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45758</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45758</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45758</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45758</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45758</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45758</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45758</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45758</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45758</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45758</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45758</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45758</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45758</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45758</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45758</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45758</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45758</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45758</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45758</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45758</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45758</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45758</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45758</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45758</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45758</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45758</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45758</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45758</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45758</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45758</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45758</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45758</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45758</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45758</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45758</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45758</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45758</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45758</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45758</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45758</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45758</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45758</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45758</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45758</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45758</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45758</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45758</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45758</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45758</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45758</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45758</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45758</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45758</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45758</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45758</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45758</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45758</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45758</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45758</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45758</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45758</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45758</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45758</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45758</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45758</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45758</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45758</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45758</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45758</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45758</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45758</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45758</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45758</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45758</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45758</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45758</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45758</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45758</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45758</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45758</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45758</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45758</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45758</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45758</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45758</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45758</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45758</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45758</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45758</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45758</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45758</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45758</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45758</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45758</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45758</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45758</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45758</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45758</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45758</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45758</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45758</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45758</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45758</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45758</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45758</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45758</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45758</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45758</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45758</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45758</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45758</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45758</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45758</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45758</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45758</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45758</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45758</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45758</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45758</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45758</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45758</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45758</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45758</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45758</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45758</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45758</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45758</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45758</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45758</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45758</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45758</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45758</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45758</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45758</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45758</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45758</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45758</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45758</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45758</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45758</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45758</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45758</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45758</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45758</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45758</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45758</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45758</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45758</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45758</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45758</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45758</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45758</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45758</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45758</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45758</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45758</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45758</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45758</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45758</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45758</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45758</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45758</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45758</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45758</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45758</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45758</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45758</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45758</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45758</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45758</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45758</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45758</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45758</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45758</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45758</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45758</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45758</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45758</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45758</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45758</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45758</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45758</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45758</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45758</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45758</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45758</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45758</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45758</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45758</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45758</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45758</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45758</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45758</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45758</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45758</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45758</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45758</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45758</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45758</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45758</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45758</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45758</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45758</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45758</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45758</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45758</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45758</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45758</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45758</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45758</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45758</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45758</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45758</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45758</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45758</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45758</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45758</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45758</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45758</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45758</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45758</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45758</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45758</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45758</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45758</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45758</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45758</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45758</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45758</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45758</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45758</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45758</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45758</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45758</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45758</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45758</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45758</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45758</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45758</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45758</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45758</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45758</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45758</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45758</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45758</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45758</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45758</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45758</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45758</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45758</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45758</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45758</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45758</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45758</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45758</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45758</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45758</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45758</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45758</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45758</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45758</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45758</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45758</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45758</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45758</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45758</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45758</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45758</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45758</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45758</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45758</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45758</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45758</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45758</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45758</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45758</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45758</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45758</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45758</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45758</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45758</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45758</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45758</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45758</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45758</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45758</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45758</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45758</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45758</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45758</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45758</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45758</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45758</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45758</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45758</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45758</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45758</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45758</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45758</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45758</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45758</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45758</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45758</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45758</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45758</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45758</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45758</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45758</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45758</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45758</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45758</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45758</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45758</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45758</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45758</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45758</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45758</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45758</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45758</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45758</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45758</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45758</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45758</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45758</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45758</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45758</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45758</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45758</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45758</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45758</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45758</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45758</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45758</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45758</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45758</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45758</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45758</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45758</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45758</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45758</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45758</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45758</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45758</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45758</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45758</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45758</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45758</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45758</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45758</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45758</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45758</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45758</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45758</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45758</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45758</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45758</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45758</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45758</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45758</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45758</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45758</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45758</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45758</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45758</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45758</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45758</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45758</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45758</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45758</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45758</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45758</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45758</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45758</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45758</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45758</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45758</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45758</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45758</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45758</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45758</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45758</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45758</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45758</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45758</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45758</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45758</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45758</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45758</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45758</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45758</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45758</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45758</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45758</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45758</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45758</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45758</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45758</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45758</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45758</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45758</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45758</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45758</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45758</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45758</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45758</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45758</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45758</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45758</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45758</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45758</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45758</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45758</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45758</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45758</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45758</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45758</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45758</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45758</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45758</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45758</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45758</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45758</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45758</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45758</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45758</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45758</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45758</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45758</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45758</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45758</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45758</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45758</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45758</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45758</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45758</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45758</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45758</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45758</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45758</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45758</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45758</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45758</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45758</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45758</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45758</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45758</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45758</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45758</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45758</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45758</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45758</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45758</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45758</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45758</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45758</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45758</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45758</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45758</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45758</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45758</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45758</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45758</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45758</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45758</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45758</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45758</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45758</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45758</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45758</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45758</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45758</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45758</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45758</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45758</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45758</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45758</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45758</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45758</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45758</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45758</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45758</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45758</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45758</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45758</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45758</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45758</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45758</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45758</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45758</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45758</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45758</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45758</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45758</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45758</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45758</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45758</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45758</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45758</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45758</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45758</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45758</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45758</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45758</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45758</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45758</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45758</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45758</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45758</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45758</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45758</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45758</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45758</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45758</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45758</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45758</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45758</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45758</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45758</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45758</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45758</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45758</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45758</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45758</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45758</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45758</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45758</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45758</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45758</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45758</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45758</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45758</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45758</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45758</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45758</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45758</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45758</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45758</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45758</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45758</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45758</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45758</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45758</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45758</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45758</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45758</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45758</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45758</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45758</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45758</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45758</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45758</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45758</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45758</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45758</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45758</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45758</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45758</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45758</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45758</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45758</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45758</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45758</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45758</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45758</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45758</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45758</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45758</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45758</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45758</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45758</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45758</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45758</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45758</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45758</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45758</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45758</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45758</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45758</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45758</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45758</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45758</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45758</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45758</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45758</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45758</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45758</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45758</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45758</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45758</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45758</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45758</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45758</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45758</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45758</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45758</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45758</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45758</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45758</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45758</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45758</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45758</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45758</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45758</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45758</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45758</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45758</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45758</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45758</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45758</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45758</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45758</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45758</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45758</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45758</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45758</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45758</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45758</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45758</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45758</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45758</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45758</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45758</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45758</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45758</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45758</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45758</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45758</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45758</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45758</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45758</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45758</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45758</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45758</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45758</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45758</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45758</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45758</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45758</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45758</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45758</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45758</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45758</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45758</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45758</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45758</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45758</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45758</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45758</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45758</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45758</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45758</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45758</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45758</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45758</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45758</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45758</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45758</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45758</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45758</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45758</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45758</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45758</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45758</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45758</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45758</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45758</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45758</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45758</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45758</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45758</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45758</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45758</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45758</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45758</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45758</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45758</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45758</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45758</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45758</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45758</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45758</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45758</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45758</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45758</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45758</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45758</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45758</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45758</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45758</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45758</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45758</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45758</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45758</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45758</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45758</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45758</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45758</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45758</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45758</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45758</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45758</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45758</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45758</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45758</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45758</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45758</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45758</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45758</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45758</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45758</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45758</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45758</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45758</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45758</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45758</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45758</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45758</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45758</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45758</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45758</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45758</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45758</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45758</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45758</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45758</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45758</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45758</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45758</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45758</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45758</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45758</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45758</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45758</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45758</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45758</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45758</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45758</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45758</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45758</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45758</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45758</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45758</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45758</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45758</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45758</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45758</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45758</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45758</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45758</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45758</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45758</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45758</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45758</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45758</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45758</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45758</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45758</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45758</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45758</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45758</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45758</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45758</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45758</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45758</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45758</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45758</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45758</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45758</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45758</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45758</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45758</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45758</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45758</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45758</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45758</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45758</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45758</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45758</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45758</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45758</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45758</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45758</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45758</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45758</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45758</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45758</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45758</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45758</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45758</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45758</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45758</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45758</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45758</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45758</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45758</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45758</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45758</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45758</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45758</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45758</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45758</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45758</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45758</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45758</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45758</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45758</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45758</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45758</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45758</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45758</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45758</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45758</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45758</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45758</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45758</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45758</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45758</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45758</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45758</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45758</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45758</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45758</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45758</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45758</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45758</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45758</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45758</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45758</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45758</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45758</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45758</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45758</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45758</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45758</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45758</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45758</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45758</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45758</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45758</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45758</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45758</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45758</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45758</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45758</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45758</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45758</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45758</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45758</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45758</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45758</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45758</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45758</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45758</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45758</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45758</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45758</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45758</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45758</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45758</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45758</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45758</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45758</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45758</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45758</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45758</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45758</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45758</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45758</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45758</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45758</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45758</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45758</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45758</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45758</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45758</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45758</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45758</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45758</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45758</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45758</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45758</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45758</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45758</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45758</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45758</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45758</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45758</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45758</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45758</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45758</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45758</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45758</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45758</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45758</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45758</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45758</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45758</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45758</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45758</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45758</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45758</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45758</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45758</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45758</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45758</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45758</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45758</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45758</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45758</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45758</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45758</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45758</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45758</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45758</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45758</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45758</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45758</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45758</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45758</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45758</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45758</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45758</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45758</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45758</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45758</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45758</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45758</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45758</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45758</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45758</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45758</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45758</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45758</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45758</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45758</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45758</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45758</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45758</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45758</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45758</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45758</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45758</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45758</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45758</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45758</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45758</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45758</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45758</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45758</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45758</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45758</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45758</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45758</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45758</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45758</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45758</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45758</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45758</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45758</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45758</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45758</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45758</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45758</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45758</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45758</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45758</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45758</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45758</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45758</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45758</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45758</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45758</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45758</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45758</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45758</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45758</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45758</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45758</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45758</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45758</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45758</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45758</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45758</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45758</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45758</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45758</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45758</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45758</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45758</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45758</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45758</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45758</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45758</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45758</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45758</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45758</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45758</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45758</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45758</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45758</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45758</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45758</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45758</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45758</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45758</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45758</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45758</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45758</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45758</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45758</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45758</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45758</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45758</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45758</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45758</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45758</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45758</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45758</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45758</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45758</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45758</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45758</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45758</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45758</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45758</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45758</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45758</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45758</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45758</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45758</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45758</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45758</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45758</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45758</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45758</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45758</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45758</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45758</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45758</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45758</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45758</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45758</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45758</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45758</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45758</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45758</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45758</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45758</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45758</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45758</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45758</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45758</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45758</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45758</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45758</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45758</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45758</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45758</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45758</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45758</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45758</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45758</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45758</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45758</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45758</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45758</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45758</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45758</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45758</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45758</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45758</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45758</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45758</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45758</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45758</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45758</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45758</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45758</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45758</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45758</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45758</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45758</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45758</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45758</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45758</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45758</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45758</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45758</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45758</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45758</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45758</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45758</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45758</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45758</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45758</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45758</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45758</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45758</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45758</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45758</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45758</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45758</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45758</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45758</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45758</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45758</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45758</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45758</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45758</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45758</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45758</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45758</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45758</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45758</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45758</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45758</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45758</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45758</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45758</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45758</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45758</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45758</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45758</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45758</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45758</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45758</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45758</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45758</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45758</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45758</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45758</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45758</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45758</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45758</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45758</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45758</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45758</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45758</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45758</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45758</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45758</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45758</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45758</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45758</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45758</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45758</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45758</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45758</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45758</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45758</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45758</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45758</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45758</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45758</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45758</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45758</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45758</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45758</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45758</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45758</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45758</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45758</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45758</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45758</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45758</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45758</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45758</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45758</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45758</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45758</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45758</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45758</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45758</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45758</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45758</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45758</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45758</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45758</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45758</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45758</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45758</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45758</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45758</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45758</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45758</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45758</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45758</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45758</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45758</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45758</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45758</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45758</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45758</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45758</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45758</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45758</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45758</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45758</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45758</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45758</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45758</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45758</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45758</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45758</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45758</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45758</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45758</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45758</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45758</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45758</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45758</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45758</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45758</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45758</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45758</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45758</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45758</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45758</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45758</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45758</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45758</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45758</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45758</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45758</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45758</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45758</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45758</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45758</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45758</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45758</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45758</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45758</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45758</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45758</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45758</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45758</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45758</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45758</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45758</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45758</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45758</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45758</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45758</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45758</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45758</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45758</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45758</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45758</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45758</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45758</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45758</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45758</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45758</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45758</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45758</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45758</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45758</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45758</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45758</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45758</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45758</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45758</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45758</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45758</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45758</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45758</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45758</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45758</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45758</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45758</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45758</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45758</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45758</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45758</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45758</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45758</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45758</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45758</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45758</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45758</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45758</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45758</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45758</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45758</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45758</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45758</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45758</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45758</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45758</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45758</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45758</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45758</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45758</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45758</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45758</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45758</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45758</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45758</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45758</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45758</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45758</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45758</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45758</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45758</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45758</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45758</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45758</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45758</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45758</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45758</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45758</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45758</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45758</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45758</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45758</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45758</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45758</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45758</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45758</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45758</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45758</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45758</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45758</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45758</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45758</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45758</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45758</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45758</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45758</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45758</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45758</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45758</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45758</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45758</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45758</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45758</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45758</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45758</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45758</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45758</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45758</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45758</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45758</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45758</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45758</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45758</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45758</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45758</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45758</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45758</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45758</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45758</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45758</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45758</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45758</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45758</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45758</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45758</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45758</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45758</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45758</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45758</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45758</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45758</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45758</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45758</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45758</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45758</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45758</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45758</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45758</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45758</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45758</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45758</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45758</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45758</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45758</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45758</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45758</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45758</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45758</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45758</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45758</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45758</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45758</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45758</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45758</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45758</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45758</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45758</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45758</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45758</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45758</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45758</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45758</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45758</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45758</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45758</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45758</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45758</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45758</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45758</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45758</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45758</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45758</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45758</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45758</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45758</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45758</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45758</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45758</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45758</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45758</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45758</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45758</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45758</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45758</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45758</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45758</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45758</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45758</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45758</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45758</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45758</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45758</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45758</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45758</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45758</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45758</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45758</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45758</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45758</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45758</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45758</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45758</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45758</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45758</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45758</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45758</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45758</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45758</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45758</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45758</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45758</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45758</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45758</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45758</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45758</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45758</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45758</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45758</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45758</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45758</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45758</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45758</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45758</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45758</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45758</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45758</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45758</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45758</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45758</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45758</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45758</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45758</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45758</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45758</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45758</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45758</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45758</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45758</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45758</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45758</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45758</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45758</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45758</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45758</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45758</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45758</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45758</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45758</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45758</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45758</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45758</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45758</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45758</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45758</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45758</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45758</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45758</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45758</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45758</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45758</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45758</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45758</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45758</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45758</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45758</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45758</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45758</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45758</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45758</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45758</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45758</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45758</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45758</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45758</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45758</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45758</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45758</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45758</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45758</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45758</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45758</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45758</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45758</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45758</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45758</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45758</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45758</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45758</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45758</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45758</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45758</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45758</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45758</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45758</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45758</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45758</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45758</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45758</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45758</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45758</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45758</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45758</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45758</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45758</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45758</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45758</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45758</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45758</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45758</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45758</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45758</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45758</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45758</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45758</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45758</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45758</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45758</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45758</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45758</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45758</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45758</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45758</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45758</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45758</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45758</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45758</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45758</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45758</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45758</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45758</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45758</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45758</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45758</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45758</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45758</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45758</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45758</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45758</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45758</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45758</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45758</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45758</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45758</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45758</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45758</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45758</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45758</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45758</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45758</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45758</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45758</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45758</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45758</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45758</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45758</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45758</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45758</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45758</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45758</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45758</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45758</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45758</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45758</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45758</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45758</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45758</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45758</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45758</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45758</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45758</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45758</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45758</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45758</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45758</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45758</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45758</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45758</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45758</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45758</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45758</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45758</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45758</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45758</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45758</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45758</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45758</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45758</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45758</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45758</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45758</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45758</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45758</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45758</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45758</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45758</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45758</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45758</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45758</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45758</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45758</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45758</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45758</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45758</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45758</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45758</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45758</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45758</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45758</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45758</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45758</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45758</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45758</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45758</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45758</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45758</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45758</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45758</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45758</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45758</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45758</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45758</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45758</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45758</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45758</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45758</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45758</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45758</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45758</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45758</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45758</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45758</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45758</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45758</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45758</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45758</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45758</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45758</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45758</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45758</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45758</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45758</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45758</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45758</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45758</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45758</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45758</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45758</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45758</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45758</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45758</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45758</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45758</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45758</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45758</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45758</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45758</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45758</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45758</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45758</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45758</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45758</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45758</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45758</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45758</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45758</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45758</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45758</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45758</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45758</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45758</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45758</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45758</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45758</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45758</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45758</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45758</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45758</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45758</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45758</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45758</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45758</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45758</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45758</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45758</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45758</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45758</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45758</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45758</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45758</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45758</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45758</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45758</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45758</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45758</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45758</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45758</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45758</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45758</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45758</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45758</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45758</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45758</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45758</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45758</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45758</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45758</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45758</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45758</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45758</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45758</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45758</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45758</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45758</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45758</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45758</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45758</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45758</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45758</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45758</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45758</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45758</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45758</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45758</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45758</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45758</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45758</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45758</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45758</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45758</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45758</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45758</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45758</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45758</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45758</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45758</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45758</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45758</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45758</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45758</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45758</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45758</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45758</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45758</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45758</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45758</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45758</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45758</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45758</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45758</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45758</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45758</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45758</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45758</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45758</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45758</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45758</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45758</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45758</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45758</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45758</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45758</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45758</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45758</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45758</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45758</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45758</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45758</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45758</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45758</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45758</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45758</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45758</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45758</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45758</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45758</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45758</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45758</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45758</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45758</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45758</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45758</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45758</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45758</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45758</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45758</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45758</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45758</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45758</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45758</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45758</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45758</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45758</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45758</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45758</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45758</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45758</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45758</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45758</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45758</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45758</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45758</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45758</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45758</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45758</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45758</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45758</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45758</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45758</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45758</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45758</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45758</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45758</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45758</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45758</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45758</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45758</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45758</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45758</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45758</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45758</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45758</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45758</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45758</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45758</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45758</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45758</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45758</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45758</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45758</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45758</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45758</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45758</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45758</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45758</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45758</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45758</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45758</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45758</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45758</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45758</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45758</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45758</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45758</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45758</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45758</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45758</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45758</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45758</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45758</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45758</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45758</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45758</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45758</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45758</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45758</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45758</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45758</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45758</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45758</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45758</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45758</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45758</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45758</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45758</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45758</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45758</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45758</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45758</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45758</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45758</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45758</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45758</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45758</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45758</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45758</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45758</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45758</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45758</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45758</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45758</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45758</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45758</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45758</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45758</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45758</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45758</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45758</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45758</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45758</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45758</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45758</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45758</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45758</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45758</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45758</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45758</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45758</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45758</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45758</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45758</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45758</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45758</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45758</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45758</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45758</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45758</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45758</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45758</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45758</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45758</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45758</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45758</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45758</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45758</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45758</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45758</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45758</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45758</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45758</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45758</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45758</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45758</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45758</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45758</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45758</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45758</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45758</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45758</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45758</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45758</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45758</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45758</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45758</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45758</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45758</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45758</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45758</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45758</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45758</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45758</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45758</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45758</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45758</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45758</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45758</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45758</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45758</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45758</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45758</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45758</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45758</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45758</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45758</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45758</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45758</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45758</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45758</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45758</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45758</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45758</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45758</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45758</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45758</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45758</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45758</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45758</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45758</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45758</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45758</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45758</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45758</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45758</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45758</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45758</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45758</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45758</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45758</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45758</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45758</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45758</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45758</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45758</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45758</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45758</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45758</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45758</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45758</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45758</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45758</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45758</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45758</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45758</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45758</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45758</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45758</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45758</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45758</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45758</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45758</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45758</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45758</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45758</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45758</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45758</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45758</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45758</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45758</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45758</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45758</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45758</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45758</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45758</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45758</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45758</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45758</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45758</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45758</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45758</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45758</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45758</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45758</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45758</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45758</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45758</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45758</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45758</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45758</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45758</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45758</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45758</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45758</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45758</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45758</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45758</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45758</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45758</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45758</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45758</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45758</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45758</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45758</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45758</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45758</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45758</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45758</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45758</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45758</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45758</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45758</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45758</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45758</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45758</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45758</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45758</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45758</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45758</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45758</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45758</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45758</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45758</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45758</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45758</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45758</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45758</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45758</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45758</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45758</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45758</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45758</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45758</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45758</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45758</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45758</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45758</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45758</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45758</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45758</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45758</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45758</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45758</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45758</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45758</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45758</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45758</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45758</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45758</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45758</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45758</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45758</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45758</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45758</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45758</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45758</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45758</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45758</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45758</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45758</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45758</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45758</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45758</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45758</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45758</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45758</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45758</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45758</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45758</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45758</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45758</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45758</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45758</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45758</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45758</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45758</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45758</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45758</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45758</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45758</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45758</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45758</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45758</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45758</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45758</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45758</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45758</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45758</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45758</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45758</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45758</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45758</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45758</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45758</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45758</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45758</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45758</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45758</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45758</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45758</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45758</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45758</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45758</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45758</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45758</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45758</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45758</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45758</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45758</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45758</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45758</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45758</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45758</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45758</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45758</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45758</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45758</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45758</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45758</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45758</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45758</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45758</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45758</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45758</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45758</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45758</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45758</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45758</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45758</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45758</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45758</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45758</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45758</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45758</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45758</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45758</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45758</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45758</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45758</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45758</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45758</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45758</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45758</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45758</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45758</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45758</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45758</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45758</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45758</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45758</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45758</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45758</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45758</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45758</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45758</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45758</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45758</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45758</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45758</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45758</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45758</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45758</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45758</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45758</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45758</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45758</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45758</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45758</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45758</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45758</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45758</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45758</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45758</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45758</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45758</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45758</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45758</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45758</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45758</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45758</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45758</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45758</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45758</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45758</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45758</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45758</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45758</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45758</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45758</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45758</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45758</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45758</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45758</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45758</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45758</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45758</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45758</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45758</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45758</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45758</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45758</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45758</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45758</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45758</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45758</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45758</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45758</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45758</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45758</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45758</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45758</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45758</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45758</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45758</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45758</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45758</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45758</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45758</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45758</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45758</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45758</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45758</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45758</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45758</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45758</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45758</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45758</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45758</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45758</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45758</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45758</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45758</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45758</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45758</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45758</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45758</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45758</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45758</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45758</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45758</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45758</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45758</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45758</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45758</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45758</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45758</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45758</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45758</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45758</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45758</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45758</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45758</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45758</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45758</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45758</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45758</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45758</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45758</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45758</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45758</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45758</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45758</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45758</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45758</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45758</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45758</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45758</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45758</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45758</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45758</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45758</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45758</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45758</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45758</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45758</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45758</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45758</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45758</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45758</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45758</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45758</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45758</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45758</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45758</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45758</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45758</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45758</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45758</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45758</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45758</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45758</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45758</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45758</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45758</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45758</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45758</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45758</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45758</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45758</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45758</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45758</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45758</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45758</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45758</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45758</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45758</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45758</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45758</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45758</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45758</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45758</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45758</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45758</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45758</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45758</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45758</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45758</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45758</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45758</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45758</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45758</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45758</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45758</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45758</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45758</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45758</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45758</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45758</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45758</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45758</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45758</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45758</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45758</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45758</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45758</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45758</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45758</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45758</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45758</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45758</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45758</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45758</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45758</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45758</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45758</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45758</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45758</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45758</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45758</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45758</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45758</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45758</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45758</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45758</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45758</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45758</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45758</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45758</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45758</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45758</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45758</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45758</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45758</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45758</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45758</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45758</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45758</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45758</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45758</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45758</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45758</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45758</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45758</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45758</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45758</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45758</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45758</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45758</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45758</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45758</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45758</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45758</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45758</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45758</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45758</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45758</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45758</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45758</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45758</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45758</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45758</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45758</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45758</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45758</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45758</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45758</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45758</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45758</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45758</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45758</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45758</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45758</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45758</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45758</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45758</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45758</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45758</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45758</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45758</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45758</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45758</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45758</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45758</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45758</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45758</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45758</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45758</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45758</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45758</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45758</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45758</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45758</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45758</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45758</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45758</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45758</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45758</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45758</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45758</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45758</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45758</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45758</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45758</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45758</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45758</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45758</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45758</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45758</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45758</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45758</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45758</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45758</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45758</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45758</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45758</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45758</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45758</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45758</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45758</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45758</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45758</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45758</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45758</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45758</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45758</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45758</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45758</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45758</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45758</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45758</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45758</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45758</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45758</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45758</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45758</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45758</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45758</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45758</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45758</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45758</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45758</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45758</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45758</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45758</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45758</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45758</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45758</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45758</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45758</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45758</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45758</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45758</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45758</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45758</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45758</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45758</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45758</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45758</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45758</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45758</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45758</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45758</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45758</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45758</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45758</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45758</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45758</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45758</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45758</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45758</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45758</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45758</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45758</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45758</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45758</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45758</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45758</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45758</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45758</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45758</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45758</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45758</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45758</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45758</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45758</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45758</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45758</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45758</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45758</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45758</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45758</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45758</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45758</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45758</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45758</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45758</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45758</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45758</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45758</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45758</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45758</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45758</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45758</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45758</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45758</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45758</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45758</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45758</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45758</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45758</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45758</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45758</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45758</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45758</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45758</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45758</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45758</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45758</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45758</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45758</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45758</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45758</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45758</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45758</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45758</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45758</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45758</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45758</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45758</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45758</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45758</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45758</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45758</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45758</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45758</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45758</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45758</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45758</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45758</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45758</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45758</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45758</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45758</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45758</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45758</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45758</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45758</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45758</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45758</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45758</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45758</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45758</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45758</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45758</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45758</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45758</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45758</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45758</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45758</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45758</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45758</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45758</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45758</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45758</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45758</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45758</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45758</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45758</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45758</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45758</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45758</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45758</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45758</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45758</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45758</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45758</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45758</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45758</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45758</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45758</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45758</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45758</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45758</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45758</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45758</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45758</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45758</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45758</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45758</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45758</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45758</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45758</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45758</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45758</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45758</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45758</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45758</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45758</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45758</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45758</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45758</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45758</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45758</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45758</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45758</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45758</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45758</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45758</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45758</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45758</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45758</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45758</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45758</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45758</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45758</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45758</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45758</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45758</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45758</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45758</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45758</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45758</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45758</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45758</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45758</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45758</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45758</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45758</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45758</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45758</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45758</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45758</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45758</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45758</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45758</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45758</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45758</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45758</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45758</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45758</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45758</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45758</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45758</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45758</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45758</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45758</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45758</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45758</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45758</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45758</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45758</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45758</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45758</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45758</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45758</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45758</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45758</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45758</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45758</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45758</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45758</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45758</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45758</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45758</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45758</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45758</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45758</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45758</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45758</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45758</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45758</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45758</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45758</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45758</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45758</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45758</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45758</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45758</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45758</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45758</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45758</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45758</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45758</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45758</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45758</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45758</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45758</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45758</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45758</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45758</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45758</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45758</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45758</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45758</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45758</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45758</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45758</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45758</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45758</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45758</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45758</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45758</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45758</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45758</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45758</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45758</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45758</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45758</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45758</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45758</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45758</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45758</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45758</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45758</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45758</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45758</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45758</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45758</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45758</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45758</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45758</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45758</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45758</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45758</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45758</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45758</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45758</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45758</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45758</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45758</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45758</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45758</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45758</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45758</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45758</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45758</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45758</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45758</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45758</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45758</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45758</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45758</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45758</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45758</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45758</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45758</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45758</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45758</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45758</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45758</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45758</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45758</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45758</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45758</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45758</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45758</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45758</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45758</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45758</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45758</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45758</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45758</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45758</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45758</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45758</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45758</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45758</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45758</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45758</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45758</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45758</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45758</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45758</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45758</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45758</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45758</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45758</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45758</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45758</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45758</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45758</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45758</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45758</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45758</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45758</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45758</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45758</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45758</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45758</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45758</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45758</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45758</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45758</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45758</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45758</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45758</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45758</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45758</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45758</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45758</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45758</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45758</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45758</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45758</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45758</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45758</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45758</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45758</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45758</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45758</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45758</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45758</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45758</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45758</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45758</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45758</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45758</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45758</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45758</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45758</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45758</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45758</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45758</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45758</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45758</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45758</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45758</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45758</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45758</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45758</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45758</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45758</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45758</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45758</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45758</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45758</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45758</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45758</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45758</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45758</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45758</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45758</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45758</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45758</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45758</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45758</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45758</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45758</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45758</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45758</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45758</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45758</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45758</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45758</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45758</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45758</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45758</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45758</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45758</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45758</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45758</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45758</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45758</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45758</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45758</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45758</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45758</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45758</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45758</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45758</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45758</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45758</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45758</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45758</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45758</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45758</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45758</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45758</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45758</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45758</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45758</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45758</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45758</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45758</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45758</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45758</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45758</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45758</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45758</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45758</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45758</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45758</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45758</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45758</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45758</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45758</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45758</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45758</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45758</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45758</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45758</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45758</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45758</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45758</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45758</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45758</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45758</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45758</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45758</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45758</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45758</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45758</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45758</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45758</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45758</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45758</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45758</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45758</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45758</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45758</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45758</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45758</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45758</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45758</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45758</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45758</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45758</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45758</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45758</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45758</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45758</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45758</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45758</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45758</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45758</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45758</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45758</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45758</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45758</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45758</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45758</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45758</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45758</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45758</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45758</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45758</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45758</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45758</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45758</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45758</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45758</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45758</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45758</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45758</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45758</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45758</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45758</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45758</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45758</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45758</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45758</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45758</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45758</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45758</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45758</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45758</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45758</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45758</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45758</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45758</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45758</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45758</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45758</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45758</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45758</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45758</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45758</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45758</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45758</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45758</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45758</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45758</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45758</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45758</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45758</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45758</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45758</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45758</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45758</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45758</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45758</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45758</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45758</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45758</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45758</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45758</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45758</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45758</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45758</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45758</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45758</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45758</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45758</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45758</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45758</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45758</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45758</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45758</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45758</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45758</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45758</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45758</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45758</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45758</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45758</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45758</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45758</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45758</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45758</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45758</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45758</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45758</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45758</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45758</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45758</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45758</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45758</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45758</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45758</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45758</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45758</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45758</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45758</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45758</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45758</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45758</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45758</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45758</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45758</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45758</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45758</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45758</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45758</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45758</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45758</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45758</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45758</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45758</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45758</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45758</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45758</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45758</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45758</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45758</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45758</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45758</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45758</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45758</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45758</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45758</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45758</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45758</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45758</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45758</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45758</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45758</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45758</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45758</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45758</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45758</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45758</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45758</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45758</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45758</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45758</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45758</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45758</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45758</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45758</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45758</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45758</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45758</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45758</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45758</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45758</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45758</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45758</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45758</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45758</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45758</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45758</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45758</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45758</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45758</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45758</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45758</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45758</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45758</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45758</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45758</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45758</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45758</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45758</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45758</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45758</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45758</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45758</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45758</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45758</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45758</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45758</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45758</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45758</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45758</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45758</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45758</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45758</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45758</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45758</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45758</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45758</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45758</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45758</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45758</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45758</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45758</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45758</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45758</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45758</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45758</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45758</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45758</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45758</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45758</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45758</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45758</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45758</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45758</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45758</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45758</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45758</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45758</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45758</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45758</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45758</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45758</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45758</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45758</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45758</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45758</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45758</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45758</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45758</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45758</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45758</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45758</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45758</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45758</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45758</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45758</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45758</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45758</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45758</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45758</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45758</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45758</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45758</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45758</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45758</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45758</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45758</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45758</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45758</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45758</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45758</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45758</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45758</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45758</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45758</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45758</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45758</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45758</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45758</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45758</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45758</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45758</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45758</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45758</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45758</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45758</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45758</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45758</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45758</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45758</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45758</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45758</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45758</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45758</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45758</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45758</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45758</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45758</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45758</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45758</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45758</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45758</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45758</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45758</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45758</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45758</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45758</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45758</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45758</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45758</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45758</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45758</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45758</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45758</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45758</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45758</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45758</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45758</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45758</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45758</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45758</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45758</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45758</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45758</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45758</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45758</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45758</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45758</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45758</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45758</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45758</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45758</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45758</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45758</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45758</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45758</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45758</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45758</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45758</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45758</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45758</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45758</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45758</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45758</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45758</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45758</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45758</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45758</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45758</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45758</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45758</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45758</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45758</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45758</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45758</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45758</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45758</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45758</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45758</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45758</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45758</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45758</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45758</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45758</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45758</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45758</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45758</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45758</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45758</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45758</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45758</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45758</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45758</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45758</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45758</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45758</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45758</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45758</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45758</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45758</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45758</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45758</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45758</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45758</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45758</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45758</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45758</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45758</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45758</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45758</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45758</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45758</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45758</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45758</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45758</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45758</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45758</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45758</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45758</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45758</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45758</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45758</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45758</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45758</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45758</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45758</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45758</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45758</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45758</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45758</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45758</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45758</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45758</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45758</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45758</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45758</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45758</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45758</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45758</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45758</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45758</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45758</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45758</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45758</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45758</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45758</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45758</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45758</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45758</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45758</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45758</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45758</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45758</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45758</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45758</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45758</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45758</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45758</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45758</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45758</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45758</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45758</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45758</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45758</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45758</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45758</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45758</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45758</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45758</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45758</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45758</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45758</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45758</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45758</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45758</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45758</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45758</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45758</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45758</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45758</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45758</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45758</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45758</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45758</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45758</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45758</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45758</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45758</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45758</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45758</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45758</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45758</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45758</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45758</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45758</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45758</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45758</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45758</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45758</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45758</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45758</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45758</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45758</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45758</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45758</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45758</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45758</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45758</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45758</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45758</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45758</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45758</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45758</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45758</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45758</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45758</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45758</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45758</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45758</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45758</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45758</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45758</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45758</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45758</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45758</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45758</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45758</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45758</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45758</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45758</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45758</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45758</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45758</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45758</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45758</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45758</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45758</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45758</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45758</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45758</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45758</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45758</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45758</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45758</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45758</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45758</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45758</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45758</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45758</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45758</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45758</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45758</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45758</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45758</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45758</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45758</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45758</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45758</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45758</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45758</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45758</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45758</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45758</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45758</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45758</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45758</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45758</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45758</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45758</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45758</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45758</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45758</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45758</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45758</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45758</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45758</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45758</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45758</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45758</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45758</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45758</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45758</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45758</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45758</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45758</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45758</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45758</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45758</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45758</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45758</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45758</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45758</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45758</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45758</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45758</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45758</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45758</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45758</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45758</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45758</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45758</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45758</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45758</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45758</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45758</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45758</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45758</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45758</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45758</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45758</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45758</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45758</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45758</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45758</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45758</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45758</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45758</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45758</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45758</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45758</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45758</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45758</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45758</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45758</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45758</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45758</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45758</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45758</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45758</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45758</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45758</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45758</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45758</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45758</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45758</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45758</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45758</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45758</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45758</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45758</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45758</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45758</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45758</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45758</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45758</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45758</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45758</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45758</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45758</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45758</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45758</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45758</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45758</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45758</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45758</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45758</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45758</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45758</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45758</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45758</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45758</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45758</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45758</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45758</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45758</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45758</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45758</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45758</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45758</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45758</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45758</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45758</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45758</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45758</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45758</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45758</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45758</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45758</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45758</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45758</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45758</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45758</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45758</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45758</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45758</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45758</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45758</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45758</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45758</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45758</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45758</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45758</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45758</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45758</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45758</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45758</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45758</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45758</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45758</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45758</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45758</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45758</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45758</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45758</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45758</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45758</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45758</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45758</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45758</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45758</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45758</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45758</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45758</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45758</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45758</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45758</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45758</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45758</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45758</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45758</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45758</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45758</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45758</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45758</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45758</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45758</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45758</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45758</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45758</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45758</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45758</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45758</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45758</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45758</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45758</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45758</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45758</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45758</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45758</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45758</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45758</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45758</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45758</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45758</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45758</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45758</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45758</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45758</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45758</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45758</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45758</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45758</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45758</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45758</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45758</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45758</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45758</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45758</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45758</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45758</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45758</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45758</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45758</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45758</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45758</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45758</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45758</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45758</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45758</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45758</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45758</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45758</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45758</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45758</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45758</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45758</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45758</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45758</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45758</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45758</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45758</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45758</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45758</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45758</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45758</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45758</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45758</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45758</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45758</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45758</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45758</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45758</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45758</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45758</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45758</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45758</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45758</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45758</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45758</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45758</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45758</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45758</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45758</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45758</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45758</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45758</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45758</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45758</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45758</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45758</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45758</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45758</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45758</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45758</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45758</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45758</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45758</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45758</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45758</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45758</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45758</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45758</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45758</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45758</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45758</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45758</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45758</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45758</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45758</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45758</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45758</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45758</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45758</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45758</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45758</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45758</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45758</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45758</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45758</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45758</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45758</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45758</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45758</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45758</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45758</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45758</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45758</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45758</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45758</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45758</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45758</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45758</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45758</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45758</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45758</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45758</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45758</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45758</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45758</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45758</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45758</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45758</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45758</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45758</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45758</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45758</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45758</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45758</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45758</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45758</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45758</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45758</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45758</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45758</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45758</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45758</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45758</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45758</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45758</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45758</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45758</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45758</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45758</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45758</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45758</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45758</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45758</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45758</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45758</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45758</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45758</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45758</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45758</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45758</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45758</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45758</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45758</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45758</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45758</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45758</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45758</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45758</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45758</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45758</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45758</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45758</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45758</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45758</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45758</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45758</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45758</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45758</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45758</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45758</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45758</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45758</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45758</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45758</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45758</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45758</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45758</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45758</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45758</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45758</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45758</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45758</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45758</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45758</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45758</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45758</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45758</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45758</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45758</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45758</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45758</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45758</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45758</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45758</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45758</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45758</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45758</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45758</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45758</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45758</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45758</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45758</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45758</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45758</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45758</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45758</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45758</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45758</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45758</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45758</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45758</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45758</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45758</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45758</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45758</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45758</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45758</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45758</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45758</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45758</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45758</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45758</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45758</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45758</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45758</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45758</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45758</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45758</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45758</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45758</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45758</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45758</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45758</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45758</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45758</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45758</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45758</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45758</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45758</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45758</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45758</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45758</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45758</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45758</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45758</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45758</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45758</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45758</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45758</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45758</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45758</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45758</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45758</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45758</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45758</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45758</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45758</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45758</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45758</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45758</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45758</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45758</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45758</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45758</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45758</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45758</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45758</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45758</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45758</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45758</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45758</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45758</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45758</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45758</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45758</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45758</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45758</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45758</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45758</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45758</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45758</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45758</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45758</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45758</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45758</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45758</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45758</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45758</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45758</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45758</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45758</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45758</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45758</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45758</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45758</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45758</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45758</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45758</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45758</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45758</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45758</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45758</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45758</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45758</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45758</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45758</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45758</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45758</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45758</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45758</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45758</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45758</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45758</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45758</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45758</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45758</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45758</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45758</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45758</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45758</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45758</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45758</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45758</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45758</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45758</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45758</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45758</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45758</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45758</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45758</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45758</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45758</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45758</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45758</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45758</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45758</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45758</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45758</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45758</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45758</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45758</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45758</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45758</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45758</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45758</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45758</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45758</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45758</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45758</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45758</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45758</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45758</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45758</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45758</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45758</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45758</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45758</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45758</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45758</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45758</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45758</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45758</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45758</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45758</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45758</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45758</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45758</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45758</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45758</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45758</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45758</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45758</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45758</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45758</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45758</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45758</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45758</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45758</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45758</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45758</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45758</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45758</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45758</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45758</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45758</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45758</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45758</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45758</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45758</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45758</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45758</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45758</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45758</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45758</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45758</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45758</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45758</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45758</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45758</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45758</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45758</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45758</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45758</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45758</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45758</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45758</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45758</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45758</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45758</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45758</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45758</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45758</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45758</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45758</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45758</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45758</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45758</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45758</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45758</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45758</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45758</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45758</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45758</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45758</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45758</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45758</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45758</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45758</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45758</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45758</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45758</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45758</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45758</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45758</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45758</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45758</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45758</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45758</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45758</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45758</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45758</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45758</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45758</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45758</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45758</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45758</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45758</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45758</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45758</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45758</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45758</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45758</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45758</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45758</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45758</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45758</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45758</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45758</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45758</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45758</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45758</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45758</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45758</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45758</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45758</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45758</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45758</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45758</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45758</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45758</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45758</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45758</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45758</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45758</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45758</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45758</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45758</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45758</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45758</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45758</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45758</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45758</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45758</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45758</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45758</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45758</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45758</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45758</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45758</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45758</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45758</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45758</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45758</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45758</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45758</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45758</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45758</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45758</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45758</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45758</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45758</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45758</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45758</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45758</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45758</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45758</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45758</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45758</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45758</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45758</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45758</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45758</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45758</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45758</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45758</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45758</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45758</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45758</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45758</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45758</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45758</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45758</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45758</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45758</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45758</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45758</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45758</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45758</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45758</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45758</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45758</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45758</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45758</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45758</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45758</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45758</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45758</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45758</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45758</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45758</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45758</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45758</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45758</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45758</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45758</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45758</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45758</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45758</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45758</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45758</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45758</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45758</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45758</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45758</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45758</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45758</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45758</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45758</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45758</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45758</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45758</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45758</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45758</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45758</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45758</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45758</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45758</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45758</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45758</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45758</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45758</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45758</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45758</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45758</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45758</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45758</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45758</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45758</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45758</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45758</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45758</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45758</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45758</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45758</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45758</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45758</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45758</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45758</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45758</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45758</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45758</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45758</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45758</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45758</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45758</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45758</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45758</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45758</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45758</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45758</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45758</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45758</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45758</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45758</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45758</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45758</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45758</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45758</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45758</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45758</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45758</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45758</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45758</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45758</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45758</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45758</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45758</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45758</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45758</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45758</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45758</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45758</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45758</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45758</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45758</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45758</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45758</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45758</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45758</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45758</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45758</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45758</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45758</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45758</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45758</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45758</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45758</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45758</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45758</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45758</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45758</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45758</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45758</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45758</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45758</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45758</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45758</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45758</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45758</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45758</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45758</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45758</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45758</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45758</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45758</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45758</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45758</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45758</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45758</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45758</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45758</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45758</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45758</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45758</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45758</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45758</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45758</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45758</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45758</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45758</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45758</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45758</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45758</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45758</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45758</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45758</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45758</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45758</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45758</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45758</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45758</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45758</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45758</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45758</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45758</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45758</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45758</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45758</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45758</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45758</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45758</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45758</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45758</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45758</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45758</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45758</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45758</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45758</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45758</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45758</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45758</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45758</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45758</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45758</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45758</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45758</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45758</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45758</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45758</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45758</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45758</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45758</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45758</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45758</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45758</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45758</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45758</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45758</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45758</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45758</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45758</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45758</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45758</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45758</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45758</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45758</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45758</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45758</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45758</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45758</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45758</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45758</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45758</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45758</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45758</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45758</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45758</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45758</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45758</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45758</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45758</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45758</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45758</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45758</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45758</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45758</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45758</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45758</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45758</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45758</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45758</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45758</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45758</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45758</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45758</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45758</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45758</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45758</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45758</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45758</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45758</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45758</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45758</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45758</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45758</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45758</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45758</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45758</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45758</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45758</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45758</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45758</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45758</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45758</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45758</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45758</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45758</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45758</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45758</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45758</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45758</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45758</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45758</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45758</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45758</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45758</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45758</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45758</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45758</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45758</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45758</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45758</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45758</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45758</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45758</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45758</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45758</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45758</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45758</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45758</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45758</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45758</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45758</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45758</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45758</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45758</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45758</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45758</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45758</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45758</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45758</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45758</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45758</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45758</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45758</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45758</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45758</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45758</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45758</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45758</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45758</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45758</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45758</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45758</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45758</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45758</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45758</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45758</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45758</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45758</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45758</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45758</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45758</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45758</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45758</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45758</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45758</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45758</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45758</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45758</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45758</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45758</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45758</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45758</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45758</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45758</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45758</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45758</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45758</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45758</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45758</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45758</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45758</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45758</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45758</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45758</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45758</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45758</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45758</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45758</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45758</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45758</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45758</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45758</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45758</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45758</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45758</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45758</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45758</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45758</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45758</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45758</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45758</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45758</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45758</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45758</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45758</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45758</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45758</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45758</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45758</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45758</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45758</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45758</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45758</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45758</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45758</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45758</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45758</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45758</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45758</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45758</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45758</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45758</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45758</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45758</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45758</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45758</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45758</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45758</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45758</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45758</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45758</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45758</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45758</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45758</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45758</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45758</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45758</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45758</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45758</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45758</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45758</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45758</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45758</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45758</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45758</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45758</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45758</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45758</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45758</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45758</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45758</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45758</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45758</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45758</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45758</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45758</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45758</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45758</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45758</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45758</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45758</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45758</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45758</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45758</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45758</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45758</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45758</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45758</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45758</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45758</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45758</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45758</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45758</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45758</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45758</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45758</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45758</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45758</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45758</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45758</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45758</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45758</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45758</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45758</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45758</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45758</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45758</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45758</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45758</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45758</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45758</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45758</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45758</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45758</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45758</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45758</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45758</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45758</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45758</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45758</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45758</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45758</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45758</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45758</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45758</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45758</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45758</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45758</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45758</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45758</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45758</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45758</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45758</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45758</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45758</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45758</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45758</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45758</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45758</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45758</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45758</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45758</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45758</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45758</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45758</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45758</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45758</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45758</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45758</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45758</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45758</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45758</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45758</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45758</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45758</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45758</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45758</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45758</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45758</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45758</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45758</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45758</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45758</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45758</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45758</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45758</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45758</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45758</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45758</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45758</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45758</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45758</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45758</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45758</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45758</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45758</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45758</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45758</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45758</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45758</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45758</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45758</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45758</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45758</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45758</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45758</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45758</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45758</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45758</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45758</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45758</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45758</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45758</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45758</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45758</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45758</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45758</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45758</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45758</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45758</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45758</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45758</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45758</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45758</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45758</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45758</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45758</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45758</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45758</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45758</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45758</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45758</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45758</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45758</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45758</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45758</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45758</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45758</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45758</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45758</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45758</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45758</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45758</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45758</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45758</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45758</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45758</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45758</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45758</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45758</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45758</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45758</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45758</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45758</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45758</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45758</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45758</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45758</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45758</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45758</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45758</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45758</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45758</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45758</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45758</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45758</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45758</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45758</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45758</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45758</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45758</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45758</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45758</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45758</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45758</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45758</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45758</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45758</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45758</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45758</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45758</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45758</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45758</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45758</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45758</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45758</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45758</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45758</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45758</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45758</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45758</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45758</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45758</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45758</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45758</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45758</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45758</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45758</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45758</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45758</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45758</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45758</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45758</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45758</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45758</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45758</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45758</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45758</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45758</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45758</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45758</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45758</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45758</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45758</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45758</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45758</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45758</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45758</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45758</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45758</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45758</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45758</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45758</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45758</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45758</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45758</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45758</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45758</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45758</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45758</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45758</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45758</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45758</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45758</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45758</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45758</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45758</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45758</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45758</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45758</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45758</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45758</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45758</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45758</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45758</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45758</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45758</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45758</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45758</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45758</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45758</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45758</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45758</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45758</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45758</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45758</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45758</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45758</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45758</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45758</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45758</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45758</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45758</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45758</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45758</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45758</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45758</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45758</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45758</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45758</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45758</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45758</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45758</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45758</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45758</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45758</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45758</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45758</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45758</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45758</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45758</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45758</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45758</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45758</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45758</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45758</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45758</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45758</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45758</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45758</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45758</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45758</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45758</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45758</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45758</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45758</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45758</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45758</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45758</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45758</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45758</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45758</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45758</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45758</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45758</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45758</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45758</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45758</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45758</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45758</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45758</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45758</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45758</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45758</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45758</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45758</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45758</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45758</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45758</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45758</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45758</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45758</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45758</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45758</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45758</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45758</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45758</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45758</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45758</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45758</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45758</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45758</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45758</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45758</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45758</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45758</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45758</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45758</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45758</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45758</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45758</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45758</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45758</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45758</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45758</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45758</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45758</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45758</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45758</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45758</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45758</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45758</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45758</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45758</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45758</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45758</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45758</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45758</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45758</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45758</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45758</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45758</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45758</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45758</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45758</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45758</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45758</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45758</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45758</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45758</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45758</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45758</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45758</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45758</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45758</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45758</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45758</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45758</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45758</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45758</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45758</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45758</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45758</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45758</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45758</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45758</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45758</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45758</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45758</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45758</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45758</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45758</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45758</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45758</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45758</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45758</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45758</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45758</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45758</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45758</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45758</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45758</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45758</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45758</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45758</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45758</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45758</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45758</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45758</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45758</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45758</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45758</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45758</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45758</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45758</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45758</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45758</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45758</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45758</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45758</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45758</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45758</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45758</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45758</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45758</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45758</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45758</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45758</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45758</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45758</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45758</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45758</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45758</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45758</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45758</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45758</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45758</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45758</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45758</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45758</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45758</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45758</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45758</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45758</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45758</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45758</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45758</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45758</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45758</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45758</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45758</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45758</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45758</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45758</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45758</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45758</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45758</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45758</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45758</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45758</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45758</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45758</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45758</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45758</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45758</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45758</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45758</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45758</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45758</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45758</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45758</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45758</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45758</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45758</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45758</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45758</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45758</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45758</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45758</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45758</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45758</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45758</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45758</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45758</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45758</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45758</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45758</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45758</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45758</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45758</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45758</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45758</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45758</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45758</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45758</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45758</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45758</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45758</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45758</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45758</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45758</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45758</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45758</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45758</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45758</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45758</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45758</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45758</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45758</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45758</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45758</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45758</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45758</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45758</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45758</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45758</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45758</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45758</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45758</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45758</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45758</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45758</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45758</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45758</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45758</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45758</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45758</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45758</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45758</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45758</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45758</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45758</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45758</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45758</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45758</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45758</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45758</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45758</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45758</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45758</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45758</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45758</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45758</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45758</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45758</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45758</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45758</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45758</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45758</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45758</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45758</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45758</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45758</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45758</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45758</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45758</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45758</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45758</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45758</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45758</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45758</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45758</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45758</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45758</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45758</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45758</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45758</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45758</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45758</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45758</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45758</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45758</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45758</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45758</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45758</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45758</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45758</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45758</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45758</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45758</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45758</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45758</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45758</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45758</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45758</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45758</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45758</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45758</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45758</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45758</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45758</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45758</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45758</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45758</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45758</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45758</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45758</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45758</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45758</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45758</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45758</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45758</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45758</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45758</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45758</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45758</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45758</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45758</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45758</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45758</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45758</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45758</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45758</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45758</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45758</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45758</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45758</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45758</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45758</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45758</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45758</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45758</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45758</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45758</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45758</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45758</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45758</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45758</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45758</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45758</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45758</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45758</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45758</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45758</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45758</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45758</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45758</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45758</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45758</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45758</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45758</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45758</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45758</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45758</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45758</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45758</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45758</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45758</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45758</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45758</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45758</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45758</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45758</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45758</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45758</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45758</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45758</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45758</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45758</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45758</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45758</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45758</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45758</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45758</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45758</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45758</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45758</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45758</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45758</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45758</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45758</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45758</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45758</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45758</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45758</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45758</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45758</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45758</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45758</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45758</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45758</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45758</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45758</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45758</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45758</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45758</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45758</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45758</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45758</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45758</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45758</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45758</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45758</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45758</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45758</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45758</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45758</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45758</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45758</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45758</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45758</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45758</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45758</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45758</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45758</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45758</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45758</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45758</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45758</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45758</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45758</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45758</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45758</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45758</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45758</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45758</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45758</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45758</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45758</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45758</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45758</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45758</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45758</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45758</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45758</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45758</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45758</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45758</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45758</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45758</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45758</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45758</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45758</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45758</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45758</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45758</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45758</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45758</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45758</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45758</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45758</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45758</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45758</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45758</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45758</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45758</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45758</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45758</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45758</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45758</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45758</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45758</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45758</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45758</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45758</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45758</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45758</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45758</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45758</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45758</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45758</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45758</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45758</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45758</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45758</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45758</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45758</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45758</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45758</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45758</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45758</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45758</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45758</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45758</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45758</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45758</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45758</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45758</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45758</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45758</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45758</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45758</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45758</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45758</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45758</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45758</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45758</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45758</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45758</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45758</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45758</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45758</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45758</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45758</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45758</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45758</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45758</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45758</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45758</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45758</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45758</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45758</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45758</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45758</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45758</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45758</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45758</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45758</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45758</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45758</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45758</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45758</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45758</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45758</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45758</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45758</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45758</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45758</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45758</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45758</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45758</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45758</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45758</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45758</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45758</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45758</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45758</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45758</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45758</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45758</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45758</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45758</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45758</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45758</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45758</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45758</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45758</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45758</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45758</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45758</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45758</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45758</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45758</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45758</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45758</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45758</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45758</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45758</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45758</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45758</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45758</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45758</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45758</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45758</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45758</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45758</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45758</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45758</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45758</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45758</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45758</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45758</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45758</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45758</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45758</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45758</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45758</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45758</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45758</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45758</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45758</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45758</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45758</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45758</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45758</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45758</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45758</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45758</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45758</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45758</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45758</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45758</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45758</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45758</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45758</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45758</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45758</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45758</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45758</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45758</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45758</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45758</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45758</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45758</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45758</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45758</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45758</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45758</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45758</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45758</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45758</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45758</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45758</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45758</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45758</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45758</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45758</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45758</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45758</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45758</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45758</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45758</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45758</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45758</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45758</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45758</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45758</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45758</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45758</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45758</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45758</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45758</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45758</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45758</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45758</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45758</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45758</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45758</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45758</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45758</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45758</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45758</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45758</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45758</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45758</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45758</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45758</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45758</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45758</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45758</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45758</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45758</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45758</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45758</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45758</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45758</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45758</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45758</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45758</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45758</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45758</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45758</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45758</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45758</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45758</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45758</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45758</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45758</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45758</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45758</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45758</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45758</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45758</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45758</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45758</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45758</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45758</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45758</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45758</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45758</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45758</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45758</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45758</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45758</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45758</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45758</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45758</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45758</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45758</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45758</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45758</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45758</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45758</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45758</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45758</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45758</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45758</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45758</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45758</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45758</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45758</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45758</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45758</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45758</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45758</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45758</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45758</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45758</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45758</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45758</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45758</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45758</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45758</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45758</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45758</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45758</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45758</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45758</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45758</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45758</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45758</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45758</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45758</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45758</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45758</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45758</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45758</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45758</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45758</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45758</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45758</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45758</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45758</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45758</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45758</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45758</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45758</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45758</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45758</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45758</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45758</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45758</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45758</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45758</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45758</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45758</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45758</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45758</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45758</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45758</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45758</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45758</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45758</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45758</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45758</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45758</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45758</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45758</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45758</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45758</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45758</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45758</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45758</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45758</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45758</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45758</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45758</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45758</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45758</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45758</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45758</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45758</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45758</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45758</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45758</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45758</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45758</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45758</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45758</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45758</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45758</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45758</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45758</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45758</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45758</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45758</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45758</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45758</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45758</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45758</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45758</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45758</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45758</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45758</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45758</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45758</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45758</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45758</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45758</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45758</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45758</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45758</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45758</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45758</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45758</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45758</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45758</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45758</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45758</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45758</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45758</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45758</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45758</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45758</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45758</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45758</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45758</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45758</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45758</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45758</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45758</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45758</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45758</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45758</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45758</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45758</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45758</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45758</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45758</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45758</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45758</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45758</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45758</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45758</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45758</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45758</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45758</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45758</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45758</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45758</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45758</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45758</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45758</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45758</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45758</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45758</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45758</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45758</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45758</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45758</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45758</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45758</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45758</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45758</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45758</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45758</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45758</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45758</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45758</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45758</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45758</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45758</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45758</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45758</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45758</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45758</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45758</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45758</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45758</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45758</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45758</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45758</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45758</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45758</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45758</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45758</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45758</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45758</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45758</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45758</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45758</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45758</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45758</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45758</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45758</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45758</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45758</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45758</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45758</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45758</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45758</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45758</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45758</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45758</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45758</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45758</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45758</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45758</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45758</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45758</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45758</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45758</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45758</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45758</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45758</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45758</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45758</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45758</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45758</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45758</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45758</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45758</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45758</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45758</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45758</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45758</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45758</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45758</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45758</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45758</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45758</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45758</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45758</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45758</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45758</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45758</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45758</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45758</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45758</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45758</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45758</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45758</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45758</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45758</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45758</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45758</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45758</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45758</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45758</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45758</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45758</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45758</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45758</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45758</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45758</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45758</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45758</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45758</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45758</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45758</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45758</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45758</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45758</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45758</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45758</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45758</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45758</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45758</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45758</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45758</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45758</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45758</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45758</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45758</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45758</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45758</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45758</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45758</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45758</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45758</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45758</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45758</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45758</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45758</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45758</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45758</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45758</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45758</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45758</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45758</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45758</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45758</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45758</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45758</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45758</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45758</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45758</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45758</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45758</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45758</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45758</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45758</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45758</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45758</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45758</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45758</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45758</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45758</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45758</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45758</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45758</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45758</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45758</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45758</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45758</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45758</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45758</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45758</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45758</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45758</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45758</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45758</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45758</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45758</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45758</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45758</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45758</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45758</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45758</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45758</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45758</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45758</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45758</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45758</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45758</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45758</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45758</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45758</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45758</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45758</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45758</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45758</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45758</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45758</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45758</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45758</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45758</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45758</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45758</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45758</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45758</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45758</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45758</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45758</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45758</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45758</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45758</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45758</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45758</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45758</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45758</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45758</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45758</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45758</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45758</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45758</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45758</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45758</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45758</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45758</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45758</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45758</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45758</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45758</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45758</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45758</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45758</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45758</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45758</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45758</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45758</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45758</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45758</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45758</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45758</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45758</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45758</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45758</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45758</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45758</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45758</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45758</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45758</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45758</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45758</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45758</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45758</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45758</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45758</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45758</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45758</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45758</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45758</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45758</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45758</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45758</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45758</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45758</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45758</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45758</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45758</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45758</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45758</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45758</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45758</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45758</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45758</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45758</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45758</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45758</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45758</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45758</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45758</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45758</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45758</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45758</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45758</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45758</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45758</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45758</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45758</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45758</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45758</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45758</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45758</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45758</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45758</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45758</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45758</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45758</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45758</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45758</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45758</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45758</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45758</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45758</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45758</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45758</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45758</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45758</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45758</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45758</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45758</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45758</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45758</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45758</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45758</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45758</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45758</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45758</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45758</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45758</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45758</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45758</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45758</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45758</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45758</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45758</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45758</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45758</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45758</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45758</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45758</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45758</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45758</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45758</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45758</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45758</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45758</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45758</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45758</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45758</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45758</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45758</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45758</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45758</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45758</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45758</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45758</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45758</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45758</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45758</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45758</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45758</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45758</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45758</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45758</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45758</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45758</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45758</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45758</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45758</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45758</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45758</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45758</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45758</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45758</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45758</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45758</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45758</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45758</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45758</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45758</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45758</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45758</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45758</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45758</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45758</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45758</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45758</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45758</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45758</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45758</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45758</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45758</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45758</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45758</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45758</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45758</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45758</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45758</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45758</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45758</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45758</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45758</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45758</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45758</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45758</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45758</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45758</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45758</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45758</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45758</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45758</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45758</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45758</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45758</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45758</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45758</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45758</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45758</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45758</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45758</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45758</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45758</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45758</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45758</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45758</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45758</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45758</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45758</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45758</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45758</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45758</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45758</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45758</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45758</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45758</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45758</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45758</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45758</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45758</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45758</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45758</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45758</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45758</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45758</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45758</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45758</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45758</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45758</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45758</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45758</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45758</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45758</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45758</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45758</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45758</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45758</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45758</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45758</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45758</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45758</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45758</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45758</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45758</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45758</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45758</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45758</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45758</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45758</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45758</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45758</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45758</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45758</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45758</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45758</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45758</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45758</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45758</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45758</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45758</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45758</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45758</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45758</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45758</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45758</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45758</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45758</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45758</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45758</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45758</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45758</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45758</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45758</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45758</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45758</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45758</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45758</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45758</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45758</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45758</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45758</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45758</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45758</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45758</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45758</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45758</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45758</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45758</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45758</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45758</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45758</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45758</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45758</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45758</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45758</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45758</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45758</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45758</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45758</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45758</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45758</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45758</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45758</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45758</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45758</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45758</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45758</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45758</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45758</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45758</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45758</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45758</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45758</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45758</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45758</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45758</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45758</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45758</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45758</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45758</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45758</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45758</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45758</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45758</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45758</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45758</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45758</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45758</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45758</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45758</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45758</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45758</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45758</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45758</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45758</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45758</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45758</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45758</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45758</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45758</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45758</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45758</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45758</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45758</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45758</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45758</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45758</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45758</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45758</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45758</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45758</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45758</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45758</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45758</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45758</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45758</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45758</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45758</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45758</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45758</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45758</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45758</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45758</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45758</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45758</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45758</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45758</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45758</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45758</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45758</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45758</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45758</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45758</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45758</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45758</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45758</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45758</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45758</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45758</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45758</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45758</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45758</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45758</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45758</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45758</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45758</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45758</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45758</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45758</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45758</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45758</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45758</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45758</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45758</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45758</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45758</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45758</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45758</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45758</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45758</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45758</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45758</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45758</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45758</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45758</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45758</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45758</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45758</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45758</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45758</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45758</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45758</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45758</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45758</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45758</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45758</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45758</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45758</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45758</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45758</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45758</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45758</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45758</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45758</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45758</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45758</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45758</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45758</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45758</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45758</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45758</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45758</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45758</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45758</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45758</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45758</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45758</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45758</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45758</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45758</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45758</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45758</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45758</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45758</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45758</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45758</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45758</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45758</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45758</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45758</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45758</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45758</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45758</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45758</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45758</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45758</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45758</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45758</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45758</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45758</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45758</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45758</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45758</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45758</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45758</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45758</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45758</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45758</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45758</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45758</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45758</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45758</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45758</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45758</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45758</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45758</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45758</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45758</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45758</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45758</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45758</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45758</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45758</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45758</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45758</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45758</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45758</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45758</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45758</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45758</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45758</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45758</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45758</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45758</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45758</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45758</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45758</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45758</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45758</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45758</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45758</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45758</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45758</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45758</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45758</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45758</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45758</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45758</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45758</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45758</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45758</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45758</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45758</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45758</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45758</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45758</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45758</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45758</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45758</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45758</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45758</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45758</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45758</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45758</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45758</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45758</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45758</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45758</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45758</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45758</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45758</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45758</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45758</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45758</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45758</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45758</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45758</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45758</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45758</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45758</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45758</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45758</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45758</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45758</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45758</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45758</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45758</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45758</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45758</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45758</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45758</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45758</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45758</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45758</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45758</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45758</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45758</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45758</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45758</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45758</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45758</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45758</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45758</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45758</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45758</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45758</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45758</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45758</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45758</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45758</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45758</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45758</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45758</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45758</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45758</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45758</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45758</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45758</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45758</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45758</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45758</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45758</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45758</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45758</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45758</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45758</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45758</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45758</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45758</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45758</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45758</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45758</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45758</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45758</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45758</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45758</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45758</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11469-2025</t>
        </is>
      </c>
      <c r="B10942" s="1" t="n">
        <v>45726</v>
      </c>
      <c r="C10942" s="1" t="n">
        <v>45758</v>
      </c>
      <c r="D10942" t="inlineStr">
        <is>
          <t>NORRBOTTENS LÄN</t>
        </is>
      </c>
      <c r="E10942" t="inlineStr">
        <is>
          <t>PITEÅ</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11623-2025</t>
        </is>
      </c>
      <c r="B10943" s="1" t="n">
        <v>45726</v>
      </c>
      <c r="C10943" s="1" t="n">
        <v>45758</v>
      </c>
      <c r="D10943" t="inlineStr">
        <is>
          <t>NORRBOTTENS LÄN</t>
        </is>
      </c>
      <c r="E10943" t="inlineStr">
        <is>
          <t>ARVIDSJAUR</t>
        </is>
      </c>
      <c r="F10943" t="inlineStr">
        <is>
          <t>Allmännings- och besparingsskogar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11492-2025</t>
        </is>
      </c>
      <c r="B10944" s="1" t="n">
        <v>45726</v>
      </c>
      <c r="C10944" s="1" t="n">
        <v>45758</v>
      </c>
      <c r="D10944" t="inlineStr">
        <is>
          <t>NORRBOTTENS LÄN</t>
        </is>
      </c>
      <c r="E10944" t="inlineStr">
        <is>
          <t>ARVIDSJAUR</t>
        </is>
      </c>
      <c r="F10944" t="inlineStr">
        <is>
          <t>Allmännings- och besparingsskogar</t>
        </is>
      </c>
      <c r="G10944" t="n">
        <v>14.2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11511-2025</t>
        </is>
      </c>
      <c r="B10945" s="1" t="n">
        <v>45726</v>
      </c>
      <c r="C10945" s="1" t="n">
        <v>45758</v>
      </c>
      <c r="D10945" t="inlineStr">
        <is>
          <t>NORRBOTTENS LÄN</t>
        </is>
      </c>
      <c r="E10945" t="inlineStr">
        <is>
          <t>PITEÅ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11538-2025</t>
        </is>
      </c>
      <c r="B10946" s="1" t="n">
        <v>45726</v>
      </c>
      <c r="C10946" s="1" t="n">
        <v>45758</v>
      </c>
      <c r="D10946" t="inlineStr">
        <is>
          <t>NORRBOTTENS LÄN</t>
        </is>
      </c>
      <c r="E10946" t="inlineStr">
        <is>
          <t>ARVIDSJAUR</t>
        </is>
      </c>
      <c r="F10946" t="inlineStr">
        <is>
          <t>Allmännings- och besparingsskogar</t>
        </is>
      </c>
      <c r="G10946" t="n">
        <v>15.3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11540-2025</t>
        </is>
      </c>
      <c r="B10947" s="1" t="n">
        <v>45726</v>
      </c>
      <c r="C10947" s="1" t="n">
        <v>45758</v>
      </c>
      <c r="D10947" t="inlineStr">
        <is>
          <t>NORRBOTTENS LÄN</t>
        </is>
      </c>
      <c r="E10947" t="inlineStr">
        <is>
          <t>ARVIDSJAUR</t>
        </is>
      </c>
      <c r="F10947" t="inlineStr">
        <is>
          <t>Allmännings- och besparingsskogar</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11582-2025</t>
        </is>
      </c>
      <c r="B10948" s="1" t="n">
        <v>45726</v>
      </c>
      <c r="C10948" s="1" t="n">
        <v>45758</v>
      </c>
      <c r="D10948" t="inlineStr">
        <is>
          <t>NORRBOTTENS LÄN</t>
        </is>
      </c>
      <c r="E10948" t="inlineStr">
        <is>
          <t>ARVIDSJAUR</t>
        </is>
      </c>
      <c r="F10948" t="inlineStr">
        <is>
          <t>Allmännings- och besparingsskogar</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11542-2025</t>
        </is>
      </c>
      <c r="B10949" s="1" t="n">
        <v>45726</v>
      </c>
      <c r="C10949" s="1" t="n">
        <v>45758</v>
      </c>
      <c r="D10949" t="inlineStr">
        <is>
          <t>NORRBOTTENS LÄN</t>
        </is>
      </c>
      <c r="E10949" t="inlineStr">
        <is>
          <t>ARVIDSJAUR</t>
        </is>
      </c>
      <c r="F10949" t="inlineStr">
        <is>
          <t>Allmännings- och besparingsskogar</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11620-2025</t>
        </is>
      </c>
      <c r="B10950" s="1" t="n">
        <v>45726</v>
      </c>
      <c r="C10950" s="1" t="n">
        <v>45758</v>
      </c>
      <c r="D10950" t="inlineStr">
        <is>
          <t>NORRBOTTENS LÄN</t>
        </is>
      </c>
      <c r="E10950" t="inlineStr">
        <is>
          <t>ARVIDSJAUR</t>
        </is>
      </c>
      <c r="F10950" t="inlineStr">
        <is>
          <t>Allmännings- och besparingsskogar</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11571-2025</t>
        </is>
      </c>
      <c r="B10951" s="1" t="n">
        <v>45726</v>
      </c>
      <c r="C10951" s="1" t="n">
        <v>45758</v>
      </c>
      <c r="D10951" t="inlineStr">
        <is>
          <t>NORRBOTTENS LÄN</t>
        </is>
      </c>
      <c r="E10951" t="inlineStr">
        <is>
          <t>ARVIDSJAUR</t>
        </is>
      </c>
      <c r="F10951" t="inlineStr">
        <is>
          <t>Allmännings- och besparingsskogar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11615-2025</t>
        </is>
      </c>
      <c r="B10952" s="1" t="n">
        <v>45726</v>
      </c>
      <c r="C10952" s="1" t="n">
        <v>45758</v>
      </c>
      <c r="D10952" t="inlineStr">
        <is>
          <t>NORRBOTTENS LÄN</t>
        </is>
      </c>
      <c r="E10952" t="inlineStr">
        <is>
          <t>ARVIDSJAUR</t>
        </is>
      </c>
      <c r="F10952" t="inlineStr">
        <is>
          <t>Allmännings- och besparingsskogar</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11413-2025</t>
        </is>
      </c>
      <c r="B10953" s="1" t="n">
        <v>45726</v>
      </c>
      <c r="C10953" s="1" t="n">
        <v>45758</v>
      </c>
      <c r="D10953" t="inlineStr">
        <is>
          <t>NORRBOTTENS LÄN</t>
        </is>
      </c>
      <c r="E10953" t="inlineStr">
        <is>
          <t>PITEÅ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11494-2025</t>
        </is>
      </c>
      <c r="B10954" s="1" t="n">
        <v>45726</v>
      </c>
      <c r="C10954" s="1" t="n">
        <v>45758</v>
      </c>
      <c r="D10954" t="inlineStr">
        <is>
          <t>NORRBOTTENS LÄN</t>
        </is>
      </c>
      <c r="E10954" t="inlineStr">
        <is>
          <t>ARVIDSJAUR</t>
        </is>
      </c>
      <c r="F10954" t="inlineStr">
        <is>
          <t>Allmännings- och besparingsskogar</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45758</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45758</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45758</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45758</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45758</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45758</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45758</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11845-2025</t>
        </is>
      </c>
      <c r="B10962" s="1" t="n">
        <v>45727</v>
      </c>
      <c r="C10962" s="1" t="n">
        <v>45758</v>
      </c>
      <c r="D10962" t="inlineStr">
        <is>
          <t>NORRBOTTENS LÄN</t>
        </is>
      </c>
      <c r="E10962" t="inlineStr">
        <is>
          <t>LULEÅ</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11901-2025</t>
        </is>
      </c>
      <c r="B10963" s="1" t="n">
        <v>45727</v>
      </c>
      <c r="C10963" s="1" t="n">
        <v>45758</v>
      </c>
      <c r="D10963" t="inlineStr">
        <is>
          <t>NORRBOTTENS LÄN</t>
        </is>
      </c>
      <c r="E10963" t="inlineStr">
        <is>
          <t>LULEÅ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45758</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11782-2025</t>
        </is>
      </c>
      <c r="B10965" s="1" t="n">
        <v>45727</v>
      </c>
      <c r="C10965" s="1" t="n">
        <v>45758</v>
      </c>
      <c r="D10965" t="inlineStr">
        <is>
          <t>NORRBOTTENS LÄN</t>
        </is>
      </c>
      <c r="E10965" t="inlineStr">
        <is>
          <t>GÄLLIVARE</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45758</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45758</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45758</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45758</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45758</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45758</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45758</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45758</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45758</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45758</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45758</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45758</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45758</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45758</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45758</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45758</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45758</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45758</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45758</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45758</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12342-2025</t>
        </is>
      </c>
      <c r="B10986" s="1" t="n">
        <v>45730</v>
      </c>
      <c r="C10986" s="1" t="n">
        <v>45758</v>
      </c>
      <c r="D10986" t="inlineStr">
        <is>
          <t>NORRBOTTENS LÄN</t>
        </is>
      </c>
      <c r="E10986" t="inlineStr">
        <is>
          <t>KALIX</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12398-2025</t>
        </is>
      </c>
      <c r="B10987" s="1" t="n">
        <v>45730</v>
      </c>
      <c r="C10987" s="1" t="n">
        <v>45758</v>
      </c>
      <c r="D10987" t="inlineStr">
        <is>
          <t>NORRBOTTENS LÄN</t>
        </is>
      </c>
      <c r="E10987" t="inlineStr">
        <is>
          <t>KALIX</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12346-2025</t>
        </is>
      </c>
      <c r="B10988" s="1" t="n">
        <v>45730</v>
      </c>
      <c r="C10988" s="1" t="n">
        <v>45758</v>
      </c>
      <c r="D10988" t="inlineStr">
        <is>
          <t>NORRBOTTENS LÄN</t>
        </is>
      </c>
      <c r="E10988" t="inlineStr">
        <is>
          <t>KALIX</t>
        </is>
      </c>
      <c r="F10988" t="inlineStr">
        <is>
          <t>SCA</t>
        </is>
      </c>
      <c r="G10988" t="n">
        <v>28.4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12465-2025</t>
        </is>
      </c>
      <c r="B10989" s="1" t="n">
        <v>45730</v>
      </c>
      <c r="C10989" s="1" t="n">
        <v>45758</v>
      </c>
      <c r="D10989" t="inlineStr">
        <is>
          <t>NORRBOTTENS LÄN</t>
        </is>
      </c>
      <c r="E10989" t="inlineStr">
        <is>
          <t>KALIX</t>
        </is>
      </c>
      <c r="F10989" t="inlineStr">
        <is>
          <t>SCA</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12463-2025</t>
        </is>
      </c>
      <c r="B10990" s="1" t="n">
        <v>45730</v>
      </c>
      <c r="C10990" s="1" t="n">
        <v>45758</v>
      </c>
      <c r="D10990" t="inlineStr">
        <is>
          <t>NORRBOTTENS LÄN</t>
        </is>
      </c>
      <c r="E10990" t="inlineStr">
        <is>
          <t>KALIX</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12345-2025</t>
        </is>
      </c>
      <c r="B10991" s="1" t="n">
        <v>45730</v>
      </c>
      <c r="C10991" s="1" t="n">
        <v>45758</v>
      </c>
      <c r="D10991" t="inlineStr">
        <is>
          <t>NORRBOTTENS LÄN</t>
        </is>
      </c>
      <c r="E10991" t="inlineStr">
        <is>
          <t>KALIX</t>
        </is>
      </c>
      <c r="F10991" t="inlineStr">
        <is>
          <t>SCA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12462-2025</t>
        </is>
      </c>
      <c r="B10992" s="1" t="n">
        <v>45730</v>
      </c>
      <c r="C10992" s="1" t="n">
        <v>45758</v>
      </c>
      <c r="D10992" t="inlineStr">
        <is>
          <t>NORRBOTTENS LÄN</t>
        </is>
      </c>
      <c r="E10992" t="inlineStr">
        <is>
          <t>KALIX</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12498-2025</t>
        </is>
      </c>
      <c r="B10993" s="1" t="n">
        <v>45730</v>
      </c>
      <c r="C10993" s="1" t="n">
        <v>45758</v>
      </c>
      <c r="D10993" t="inlineStr">
        <is>
          <t>NORRBOTTENS LÄN</t>
        </is>
      </c>
      <c r="E10993" t="inlineStr">
        <is>
          <t>BODEN</t>
        </is>
      </c>
      <c r="G10993" t="n">
        <v>33.3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12343-2025</t>
        </is>
      </c>
      <c r="B10994" s="1" t="n">
        <v>45730</v>
      </c>
      <c r="C10994" s="1" t="n">
        <v>45758</v>
      </c>
      <c r="D10994" t="inlineStr">
        <is>
          <t>NORRBOTTENS LÄN</t>
        </is>
      </c>
      <c r="E10994" t="inlineStr">
        <is>
          <t>KALIX</t>
        </is>
      </c>
      <c r="F10994" t="inlineStr">
        <is>
          <t>SCA</t>
        </is>
      </c>
      <c r="G10994" t="n">
        <v>17.7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12347-2025</t>
        </is>
      </c>
      <c r="B10995" s="1" t="n">
        <v>45730</v>
      </c>
      <c r="C10995" s="1" t="n">
        <v>45758</v>
      </c>
      <c r="D10995" t="inlineStr">
        <is>
          <t>NORRBOTTENS LÄN</t>
        </is>
      </c>
      <c r="E10995" t="inlineStr">
        <is>
          <t>KALIX</t>
        </is>
      </c>
      <c r="F10995" t="inlineStr">
        <is>
          <t>SCA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12447-2025</t>
        </is>
      </c>
      <c r="B10996" s="1" t="n">
        <v>45730</v>
      </c>
      <c r="C10996" s="1" t="n">
        <v>45758</v>
      </c>
      <c r="D10996" t="inlineStr">
        <is>
          <t>NORRBOTTENS LÄN</t>
        </is>
      </c>
      <c r="E10996" t="inlineStr">
        <is>
          <t>ARJEPLOG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45758</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45758</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12403-2025</t>
        </is>
      </c>
      <c r="B10999" s="1" t="n">
        <v>45730</v>
      </c>
      <c r="C10999" s="1" t="n">
        <v>45758</v>
      </c>
      <c r="D10999" t="inlineStr">
        <is>
          <t>NORRBOTTENS LÄN</t>
        </is>
      </c>
      <c r="E10999" t="inlineStr">
        <is>
          <t>ARJEPLOG</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45758</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45758</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12613-2025</t>
        </is>
      </c>
      <c r="B11002" s="1" t="n">
        <v>45733</v>
      </c>
      <c r="C11002" s="1" t="n">
        <v>45758</v>
      </c>
      <c r="D11002" t="inlineStr">
        <is>
          <t>NORRBOTTENS LÄN</t>
        </is>
      </c>
      <c r="E11002" t="inlineStr">
        <is>
          <t>ÄLVSBYN</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12653-2025</t>
        </is>
      </c>
      <c r="B11003" s="1" t="n">
        <v>45733</v>
      </c>
      <c r="C11003" s="1" t="n">
        <v>45758</v>
      </c>
      <c r="D11003" t="inlineStr">
        <is>
          <t>NORRBOTTENS LÄN</t>
        </is>
      </c>
      <c r="E11003" t="inlineStr">
        <is>
          <t>ÖVERTORNEÅ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12849-2025</t>
        </is>
      </c>
      <c r="B11004" s="1" t="n">
        <v>45733</v>
      </c>
      <c r="C11004" s="1" t="n">
        <v>45758</v>
      </c>
      <c r="D11004" t="inlineStr">
        <is>
          <t>NORRBOTTENS LÄN</t>
        </is>
      </c>
      <c r="E11004" t="inlineStr">
        <is>
          <t>PITEÅ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45758</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45758</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13387-2025</t>
        </is>
      </c>
      <c r="B11007" s="1" t="n">
        <v>45735</v>
      </c>
      <c r="C11007" s="1" t="n">
        <v>45758</v>
      </c>
      <c r="D11007" t="inlineStr">
        <is>
          <t>NORRBOTTENS LÄN</t>
        </is>
      </c>
      <c r="E11007" t="inlineStr">
        <is>
          <t>PITEÅ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13329-2025</t>
        </is>
      </c>
      <c r="B11008" s="1" t="n">
        <v>45735</v>
      </c>
      <c r="C11008" s="1" t="n">
        <v>45758</v>
      </c>
      <c r="D11008" t="inlineStr">
        <is>
          <t>NORRBOTTENS LÄN</t>
        </is>
      </c>
      <c r="E11008" t="inlineStr">
        <is>
          <t>ÄLVSBYN</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13368-2025</t>
        </is>
      </c>
      <c r="B11009" s="1" t="n">
        <v>45735</v>
      </c>
      <c r="C11009" s="1" t="n">
        <v>45758</v>
      </c>
      <c r="D11009" t="inlineStr">
        <is>
          <t>NORRBOTTENS LÄN</t>
        </is>
      </c>
      <c r="E11009" t="inlineStr">
        <is>
          <t>ÄLVSBYN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13231-2025</t>
        </is>
      </c>
      <c r="B11010" s="1" t="n">
        <v>45735</v>
      </c>
      <c r="C11010" s="1" t="n">
        <v>45758</v>
      </c>
      <c r="D11010" t="inlineStr">
        <is>
          <t>NORRBOTTENS LÄN</t>
        </is>
      </c>
      <c r="E11010" t="inlineStr">
        <is>
          <t>KALIX</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13474-2025</t>
        </is>
      </c>
      <c r="B11011" s="1" t="n">
        <v>45736</v>
      </c>
      <c r="C11011" s="1" t="n">
        <v>45758</v>
      </c>
      <c r="D11011" t="inlineStr">
        <is>
          <t>NORRBOTTENS LÄN</t>
        </is>
      </c>
      <c r="E11011" t="inlineStr">
        <is>
          <t>PITEÅ</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13464-2025</t>
        </is>
      </c>
      <c r="B11012" s="1" t="n">
        <v>45736</v>
      </c>
      <c r="C11012" s="1" t="n">
        <v>45758</v>
      </c>
      <c r="D11012" t="inlineStr">
        <is>
          <t>NORRBOTTENS LÄN</t>
        </is>
      </c>
      <c r="E11012" t="inlineStr">
        <is>
          <t>PAJALA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13466-2025</t>
        </is>
      </c>
      <c r="B11013" s="1" t="n">
        <v>45736</v>
      </c>
      <c r="C11013" s="1" t="n">
        <v>45758</v>
      </c>
      <c r="D11013" t="inlineStr">
        <is>
          <t>NORRBOTTENS LÄN</t>
        </is>
      </c>
      <c r="E11013" t="inlineStr">
        <is>
          <t>PAJALA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13480-2025</t>
        </is>
      </c>
      <c r="B11014" s="1" t="n">
        <v>45736</v>
      </c>
      <c r="C11014" s="1" t="n">
        <v>45758</v>
      </c>
      <c r="D11014" t="inlineStr">
        <is>
          <t>NORRBOTTENS LÄN</t>
        </is>
      </c>
      <c r="E11014" t="inlineStr">
        <is>
          <t>PAJALA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13624-2025</t>
        </is>
      </c>
      <c r="B11015" s="1" t="n">
        <v>45736</v>
      </c>
      <c r="C11015" s="1" t="n">
        <v>45758</v>
      </c>
      <c r="D11015" t="inlineStr">
        <is>
          <t>NORRBOTTENS LÄN</t>
        </is>
      </c>
      <c r="E11015" t="inlineStr">
        <is>
          <t>PITEÅ</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45758</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45758</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45758</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13863-2025</t>
        </is>
      </c>
      <c r="B11019" s="1" t="n">
        <v>45737</v>
      </c>
      <c r="C11019" s="1" t="n">
        <v>45758</v>
      </c>
      <c r="D11019" t="inlineStr">
        <is>
          <t>NORRBOTTENS LÄN</t>
        </is>
      </c>
      <c r="E11019" t="inlineStr">
        <is>
          <t>JOKKMOKK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13817-2025</t>
        </is>
      </c>
      <c r="B11020" s="1" t="n">
        <v>45737</v>
      </c>
      <c r="C11020" s="1" t="n">
        <v>45758</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13818-2025</t>
        </is>
      </c>
      <c r="B11021" s="1" t="n">
        <v>45737</v>
      </c>
      <c r="C11021" s="1" t="n">
        <v>45758</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45758</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45758</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45758</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45758</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45758</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45758</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14187-2025</t>
        </is>
      </c>
      <c r="B11028" s="1" t="n">
        <v>45740</v>
      </c>
      <c r="C11028" s="1" t="n">
        <v>45758</v>
      </c>
      <c r="D11028" t="inlineStr">
        <is>
          <t>NORRBOTTENS LÄN</t>
        </is>
      </c>
      <c r="E11028" t="inlineStr">
        <is>
          <t>LULEÅ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45758</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45758</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45758</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14558-2025</t>
        </is>
      </c>
      <c r="B11032" s="1" t="n">
        <v>45741</v>
      </c>
      <c r="C11032" s="1" t="n">
        <v>45758</v>
      </c>
      <c r="D11032" t="inlineStr">
        <is>
          <t>NORRBOTTENS LÄN</t>
        </is>
      </c>
      <c r="E11032" t="inlineStr">
        <is>
          <t>PITEÅ</t>
        </is>
      </c>
      <c r="G11032" t="n">
        <v>11.4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14560-2025</t>
        </is>
      </c>
      <c r="B11033" s="1" t="n">
        <v>45741</v>
      </c>
      <c r="C11033" s="1" t="n">
        <v>45758</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14556-2025</t>
        </is>
      </c>
      <c r="B11034" s="1" t="n">
        <v>45741</v>
      </c>
      <c r="C11034" s="1" t="n">
        <v>45758</v>
      </c>
      <c r="D11034" t="inlineStr">
        <is>
          <t>NORRBOTTENS LÄN</t>
        </is>
      </c>
      <c r="E11034" t="inlineStr">
        <is>
          <t>PITEÅ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14449-2025</t>
        </is>
      </c>
      <c r="B11035" s="1" t="n">
        <v>45741</v>
      </c>
      <c r="C11035" s="1" t="n">
        <v>45758</v>
      </c>
      <c r="D11035" t="inlineStr">
        <is>
          <t>NORRBOTTENS LÄN</t>
        </is>
      </c>
      <c r="E11035" t="inlineStr">
        <is>
          <t>ÄLVSBYN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14345-2025</t>
        </is>
      </c>
      <c r="B11036" s="1" t="n">
        <v>45741</v>
      </c>
      <c r="C11036" s="1" t="n">
        <v>45758</v>
      </c>
      <c r="D11036" t="inlineStr">
        <is>
          <t>NORRBOTTENS LÄN</t>
        </is>
      </c>
      <c r="E11036" t="inlineStr">
        <is>
          <t>ARVIDSJAUR</t>
        </is>
      </c>
      <c r="F11036" t="inlineStr">
        <is>
          <t>SCA</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14559-2025</t>
        </is>
      </c>
      <c r="B11037" s="1" t="n">
        <v>45741</v>
      </c>
      <c r="C11037" s="1" t="n">
        <v>45758</v>
      </c>
      <c r="D11037" t="inlineStr">
        <is>
          <t>NORRBOTTENS LÄN</t>
        </is>
      </c>
      <c r="E11037" t="inlineStr">
        <is>
          <t>PITEÅ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14778-2025</t>
        </is>
      </c>
      <c r="B11038" s="1" t="n">
        <v>45742</v>
      </c>
      <c r="C11038" s="1" t="n">
        <v>45758</v>
      </c>
      <c r="D11038" t="inlineStr">
        <is>
          <t>NORRBOTTENS LÄN</t>
        </is>
      </c>
      <c r="E11038" t="inlineStr">
        <is>
          <t>PITEÅ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14664-2025</t>
        </is>
      </c>
      <c r="B11039" s="1" t="n">
        <v>45742</v>
      </c>
      <c r="C11039" s="1" t="n">
        <v>45758</v>
      </c>
      <c r="D11039" t="inlineStr">
        <is>
          <t>NORRBOTTENS LÄN</t>
        </is>
      </c>
      <c r="E11039" t="inlineStr">
        <is>
          <t>GÄLLIVARE</t>
        </is>
      </c>
      <c r="G11039" t="n">
        <v>20.8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45758</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45758</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45758</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45758</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45758</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14975-2025</t>
        </is>
      </c>
      <c r="B11045" s="1" t="n">
        <v>45743</v>
      </c>
      <c r="C11045" s="1" t="n">
        <v>45758</v>
      </c>
      <c r="D11045" t="inlineStr">
        <is>
          <t>NORRBOTTENS LÄN</t>
        </is>
      </c>
      <c r="E11045" t="inlineStr">
        <is>
          <t>GÄLLIVARE</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15043-2025</t>
        </is>
      </c>
      <c r="B11046" s="1" t="n">
        <v>45743</v>
      </c>
      <c r="C11046" s="1" t="n">
        <v>45758</v>
      </c>
      <c r="D11046" t="inlineStr">
        <is>
          <t>NORRBOTTENS LÄN</t>
        </is>
      </c>
      <c r="E11046" t="inlineStr">
        <is>
          <t>ÖVERTORNEÅ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14974-2025</t>
        </is>
      </c>
      <c r="B11047" s="1" t="n">
        <v>45743</v>
      </c>
      <c r="C11047" s="1" t="n">
        <v>45758</v>
      </c>
      <c r="D11047" t="inlineStr">
        <is>
          <t>NORRBOTTENS LÄN</t>
        </is>
      </c>
      <c r="E11047" t="inlineStr">
        <is>
          <t>GÄLLIVARE</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45758</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45758</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15180-2025</t>
        </is>
      </c>
      <c r="B11050" s="1" t="n">
        <v>45744</v>
      </c>
      <c r="C11050" s="1" t="n">
        <v>45758</v>
      </c>
      <c r="D11050" t="inlineStr">
        <is>
          <t>NORRBOTTENS LÄN</t>
        </is>
      </c>
      <c r="E11050" t="inlineStr">
        <is>
          <t>ÄLVSBYN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45758</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45758</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45758</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45758</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45758</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15486-2025</t>
        </is>
      </c>
      <c r="B11056" s="1" t="n">
        <v>45747</v>
      </c>
      <c r="C11056" s="1" t="n">
        <v>45758</v>
      </c>
      <c r="D11056" t="inlineStr">
        <is>
          <t>NORRBOTTENS LÄN</t>
        </is>
      </c>
      <c r="E11056" t="inlineStr">
        <is>
          <t>BODEN</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15493-2025</t>
        </is>
      </c>
      <c r="B11057" s="1" t="n">
        <v>45747</v>
      </c>
      <c r="C11057" s="1" t="n">
        <v>45758</v>
      </c>
      <c r="D11057" t="inlineStr">
        <is>
          <t>NORRBOTTENS LÄN</t>
        </is>
      </c>
      <c r="E11057" t="inlineStr">
        <is>
          <t>ÖVERKALIX</t>
        </is>
      </c>
      <c r="G11057" t="n">
        <v>7.8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15494-2025</t>
        </is>
      </c>
      <c r="B11058" s="1" t="n">
        <v>45747</v>
      </c>
      <c r="C11058" s="1" t="n">
        <v>45758</v>
      </c>
      <c r="D11058" t="inlineStr">
        <is>
          <t>NORRBOTTENS LÄN</t>
        </is>
      </c>
      <c r="E11058" t="inlineStr">
        <is>
          <t>KALIX</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15469-2025</t>
        </is>
      </c>
      <c r="B11059" s="1" t="n">
        <v>45747</v>
      </c>
      <c r="C11059" s="1" t="n">
        <v>45758</v>
      </c>
      <c r="D11059" t="inlineStr">
        <is>
          <t>NORRBOTTENS LÄN</t>
        </is>
      </c>
      <c r="E11059" t="inlineStr">
        <is>
          <t>PITEÅ</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15530-2025</t>
        </is>
      </c>
      <c r="B11060" s="1" t="n">
        <v>45747</v>
      </c>
      <c r="C11060" s="1" t="n">
        <v>45758</v>
      </c>
      <c r="D11060" t="inlineStr">
        <is>
          <t>NORRBOTTENS LÄN</t>
        </is>
      </c>
      <c r="E11060" t="inlineStr">
        <is>
          <t>PITEÅ</t>
        </is>
      </c>
      <c r="G11060" t="n">
        <v>5.5</v>
      </c>
      <c r="H11060" t="n">
        <v>0</v>
      </c>
      <c r="I11060" t="n">
        <v>0</v>
      </c>
      <c r="J11060" t="n">
        <v>0</v>
      </c>
      <c r="K11060" t="n">
        <v>0</v>
      </c>
      <c r="L11060" t="n">
        <v>0</v>
      </c>
      <c r="M11060" t="n">
        <v>0</v>
      </c>
      <c r="N11060" t="n">
        <v>0</v>
      </c>
      <c r="O11060" t="n">
        <v>0</v>
      </c>
      <c r="P11060" t="n">
        <v>0</v>
      </c>
      <c r="Q11060" t="n">
        <v>0</v>
      </c>
      <c r="R11060" s="2" t="inlineStr"/>
      <c r="U11060">
        <f>HYPERLINK("https://klasma.github.io/Logging_252581/knärot/A 15530-2025 karta knärot.png", "A 15530-2025")</f>
        <v/>
      </c>
      <c r="V11060">
        <f>HYPERLINK("https://klasma.github.io/Logging_252581/klagomål/A 15530-2025 FSC-klagomål.docx", "A 15530-2025")</f>
        <v/>
      </c>
      <c r="W11060">
        <f>HYPERLINK("https://klasma.github.io/Logging_252581/klagomålsmail/A 15530-2025 FSC-klagomål mail.docx", "A 15530-2025")</f>
        <v/>
      </c>
      <c r="X11060">
        <f>HYPERLINK("https://klasma.github.io/Logging_252581/tillsyn/A 15530-2025 tillsynsbegäran.docx", "A 15530-2025")</f>
        <v/>
      </c>
      <c r="Y11060">
        <f>HYPERLINK("https://klasma.github.io/Logging_252581/tillsynsmail/A 15530-2025 tillsynsbegäran mail.docx", "A 15530-2025")</f>
        <v/>
      </c>
    </row>
    <row r="11061" ht="15" customHeight="1">
      <c r="A11061" t="inlineStr">
        <is>
          <t>A 15532-2025</t>
        </is>
      </c>
      <c r="B11061" s="1" t="n">
        <v>45747</v>
      </c>
      <c r="C11061" s="1" t="n">
        <v>45758</v>
      </c>
      <c r="D11061" t="inlineStr">
        <is>
          <t>NORRBOTTENS LÄN</t>
        </is>
      </c>
      <c r="E11061" t="inlineStr">
        <is>
          <t>PITEÅ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15365-2025</t>
        </is>
      </c>
      <c r="B11062" s="1" t="n">
        <v>45747</v>
      </c>
      <c r="C11062" s="1" t="n">
        <v>45758</v>
      </c>
      <c r="D11062" t="inlineStr">
        <is>
          <t>NORRBOTTENS LÄN</t>
        </is>
      </c>
      <c r="E11062" t="inlineStr">
        <is>
          <t>ÖVERKALIX</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15529-2025</t>
        </is>
      </c>
      <c r="B11063" s="1" t="n">
        <v>45747</v>
      </c>
      <c r="C11063" s="1" t="n">
        <v>45758</v>
      </c>
      <c r="D11063" t="inlineStr">
        <is>
          <t>NORRBOTTENS LÄN</t>
        </is>
      </c>
      <c r="E11063" t="inlineStr">
        <is>
          <t>PITEÅ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15491-2025</t>
        </is>
      </c>
      <c r="B11064" s="1" t="n">
        <v>45747</v>
      </c>
      <c r="C11064" s="1" t="n">
        <v>45758</v>
      </c>
      <c r="D11064" t="inlineStr">
        <is>
          <t>NORRBOTTENS LÄN</t>
        </is>
      </c>
      <c r="E11064" t="inlineStr">
        <is>
          <t>ÖVERKALIX</t>
        </is>
      </c>
      <c r="G11064" t="n">
        <v>10.4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15389-2025</t>
        </is>
      </c>
      <c r="B11065" s="1" t="n">
        <v>45747</v>
      </c>
      <c r="C11065" s="1" t="n">
        <v>45758</v>
      </c>
      <c r="D11065" t="inlineStr">
        <is>
          <t>NORRBOTTENS LÄN</t>
        </is>
      </c>
      <c r="E11065" t="inlineStr">
        <is>
          <t>ÄLVSBYN</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15818-2025</t>
        </is>
      </c>
      <c r="B11066" s="1" t="n">
        <v>45748</v>
      </c>
      <c r="C11066" s="1" t="n">
        <v>45758</v>
      </c>
      <c r="D11066" t="inlineStr">
        <is>
          <t>NORRBOTTENS LÄN</t>
        </is>
      </c>
      <c r="E11066" t="inlineStr">
        <is>
          <t>KALIX</t>
        </is>
      </c>
      <c r="F11066" t="inlineStr">
        <is>
          <t>SCA</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15760-2025</t>
        </is>
      </c>
      <c r="B11067" s="1" t="n">
        <v>45748</v>
      </c>
      <c r="C11067" s="1" t="n">
        <v>45758</v>
      </c>
      <c r="D11067" t="inlineStr">
        <is>
          <t>NORRBOTTENS LÄN</t>
        </is>
      </c>
      <c r="E11067" t="inlineStr">
        <is>
          <t>PITEÅ</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15628-2025</t>
        </is>
      </c>
      <c r="B11068" s="1" t="n">
        <v>45748</v>
      </c>
      <c r="C11068" s="1" t="n">
        <v>45758</v>
      </c>
      <c r="D11068" t="inlineStr">
        <is>
          <t>NORRBOTTENS LÄN</t>
        </is>
      </c>
      <c r="E11068" t="inlineStr">
        <is>
          <t>ÄLVSBYN</t>
        </is>
      </c>
      <c r="G11068" t="n">
        <v>13.5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15815-2025</t>
        </is>
      </c>
      <c r="B11069" s="1" t="n">
        <v>45748</v>
      </c>
      <c r="C11069" s="1" t="n">
        <v>45758</v>
      </c>
      <c r="D11069" t="inlineStr">
        <is>
          <t>NORRBOTTENS LÄN</t>
        </is>
      </c>
      <c r="E11069" t="inlineStr">
        <is>
          <t>PITEÅ</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15742-2025</t>
        </is>
      </c>
      <c r="B11070" s="1" t="n">
        <v>45748</v>
      </c>
      <c r="C11070" s="1" t="n">
        <v>45758</v>
      </c>
      <c r="D11070" t="inlineStr">
        <is>
          <t>NORRBOTTENS LÄN</t>
        </is>
      </c>
      <c r="E11070" t="inlineStr">
        <is>
          <t>PITEÅ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15747-2025</t>
        </is>
      </c>
      <c r="B11071" s="1" t="n">
        <v>45748</v>
      </c>
      <c r="C11071" s="1" t="n">
        <v>45758</v>
      </c>
      <c r="D11071" t="inlineStr">
        <is>
          <t>NORRBOTTENS LÄN</t>
        </is>
      </c>
      <c r="E11071" t="inlineStr">
        <is>
          <t>PITEÅ</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15796-2025</t>
        </is>
      </c>
      <c r="B11072" s="1" t="n">
        <v>45748</v>
      </c>
      <c r="C11072" s="1" t="n">
        <v>45758</v>
      </c>
      <c r="D11072" t="inlineStr">
        <is>
          <t>NORRBOTTENS LÄN</t>
        </is>
      </c>
      <c r="E11072" t="inlineStr">
        <is>
          <t>KALIX</t>
        </is>
      </c>
      <c r="F11072" t="inlineStr">
        <is>
          <t>SCA</t>
        </is>
      </c>
      <c r="G11072" t="n">
        <v>14.1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15618-2025</t>
        </is>
      </c>
      <c r="B11073" s="1" t="n">
        <v>45748</v>
      </c>
      <c r="C11073" s="1" t="n">
        <v>45758</v>
      </c>
      <c r="D11073" t="inlineStr">
        <is>
          <t>NORRBOTTENS LÄN</t>
        </is>
      </c>
      <c r="E11073" t="inlineStr">
        <is>
          <t>PAJALA</t>
        </is>
      </c>
      <c r="F11073" t="inlineStr">
        <is>
          <t>Sveaskog</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15819-2025</t>
        </is>
      </c>
      <c r="B11074" s="1" t="n">
        <v>45748</v>
      </c>
      <c r="C11074" s="1" t="n">
        <v>45758</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45758</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45758</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45758</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45758</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15867-2025</t>
        </is>
      </c>
      <c r="B11079" s="1" t="n">
        <v>45749</v>
      </c>
      <c r="C11079" s="1" t="n">
        <v>45758</v>
      </c>
      <c r="D11079" t="inlineStr">
        <is>
          <t>NORRBOTTENS LÄN</t>
        </is>
      </c>
      <c r="E11079" t="inlineStr">
        <is>
          <t>KALIX</t>
        </is>
      </c>
      <c r="F11079" t="inlineStr">
        <is>
          <t>SCA</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15906-2025</t>
        </is>
      </c>
      <c r="B11080" s="1" t="n">
        <v>45749</v>
      </c>
      <c r="C11080" s="1" t="n">
        <v>45758</v>
      </c>
      <c r="D11080" t="inlineStr">
        <is>
          <t>NORRBOTTENS LÄN</t>
        </is>
      </c>
      <c r="E11080" t="inlineStr">
        <is>
          <t>PITEÅ</t>
        </is>
      </c>
      <c r="G11080" t="n">
        <v>11.1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16059-2025</t>
        </is>
      </c>
      <c r="B11081" s="1" t="n">
        <v>45749</v>
      </c>
      <c r="C11081" s="1" t="n">
        <v>45758</v>
      </c>
      <c r="D11081" t="inlineStr">
        <is>
          <t>NORRBOTTENS LÄN</t>
        </is>
      </c>
      <c r="E11081" t="inlineStr">
        <is>
          <t>LULEÅ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16052-2025</t>
        </is>
      </c>
      <c r="B11082" s="1" t="n">
        <v>45749</v>
      </c>
      <c r="C11082" s="1" t="n">
        <v>45758</v>
      </c>
      <c r="D11082" t="inlineStr">
        <is>
          <t>NORRBOTTENS LÄN</t>
        </is>
      </c>
      <c r="E11082" t="inlineStr">
        <is>
          <t>LULEÅ</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16189-2025</t>
        </is>
      </c>
      <c r="B11083" s="1" t="n">
        <v>45749</v>
      </c>
      <c r="C11083" s="1" t="n">
        <v>45758</v>
      </c>
      <c r="D11083" t="inlineStr">
        <is>
          <t>NORRBOTTENS LÄN</t>
        </is>
      </c>
      <c r="E11083" t="inlineStr">
        <is>
          <t>BODEN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16180-2025</t>
        </is>
      </c>
      <c r="B11084" s="1" t="n">
        <v>45750</v>
      </c>
      <c r="C11084" s="1" t="n">
        <v>45758</v>
      </c>
      <c r="D11084" t="inlineStr">
        <is>
          <t>NORRBOTTENS LÄN</t>
        </is>
      </c>
      <c r="E11084" t="inlineStr">
        <is>
          <t>BODEN</t>
        </is>
      </c>
      <c r="F11084" t="inlineStr">
        <is>
          <t>Övriga Aktiebolag</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16356-2025</t>
        </is>
      </c>
      <c r="B11085" s="1" t="n">
        <v>45750</v>
      </c>
      <c r="C11085" s="1" t="n">
        <v>45758</v>
      </c>
      <c r="D11085" t="inlineStr">
        <is>
          <t>NORRBOTTENS LÄN</t>
        </is>
      </c>
      <c r="E11085" t="inlineStr">
        <is>
          <t>ÖVERTORNEÅ</t>
        </is>
      </c>
      <c r="G11085" t="n">
        <v>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16170-2025</t>
        </is>
      </c>
      <c r="B11086" s="1" t="n">
        <v>45750</v>
      </c>
      <c r="C11086" s="1" t="n">
        <v>45758</v>
      </c>
      <c r="D11086" t="inlineStr">
        <is>
          <t>NORRBOTTENS LÄN</t>
        </is>
      </c>
      <c r="E11086" t="inlineStr">
        <is>
          <t>PITEÅ</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16631-2025</t>
        </is>
      </c>
      <c r="B11087" s="1" t="n">
        <v>45751</v>
      </c>
      <c r="C11087" s="1" t="n">
        <v>45758</v>
      </c>
      <c r="D11087" t="inlineStr">
        <is>
          <t>NORRBOTTENS LÄN</t>
        </is>
      </c>
      <c r="E11087" t="inlineStr">
        <is>
          <t>HAPARANDA</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16537-2025</t>
        </is>
      </c>
      <c r="B11088" s="1" t="n">
        <v>45751</v>
      </c>
      <c r="C11088" s="1" t="n">
        <v>45758</v>
      </c>
      <c r="D11088" t="inlineStr">
        <is>
          <t>NORRBOTTENS LÄN</t>
        </is>
      </c>
      <c r="E11088" t="inlineStr">
        <is>
          <t>ÖVERTORNEÅ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16439-2025</t>
        </is>
      </c>
      <c r="B11089" s="1" t="n">
        <v>45751</v>
      </c>
      <c r="C11089" s="1" t="n">
        <v>45758</v>
      </c>
      <c r="D11089" t="inlineStr">
        <is>
          <t>NORRBOTTENS LÄN</t>
        </is>
      </c>
      <c r="E11089" t="inlineStr">
        <is>
          <t>HAPARANDA</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16857-2025</t>
        </is>
      </c>
      <c r="B11090" s="1" t="n">
        <v>45751</v>
      </c>
      <c r="C11090" s="1" t="n">
        <v>45758</v>
      </c>
      <c r="D11090" t="inlineStr">
        <is>
          <t>NORRBOTTENS LÄN</t>
        </is>
      </c>
      <c r="E11090" t="inlineStr">
        <is>
          <t>GÄLLIVARE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16296-2025</t>
        </is>
      </c>
      <c r="B11091" s="1" t="n">
        <v>45751</v>
      </c>
      <c r="C11091" s="1" t="n">
        <v>45758</v>
      </c>
      <c r="D11091" t="inlineStr">
        <is>
          <t>NORRBOTTENS LÄN</t>
        </is>
      </c>
      <c r="E11091" t="inlineStr">
        <is>
          <t>LULEÅ</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16473-2025</t>
        </is>
      </c>
      <c r="B11092" s="1" t="n">
        <v>45751</v>
      </c>
      <c r="C11092" s="1" t="n">
        <v>45758</v>
      </c>
      <c r="D11092" t="inlineStr">
        <is>
          <t>NORRBOTTENS LÄN</t>
        </is>
      </c>
      <c r="E11092" t="inlineStr">
        <is>
          <t>ÄLVSBYN</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16324-2025</t>
        </is>
      </c>
      <c r="B11093" s="1" t="n">
        <v>45751</v>
      </c>
      <c r="C11093" s="1" t="n">
        <v>45758</v>
      </c>
      <c r="D11093" t="inlineStr">
        <is>
          <t>NORRBOTTENS LÄN</t>
        </is>
      </c>
      <c r="E11093" t="inlineStr">
        <is>
          <t>PITEÅ</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16581-2025</t>
        </is>
      </c>
      <c r="B11094" s="1" t="n">
        <v>45752</v>
      </c>
      <c r="C11094" s="1" t="n">
        <v>45758</v>
      </c>
      <c r="D11094" t="inlineStr">
        <is>
          <t>NORRBOTTENS LÄN</t>
        </is>
      </c>
      <c r="E11094" t="inlineStr">
        <is>
          <t>BODEN</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16702-2025</t>
        </is>
      </c>
      <c r="B11095" s="1" t="n">
        <v>45754</v>
      </c>
      <c r="C11095" s="1" t="n">
        <v>45758</v>
      </c>
      <c r="D11095" t="inlineStr">
        <is>
          <t>NORRBOTTENS LÄN</t>
        </is>
      </c>
      <c r="E11095" t="inlineStr">
        <is>
          <t>PITEÅ</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16732-2025</t>
        </is>
      </c>
      <c r="B11096" s="1" t="n">
        <v>45754</v>
      </c>
      <c r="C11096" s="1" t="n">
        <v>45758</v>
      </c>
      <c r="D11096" t="inlineStr">
        <is>
          <t>NORRBOTTENS LÄN</t>
        </is>
      </c>
      <c r="E11096" t="inlineStr">
        <is>
          <t>KALIX</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17087-2025</t>
        </is>
      </c>
      <c r="B11097" s="1" t="n">
        <v>45755</v>
      </c>
      <c r="C11097" s="1" t="n">
        <v>45758</v>
      </c>
      <c r="D11097" t="inlineStr">
        <is>
          <t>NORRBOTTENS LÄN</t>
        </is>
      </c>
      <c r="E11097" t="inlineStr">
        <is>
          <t>ÖVERKALIX</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16999-2025</t>
        </is>
      </c>
      <c r="B11098" s="1" t="n">
        <v>45755</v>
      </c>
      <c r="C11098" s="1" t="n">
        <v>45758</v>
      </c>
      <c r="D11098" t="inlineStr">
        <is>
          <t>NORRBOTTENS LÄN</t>
        </is>
      </c>
      <c r="E11098" t="inlineStr">
        <is>
          <t>ÖVERTORNEÅ</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16906-2025</t>
        </is>
      </c>
      <c r="B11099" s="1" t="n">
        <v>45755</v>
      </c>
      <c r="C11099" s="1" t="n">
        <v>45758</v>
      </c>
      <c r="D11099" t="inlineStr">
        <is>
          <t>NORRBOTTENS LÄN</t>
        </is>
      </c>
      <c r="E11099" t="inlineStr">
        <is>
          <t>PITEÅ</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16897-2025</t>
        </is>
      </c>
      <c r="B11100" s="1" t="n">
        <v>45755</v>
      </c>
      <c r="C11100" s="1" t="n">
        <v>45758</v>
      </c>
      <c r="D11100" t="inlineStr">
        <is>
          <t>NORRBOTTENS LÄN</t>
        </is>
      </c>
      <c r="E11100" t="inlineStr">
        <is>
          <t>KALIX</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17105-2025</t>
        </is>
      </c>
      <c r="B11101" s="1" t="n">
        <v>45755</v>
      </c>
      <c r="C11101" s="1" t="n">
        <v>45758</v>
      </c>
      <c r="D11101" t="inlineStr">
        <is>
          <t>NORRBOTTENS LÄN</t>
        </is>
      </c>
      <c r="E11101" t="inlineStr">
        <is>
          <t>PAJALA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16972-2025</t>
        </is>
      </c>
      <c r="B11102" s="1" t="n">
        <v>45755</v>
      </c>
      <c r="C11102" s="1" t="n">
        <v>45758</v>
      </c>
      <c r="D11102" t="inlineStr">
        <is>
          <t>NORRBOTTENS LÄN</t>
        </is>
      </c>
      <c r="E11102" t="inlineStr">
        <is>
          <t>JOKKMOKK</t>
        </is>
      </c>
      <c r="F11102" t="inlineStr">
        <is>
          <t>SCA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17290-2025</t>
        </is>
      </c>
      <c r="B11103" s="1" t="n">
        <v>45756</v>
      </c>
      <c r="C11103" s="1" t="n">
        <v>45758</v>
      </c>
      <c r="D11103" t="inlineStr">
        <is>
          <t>NORRBOTTENS LÄN</t>
        </is>
      </c>
      <c r="E11103" t="inlineStr">
        <is>
          <t>LULEÅ</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17306-2025</t>
        </is>
      </c>
      <c r="B11104" s="1" t="n">
        <v>45756</v>
      </c>
      <c r="C11104" s="1" t="n">
        <v>45758</v>
      </c>
      <c r="D11104" t="inlineStr">
        <is>
          <t>NORRBOTTENS LÄN</t>
        </is>
      </c>
      <c r="E11104" t="inlineStr">
        <is>
          <t>LULEÅ</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17304-2025</t>
        </is>
      </c>
      <c r="B11105" s="1" t="n">
        <v>45756</v>
      </c>
      <c r="C11105" s="1" t="n">
        <v>45758</v>
      </c>
      <c r="D11105" t="inlineStr">
        <is>
          <t>NORRBOTTENS LÄN</t>
        </is>
      </c>
      <c r="E11105" t="inlineStr">
        <is>
          <t>LULEÅ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17161-2025</t>
        </is>
      </c>
      <c r="B11106" s="1" t="n">
        <v>45756</v>
      </c>
      <c r="C11106" s="1" t="n">
        <v>45758</v>
      </c>
      <c r="D11106" t="inlineStr">
        <is>
          <t>NORRBOTTENS LÄN</t>
        </is>
      </c>
      <c r="E11106" t="inlineStr">
        <is>
          <t>ÖVERKALIX</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17183-2025</t>
        </is>
      </c>
      <c r="B11107" s="1" t="n">
        <v>45756</v>
      </c>
      <c r="C11107" s="1" t="n">
        <v>45758</v>
      </c>
      <c r="D11107" t="inlineStr">
        <is>
          <t>NORRBOTTENS LÄN</t>
        </is>
      </c>
      <c r="E11107" t="inlineStr">
        <is>
          <t>JOKKMOKK</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17566-2025</t>
        </is>
      </c>
      <c r="B11108" s="1" t="n">
        <v>45757</v>
      </c>
      <c r="C11108" s="1" t="n">
        <v>45758</v>
      </c>
      <c r="D11108" t="inlineStr">
        <is>
          <t>NORRBOTTENS LÄN</t>
        </is>
      </c>
      <c r="E11108" t="inlineStr">
        <is>
          <t>BODEN</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17468-2025</t>
        </is>
      </c>
      <c r="B11109" s="1" t="n">
        <v>45757</v>
      </c>
      <c r="C11109" s="1" t="n">
        <v>45758</v>
      </c>
      <c r="D11109" t="inlineStr">
        <is>
          <t>NORRBOTTENS LÄN</t>
        </is>
      </c>
      <c r="E11109" t="inlineStr">
        <is>
          <t>KALIX</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17425-2025</t>
        </is>
      </c>
      <c r="B11110" s="1" t="n">
        <v>45757</v>
      </c>
      <c r="C11110" s="1" t="n">
        <v>45758</v>
      </c>
      <c r="D11110" t="inlineStr">
        <is>
          <t>NORRBOTTENS LÄN</t>
        </is>
      </c>
      <c r="E11110" t="inlineStr">
        <is>
          <t>GÄLLIVARE</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17531-2025</t>
        </is>
      </c>
      <c r="B11111" s="1" t="n">
        <v>45757</v>
      </c>
      <c r="C11111" s="1" t="n">
        <v>45758</v>
      </c>
      <c r="D11111" t="inlineStr">
        <is>
          <t>NORRBOTTENS LÄN</t>
        </is>
      </c>
      <c r="E11111" t="inlineStr">
        <is>
          <t>ÖVERKALIX</t>
        </is>
      </c>
      <c r="G11111" t="n">
        <v>4</v>
      </c>
      <c r="H11111" t="n">
        <v>0</v>
      </c>
      <c r="I11111" t="n">
        <v>0</v>
      </c>
      <c r="J11111" t="n">
        <v>0</v>
      </c>
      <c r="K11111" t="n">
        <v>0</v>
      </c>
      <c r="L11111" t="n">
        <v>0</v>
      </c>
      <c r="M11111" t="n">
        <v>0</v>
      </c>
      <c r="N11111" t="n">
        <v>0</v>
      </c>
      <c r="O11111" t="n">
        <v>0</v>
      </c>
      <c r="P11111" t="n">
        <v>0</v>
      </c>
      <c r="Q11111" t="n">
        <v>0</v>
      </c>
      <c r="R11111" s="2" t="inlineStr"/>
    </row>
    <row r="11112">
      <c r="A11112" t="inlineStr">
        <is>
          <t>A 17624-2025</t>
        </is>
      </c>
      <c r="B11112" s="1" t="n">
        <v>45758</v>
      </c>
      <c r="C11112" s="1" t="n">
        <v>45758</v>
      </c>
      <c r="D11112" t="inlineStr">
        <is>
          <t>NORRBOTTENS LÄN</t>
        </is>
      </c>
      <c r="E11112" t="inlineStr">
        <is>
          <t>ÖVERTORNEÅ</t>
        </is>
      </c>
      <c r="G11112" t="n">
        <v>4.5</v>
      </c>
      <c r="H11112" t="n">
        <v>0</v>
      </c>
      <c r="I11112" t="n">
        <v>0</v>
      </c>
      <c r="J11112" t="n">
        <v>0</v>
      </c>
      <c r="K11112" t="n">
        <v>0</v>
      </c>
      <c r="L11112" t="n">
        <v>0</v>
      </c>
      <c r="M11112" t="n">
        <v>0</v>
      </c>
      <c r="N11112" t="n">
        <v>0</v>
      </c>
      <c r="O11112" t="n">
        <v>0</v>
      </c>
      <c r="P11112" t="n">
        <v>0</v>
      </c>
      <c r="Q11112" t="n">
        <v>0</v>
      </c>
      <c r="R1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2025-04-11T16:38:32Z</dcterms:created>
  <dcterms:modified xmlns:dcterms="http://purl.org/dc/terms/" xmlns:xsi="http://www.w3.org/2001/XMLSchema-instance" xsi:type="dcterms:W3CDTF">2025-04-11T16:38:42Z</dcterms:modified>
</cp:coreProperties>
</file>