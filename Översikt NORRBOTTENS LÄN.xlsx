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45349</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45349</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45349</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45349</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45349</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45349</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45349</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45349</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45349</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45349</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45349</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45349</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45349</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45349</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45349</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45349</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45349</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45349</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45349</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45349</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45349</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45349</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45349</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45349</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45349</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45349</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45349</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45349</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45349</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45349</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45349</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45349</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45349</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45349</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45349</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45349</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45349</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45349</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45349</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45349</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45349</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45349</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45349</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45349</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45349</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45349</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45349</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45349</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45349</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45349</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45349</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45349</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45349</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45349</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45349</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45349</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45349</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45349</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45349</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45349</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45349</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45349</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45349</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45349</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45349</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45349</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45349</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45349</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45349</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45349</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45349</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45349</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45349</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45349</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45349</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45349</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45349</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45349</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45349</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45349</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45349</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45349</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45349</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45349</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45349</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45349</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45349</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45349</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45349</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45349</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45349</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45349</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45349</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45349</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45349</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45349</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45349</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45349</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45349</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45349</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45349</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45349</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45349</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45349</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45349</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45349</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45349</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45349</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45349</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45349</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45349</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45349</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45349</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45349</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45349</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45349</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45349</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45349</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45349</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45349</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45349</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45349</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45349</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45349</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45349</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45349</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45349</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45349</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45349</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45349</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45349</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45349</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45349</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45349</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45349</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45349</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45349</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45349</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45349</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45349</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45349</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45349</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45349</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45349</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45349</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45349</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45349</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45349</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45349</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45349</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45349</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45349</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45349</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45349</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45349</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45349</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45349</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45349</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45349</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45349</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45349</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45349</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45349</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45349</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45349</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45349</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45349</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45349</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45349</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45349</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45349</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45349</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45349</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45349</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45349</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45349</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45349</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45349</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45349</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45349</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45349</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45349</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45349</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45349</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45349</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45349</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45349</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45349</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45349</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45349</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45349</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45349</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45349</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45349</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45349</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45349</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45349</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45349</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45349</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45349</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45349</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45349</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45349</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45349</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45349</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45349</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45349</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45349</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45349</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45349</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45349</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45349</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45349</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45349</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45349</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45349</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45349</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45349</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45349</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45349</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45349</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45349</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45349</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45349</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45349</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45349</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45349</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45349</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45349</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45349</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45349</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45349</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45349</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45349</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45349</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45349</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45349</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45349</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45349</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45349</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45349</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45349</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45349</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45349</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45349</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45349</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45349</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45349</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45349</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45349</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45349</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45349</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45349</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45349</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45349</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45349</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45349</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45349</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45349</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45349</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45349</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45349</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45349</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45349</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45349</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45349</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45349</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45349</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45349</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45349</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45349</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45349</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45349</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45349</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45349</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45349</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45349</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45349</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45349</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45349</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45349</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45349</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45349</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45349</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45349</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45349</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45349</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45349</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45349</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45349</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45349</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45349</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45349</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45349</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45349</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45349</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45349</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45349</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45349</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45349</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45349</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45349</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45349</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45349</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45349</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45349</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45349</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45349</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45349</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45349</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45349</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45349</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45349</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45349</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45349</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45349</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45349</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45349</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45349</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45349</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45349</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45349</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45349</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45349</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45349</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45349</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45349</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45349</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45349</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45349</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45349</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45349</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45349</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45349</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45349</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45349</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45349</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45349</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45349</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45349</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45349</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45349</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45349</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45349</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45349</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45349</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45349</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45349</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45349</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45349</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45349</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45349</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45349</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45349</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45349</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45349</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45349</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45349</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45349</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45349</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45349</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45349</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45349</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45349</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45349</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45349</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45349</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45349</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45349</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45349</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45349</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45349</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45349</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45349</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45349</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45349</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45349</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45349</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45349</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45349</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45349</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45349</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45349</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45349</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45349</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45349</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45349</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45349</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45349</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45349</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45349</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45349</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45349</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45349</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45349</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45349</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45349</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45349</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45349</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45349</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45349</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45349</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45349</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45349</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45349</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45349</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45349</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45349</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45349</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45349</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45349</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45349</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45349</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45349</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45349</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45349</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45349</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45349</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45349</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45349</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45349</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45349</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45349</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45349</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45349</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45349</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45349</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45349</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45349</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45349</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45349</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45349</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45349</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45349</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45349</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45349</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45349</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45349</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45349</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45349</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45349</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45349</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45349</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45349</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45349</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45349</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45349</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45349</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45349</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45349</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45349</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45349</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45349</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45349</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45349</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45349</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45349</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45349</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45349</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45349</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45349</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45349</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45349</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45349</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45349</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45349</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45349</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45349</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45349</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45349</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45349</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45349</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45349</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45349</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45349</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45349</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45349</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45349</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45349</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45349</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45349</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45349</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45349</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45349</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45349</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45349</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45349</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45349</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45349</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45349</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45349</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45349</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45349</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45349</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45349</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45349</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45349</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45349</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45349</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45349</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45349</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45349</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45349</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45349</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45349</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45349</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45349</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45349</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45349</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45349</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45349</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45349</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45349</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45349</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45349</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45349</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45349</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45349</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45349</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45349</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45349</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45349</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45349</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45349</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45349</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45349</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45349</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45349</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45349</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45349</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45349</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45349</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45349</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45349</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45349</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45349</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45349</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45349</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45349</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45349</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45349</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45349</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45349</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45349</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45349</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45349</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45349</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45349</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45349</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45349</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45349</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45349</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45349</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45349</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45349</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45349</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45349</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45349</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45349</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45349</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45349</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45349</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45349</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45349</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45349</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45349</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45349</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45349</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45349</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45349</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45349</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45349</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45349</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45349</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45349</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45349</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45349</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45349</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45349</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45349</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45349</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45349</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45349</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45349</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45349</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45349</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45349</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45349</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45349</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45349</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45349</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45349</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45349</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45349</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45349</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45349</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45349</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45349</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45349</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45349</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45349</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45349</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45349</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45349</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45349</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45349</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45349</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45349</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45349</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45349</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45349</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45349</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45349</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45349</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45349</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45349</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45349</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45349</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45349</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45349</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45349</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45349</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45349</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45349</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45349</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45349</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45349</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45349</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45349</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45349</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4126-2024</t>
        </is>
      </c>
      <c r="B632" s="1" t="n">
        <v>45323</v>
      </c>
      <c r="C632" s="1" t="n">
        <v>45349</v>
      </c>
      <c r="D632" t="inlineStr">
        <is>
          <t>NORRBOTTENS LÄN</t>
        </is>
      </c>
      <c r="E632" t="inlineStr">
        <is>
          <t>PITEÅ</t>
        </is>
      </c>
      <c r="F632" t="inlineStr">
        <is>
          <t>Sveaskog</t>
        </is>
      </c>
      <c r="G632" t="n">
        <v>7.8</v>
      </c>
      <c r="H632" t="n">
        <v>0</v>
      </c>
      <c r="I632" t="n">
        <v>0</v>
      </c>
      <c r="J632" t="n">
        <v>1</v>
      </c>
      <c r="K632" t="n">
        <v>0</v>
      </c>
      <c r="L632" t="n">
        <v>0</v>
      </c>
      <c r="M632" t="n">
        <v>0</v>
      </c>
      <c r="N632" t="n">
        <v>0</v>
      </c>
      <c r="O632" t="n">
        <v>1</v>
      </c>
      <c r="P632" t="n">
        <v>0</v>
      </c>
      <c r="Q632" t="n">
        <v>1</v>
      </c>
      <c r="R632" s="2" t="inlineStr">
        <is>
          <t>Tallticka</t>
        </is>
      </c>
      <c r="S632">
        <f>HYPERLINK("https://klasma.github.io/Logging_2581/artfynd/A 4126-2024 artfynd.xlsx", "A 4126-2024")</f>
        <v/>
      </c>
      <c r="T632">
        <f>HYPERLINK("https://klasma.github.io/Logging_2581/kartor/A 4126-2024 karta.png", "A 4126-2024")</f>
        <v/>
      </c>
      <c r="V632">
        <f>HYPERLINK("https://klasma.github.io/Logging_2581/klagomål/A 4126-2024 FSC-klagomål.docx", "A 4126-2024")</f>
        <v/>
      </c>
      <c r="W632">
        <f>HYPERLINK("https://klasma.github.io/Logging_2581/klagomålsmail/A 4126-2024 FSC-klagomål mail.docx", "A 4126-2024")</f>
        <v/>
      </c>
      <c r="X632">
        <f>HYPERLINK("https://klasma.github.io/Logging_2581/tillsyn/A 4126-2024 tillsynsbegäran.docx", "A 4126-2024")</f>
        <v/>
      </c>
      <c r="Y632">
        <f>HYPERLINK("https://klasma.github.io/Logging_2581/tillsynsmail/A 4126-2024 tillsynsbegäran mail.docx", "A 4126-2024")</f>
        <v/>
      </c>
    </row>
    <row r="633" ht="15" customHeight="1">
      <c r="A633" t="inlineStr">
        <is>
          <t>A 4141-2024</t>
        </is>
      </c>
      <c r="B633" s="1" t="n">
        <v>45323</v>
      </c>
      <c r="C633" s="1" t="n">
        <v>45349</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7558-2024</t>
        </is>
      </c>
      <c r="B634" s="1" t="n">
        <v>45348</v>
      </c>
      <c r="C634" s="1" t="n">
        <v>45349</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45349</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45349</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45349</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45349</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45349</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45349</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45349</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45349</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45349</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45349</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45349</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45349</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45349</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45349</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45349</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45349</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45349</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45349</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45349</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45349</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45349</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45349</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45349</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45349</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45349</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45349</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45349</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45349</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45349</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45349</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45349</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45349</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45349</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45349</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45349</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45349</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45349</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45349</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45349</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45349</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45349</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45349</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45349</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45349</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45349</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45349</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45349</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45349</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45349</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45349</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45349</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45349</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45349</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45349</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45349</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45349</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45349</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45349</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45349</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45349</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45349</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45349</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45349</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45349</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45349</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45349</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45349</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45349</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45349</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45349</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45349</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45349</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45349</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45349</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45349</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45349</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45349</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45349</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45349</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45349</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45349</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45349</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45349</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45349</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45349</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45349</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45349</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45349</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45349</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45349</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45349</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45349</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45349</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45349</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45349</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45349</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45349</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45349</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45349</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45349</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45349</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45349</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45349</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45349</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45349</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45349</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45349</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45349</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45349</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45349</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45349</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45349</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45349</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45349</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45349</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45349</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45349</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45349</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45349</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45349</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45349</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45349</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45349</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45349</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45349</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45349</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45349</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45349</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45349</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45349</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45349</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45349</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45349</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45349</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45349</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45349</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45349</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45349</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45349</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45349</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45349</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45349</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45349</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45349</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45349</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45349</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45349</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45349</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45349</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45349</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45349</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45349</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45349</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45349</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45349</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45349</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45349</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45349</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45349</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45349</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45349</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45349</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45349</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45349</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45349</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45349</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45349</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45349</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45349</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45349</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45349</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45349</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45349</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45349</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45349</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45349</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45349</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45349</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45349</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45349</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45349</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45349</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45349</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45349</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45349</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45349</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45349</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45349</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45349</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45349</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45349</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45349</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45349</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45349</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45349</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45349</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45349</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45349</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45349</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45349</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45349</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45349</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45349</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45349</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45349</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45349</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45349</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45349</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45349</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45349</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45349</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45349</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45349</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45349</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45349</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45349</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45349</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45349</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45349</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45349</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45349</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45349</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45349</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45349</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45349</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45349</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45349</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45349</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45349</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45349</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45349</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45349</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45349</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45349</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45349</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45349</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45349</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45349</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45349</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45349</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45349</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45349</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45349</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45349</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45349</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45349</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45349</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45349</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45349</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45349</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45349</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45349</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45349</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45349</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45349</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45349</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45349</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45349</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45349</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45349</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45349</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45349</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45349</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45349</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45349</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45349</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45349</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45349</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45349</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45349</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45349</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45349</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45349</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45349</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45349</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45349</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45349</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45349</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45349</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45349</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45349</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45349</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45349</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45349</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45349</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45349</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45349</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45349</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45349</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45349</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45349</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45349</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45349</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45349</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45349</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45349</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45349</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45349</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45349</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45349</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45349</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45349</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45349</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45349</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45349</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45349</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45349</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45349</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45349</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45349</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45349</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45349</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45349</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45349</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45349</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45349</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45349</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45349</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45349</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45349</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45349</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45349</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45349</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45349</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45349</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45349</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45349</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45349</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45349</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45349</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45349</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45349</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45349</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45349</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45349</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45349</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45349</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45349</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45349</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45349</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45349</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45349</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45349</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45349</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45349</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45349</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45349</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45349</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45349</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45349</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45349</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45349</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45349</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45349</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45349</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45349</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45349</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45349</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45349</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45349</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45349</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45349</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45349</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45349</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45349</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45349</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45349</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45349</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45349</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45349</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45349</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45349</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45349</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45349</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45349</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45349</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45349</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45349</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45349</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45349</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45349</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45349</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45349</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45349</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45349</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45349</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45349</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45349</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45349</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45349</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45349</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45349</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45349</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45349</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45349</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45349</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45349</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45349</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45349</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45349</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45349</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45349</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45349</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45349</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45349</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45349</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45349</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45349</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45349</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45349</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45349</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45349</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45349</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45349</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45349</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45349</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45349</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45349</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45349</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45349</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45349</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45349</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45349</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45349</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45349</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45349</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45349</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45349</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45349</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45349</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45349</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45349</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45349</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45349</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45349</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45349</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45349</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45349</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45349</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45349</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45349</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45349</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45349</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45349</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45349</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45349</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45349</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45349</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45349</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45349</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45349</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45349</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45349</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45349</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45349</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45349</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45349</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45349</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45349</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45349</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45349</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45349</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45349</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45349</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45349</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45349</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45349</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45349</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45349</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45349</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45349</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45349</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45349</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45349</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45349</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45349</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45349</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45349</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45349</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45349</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45349</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45349</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45349</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45349</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45349</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45349</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45349</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45349</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45349</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45349</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45349</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45349</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45349</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45349</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45349</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45349</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45349</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45349</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45349</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45349</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45349</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45349</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45349</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45349</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45349</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45349</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45349</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45349</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45349</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45349</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45349</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45349</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45349</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45349</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45349</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45349</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45349</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45349</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45349</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45349</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45349</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45349</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45349</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45349</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45349</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45349</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45349</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45349</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45349</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45349</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45349</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45349</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45349</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45349</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45349</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45349</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45349</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45349</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45349</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45349</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45349</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45349</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45349</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45349</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45349</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45349</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45349</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45349</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45349</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45349</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45349</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45349</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45349</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45349</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45349</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45349</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45349</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45349</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45349</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45349</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45349</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45349</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45349</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45349</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45349</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45349</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45349</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45349</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45349</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45349</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45349</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45349</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45349</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45349</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45349</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45349</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45349</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45349</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45349</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45349</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45349</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45349</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45349</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45349</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45349</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45349</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45349</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45349</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45349</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45349</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45349</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45349</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45349</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45349</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45349</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45349</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45349</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45349</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45349</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45349</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45349</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45349</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45349</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45349</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45349</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45349</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45349</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45349</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45349</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45349</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45349</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45349</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45349</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45349</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45349</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45349</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45349</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45349</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45349</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45349</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45349</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45349</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45349</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45349</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45349</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45349</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45349</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45349</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45349</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45349</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45349</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45349</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45349</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45349</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45349</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45349</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45349</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45349</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45349</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45349</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45349</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45349</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45349</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45349</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45349</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45349</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45349</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45349</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45349</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45349</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45349</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45349</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45349</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45349</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45349</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45349</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45349</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45349</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45349</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45349</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45349</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45349</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45349</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45349</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45349</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45349</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45349</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45349</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45349</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45349</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45349</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45349</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45349</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45349</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45349</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45349</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45349</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45349</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45349</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45349</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45349</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45349</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45349</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45349</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45349</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45349</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45349</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45349</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45349</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45349</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45349</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45349</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45349</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45349</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45349</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45349</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45349</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45349</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45349</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45349</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45349</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45349</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45349</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45349</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45349</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45349</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45349</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45349</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45349</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45349</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45349</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45349</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45349</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45349</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45349</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45349</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45349</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45349</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45349</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45349</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45349</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45349</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45349</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45349</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45349</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45349</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45349</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45349</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45349</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45349</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45349</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45349</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45349</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45349</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45349</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45349</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45349</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45349</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45349</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45349</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45349</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45349</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45349</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45349</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45349</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45349</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45349</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45349</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45349</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45349</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45349</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45349</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45349</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45349</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45349</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45349</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45349</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45349</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45349</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45349</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45349</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45349</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45349</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45349</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45349</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45349</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45349</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45349</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45349</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45349</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45349</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45349</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45349</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45349</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45349</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45349</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45349</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45349</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45349</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45349</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45349</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45349</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45349</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45349</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45349</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45349</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45349</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45349</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45349</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45349</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45349</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45349</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45349</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45349</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45349</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45349</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45349</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45349</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45349</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45349</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45349</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45349</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45349</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45349</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45349</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45349</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45349</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45349</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45349</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45349</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45349</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45349</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45349</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45349</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45349</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45349</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45349</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45349</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45349</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45349</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45349</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45349</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45349</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45349</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45349</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45349</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45349</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45349</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45349</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45349</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45349</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45349</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45349</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45349</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45349</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45349</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45349</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45349</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45349</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45349</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45349</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45349</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45349</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45349</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45349</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45349</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45349</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45349</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45349</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45349</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45349</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45349</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45349</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45349</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45349</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45349</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45349</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45349</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45349</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45349</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45349</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45349</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45349</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45349</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45349</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45349</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45349</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45349</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45349</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45349</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45349</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45349</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45349</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45349</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45349</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45349</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45349</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45349</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45349</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45349</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45349</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45349</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45349</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45349</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45349</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45349</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45349</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45349</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45349</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45349</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45349</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45349</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45349</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45349</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45349</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45349</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45349</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45349</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45349</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45349</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45349</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45349</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45349</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45349</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45349</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45349</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45349</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45349</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45349</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45349</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45349</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45349</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45349</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45349</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45349</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45349</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45349</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45349</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45349</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45349</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45349</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45349</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45349</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45349</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45349</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45349</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45349</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45349</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45349</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45349</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45349</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45349</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45349</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45349</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45349</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45349</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45349</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45349</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45349</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45349</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45349</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45349</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45349</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45349</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45349</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45349</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45349</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45349</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45349</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45349</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45349</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45349</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45349</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45349</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45349</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45349</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45349</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45349</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45349</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45349</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45349</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45349</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45349</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45349</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45349</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45349</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45349</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45349</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45349</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45349</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45349</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45349</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45349</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45349</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45349</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45349</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45349</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45349</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45349</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45349</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45349</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45349</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45349</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45349</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45349</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45349</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45349</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45349</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45349</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45349</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45349</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45349</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45349</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45349</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45349</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45349</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45349</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45349</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45349</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45349</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45349</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45349</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45349</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45349</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45349</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45349</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45349</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45349</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45349</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45349</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45349</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45349</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45349</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45349</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45349</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45349</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45349</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45349</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45349</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45349</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45349</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45349</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45349</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45349</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45349</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45349</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45349</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45349</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45349</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45349</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45349</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45349</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45349</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45349</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45349</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45349</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45349</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45349</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45349</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45349</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45349</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45349</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45349</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45349</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45349</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45349</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45349</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45349</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45349</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45349</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45349</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45349</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45349</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45349</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45349</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45349</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45349</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45349</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45349</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45349</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45349</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45349</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45349</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45349</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45349</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45349</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45349</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45349</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45349</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45349</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45349</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45349</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45349</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45349</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45349</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45349</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45349</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45349</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45349</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45349</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45349</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45349</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45349</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45349</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45349</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45349</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45349</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45349</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45349</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45349</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45349</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45349</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45349</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45349</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45349</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45349</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45349</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45349</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45349</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45349</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45349</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45349</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45349</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45349</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45349</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45349</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45349</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45349</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45349</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45349</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45349</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45349</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45349</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45349</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45349</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45349</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45349</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45349</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45349</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45349</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45349</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45349</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45349</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45349</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45349</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45349</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45349</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45349</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45349</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45349</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45349</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45349</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45349</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45349</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45349</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45349</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45349</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45349</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45349</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45349</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45349</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45349</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45349</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45349</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45349</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45349</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45349</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45349</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45349</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45349</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45349</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45349</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45349</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45349</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45349</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45349</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45349</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45349</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45349</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45349</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45349</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45349</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45349</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45349</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45349</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45349</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45349</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45349</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45349</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45349</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45349</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45349</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45349</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45349</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45349</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45349</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45349</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45349</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45349</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45349</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45349</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45349</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45349</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45349</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45349</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45349</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45349</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45349</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45349</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45349</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45349</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45349</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45349</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45349</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45349</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45349</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45349</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45349</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45349</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45349</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45349</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45349</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45349</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45349</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45349</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45349</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45349</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45349</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45349</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45349</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45349</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45349</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45349</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45349</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45349</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45349</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45349</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45349</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45349</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45349</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45349</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45349</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45349</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45349</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45349</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45349</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45349</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45349</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45349</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45349</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45349</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45349</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45349</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45349</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45349</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45349</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45349</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45349</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45349</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45349</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45349</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45349</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45349</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45349</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45349</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45349</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45349</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45349</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45349</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45349</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45349</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45349</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45349</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45349</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45349</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45349</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45349</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45349</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45349</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45349</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45349</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45349</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45349</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45349</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45349</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45349</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45349</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45349</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45349</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45349</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45349</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45349</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45349</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45349</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45349</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45349</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45349</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45349</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45349</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45349</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45349</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45349</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45349</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45349</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45349</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45349</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45349</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45349</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45349</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45349</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45349</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45349</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45349</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45349</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45349</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45349</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45349</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45349</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45349</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45349</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45349</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45349</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45349</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45349</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45349</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45349</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45349</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45349</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45349</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45349</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45349</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45349</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45349</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45349</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45349</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45349</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45349</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45349</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45349</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45349</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45349</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45349</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45349</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45349</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45349</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45349</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45349</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45349</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45349</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45349</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45349</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45349</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45349</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45349</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45349</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45349</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45349</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45349</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45349</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45349</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45349</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45349</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45349</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45349</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45349</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45349</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45349</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45349</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45349</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45349</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45349</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45349</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45349</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45349</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45349</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45349</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45349</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45349</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45349</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45349</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45349</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45349</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45349</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45349</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45349</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45349</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45349</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45349</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45349</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45349</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45349</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45349</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45349</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45349</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45349</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45349</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45349</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45349</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45349</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45349</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45349</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45349</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45349</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45349</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45349</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45349</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45349</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45349</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45349</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45349</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45349</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45349</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45349</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45349</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45349</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45349</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45349</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45349</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45349</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45349</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45349</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45349</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45349</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45349</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45349</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45349</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45349</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45349</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45349</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45349</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45349</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45349</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45349</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45349</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45349</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45349</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45349</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45349</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45349</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45349</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45349</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45349</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45349</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45349</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45349</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45349</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45349</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45349</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45349</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45349</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45349</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45349</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45349</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45349</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45349</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45349</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45349</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45349</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45349</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45349</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45349</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45349</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45349</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45349</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45349</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45349</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45349</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45349</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45349</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45349</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45349</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45349</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45349</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45349</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45349</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45349</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45349</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45349</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45349</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45349</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45349</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45349</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45349</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45349</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45349</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45349</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45349</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45349</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45349</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45349</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45349</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45349</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45349</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45349</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45349</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45349</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45349</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45349</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45349</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45349</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45349</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45349</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45349</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45349</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45349</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45349</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45349</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45349</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45349</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45349</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45349</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45349</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45349</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45349</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45349</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45349</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45349</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45349</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45349</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45349</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45349</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45349</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45349</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45349</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45349</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45349</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45349</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45349</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45349</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45349</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45349</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45349</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45349</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45349</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45349</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45349</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45349</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45349</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45349</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45349</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45349</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45349</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45349</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45349</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45349</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45349</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45349</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45349</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45349</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45349</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45349</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45349</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45349</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45349</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45349</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45349</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45349</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45349</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45349</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45349</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45349</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45349</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45349</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45349</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45349</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45349</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45349</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45349</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45349</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45349</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45349</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45349</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45349</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45349</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45349</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45349</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45349</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45349</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45349</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45349</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45349</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45349</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45349</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45349</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45349</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45349</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45349</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45349</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45349</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45349</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45349</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45349</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45349</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45349</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45349</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45349</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45349</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45349</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45349</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45349</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45349</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45349</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45349</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45349</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45349</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45349</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45349</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45349</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45349</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45349</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45349</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45349</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45349</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45349</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45349</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45349</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45349</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45349</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45349</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45349</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45349</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45349</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45349</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45349</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45349</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45349</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45349</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45349</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45349</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45349</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45349</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45349</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45349</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45349</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45349</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45349</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45349</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45349</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45349</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45349</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45349</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45349</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45349</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45349</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45349</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45349</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45349</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45349</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45349</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45349</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45349</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45349</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45349</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45349</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45349</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45349</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45349</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45349</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45349</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45349</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45349</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45349</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45349</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45349</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45349</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45349</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45349</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45349</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45349</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45349</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45349</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45349</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45349</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45349</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45349</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45349</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45349</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45349</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45349</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45349</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45349</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45349</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45349</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45349</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45349</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45349</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45349</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45349</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45349</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45349</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45349</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45349</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45349</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45349</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45349</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45349</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45349</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45349</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45349</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45349</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45349</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45349</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45349</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45349</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45349</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45349</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45349</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45349</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45349</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45349</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45349</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45349</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45349</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45349</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45349</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45349</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45349</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45349</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45349</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45349</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45349</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45349</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45349</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45349</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45349</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45349</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45349</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45349</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45349</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45349</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45349</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45349</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45349</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45349</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45349</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45349</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45349</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45349</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45349</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45349</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45349</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45349</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45349</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45349</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45349</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45349</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45349</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45349</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45349</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45349</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45349</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45349</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45349</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45349</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45349</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45349</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45349</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45349</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45349</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45349</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45349</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45349</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45349</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45349</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45349</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45349</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45349</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45349</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45349</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45349</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45349</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45349</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45349</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45349</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45349</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45349</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45349</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45349</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45349</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45349</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45349</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45349</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45349</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45349</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45349</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45349</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45349</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45349</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45349</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45349</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45349</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45349</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45349</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45349</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45349</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45349</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45349</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45349</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45349</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45349</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45349</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45349</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45349</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45349</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45349</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45349</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45349</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45349</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45349</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45349</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45349</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45349</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45349</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45349</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45349</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45349</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45349</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45349</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45349</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45349</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45349</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45349</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45349</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45349</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45349</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45349</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45349</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45349</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45349</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45349</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45349</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45349</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45349</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45349</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45349</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45349</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45349</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45349</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45349</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45349</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45349</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45349</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45349</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45349</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45349</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45349</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45349</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45349</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45349</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45349</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45349</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45349</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45349</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45349</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45349</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45349</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45349</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45349</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45349</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45349</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45349</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45349</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45349</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45349</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45349</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45349</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45349</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45349</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45349</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45349</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45349</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45349</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45349</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45349</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45349</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45349</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45349</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45349</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45349</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45349</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45349</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45349</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45349</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45349</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45349</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45349</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45349</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45349</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45349</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45349</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45349</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45349</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45349</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45349</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45349</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45349</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45349</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45349</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45349</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45349</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45349</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45349</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45349</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45349</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45349</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45349</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45349</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45349</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45349</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45349</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45349</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45349</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45349</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45349</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45349</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45349</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45349</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45349</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45349</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45349</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45349</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45349</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45349</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45349</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45349</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45349</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45349</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45349</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45349</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45349</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45349</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45349</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45349</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45349</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45349</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45349</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45349</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45349</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45349</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45349</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45349</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45349</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45349</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45349</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45349</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45349</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45349</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45349</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45349</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45349</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45349</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45349</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45349</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45349</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45349</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45349</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45349</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45349</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45349</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45349</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45349</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45349</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45349</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45349</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45349</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45349</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45349</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45349</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45349</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45349</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45349</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45349</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45349</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45349</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45349</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45349</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45349</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45349</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45349</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45349</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45349</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45349</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45349</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45349</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45349</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45349</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45349</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45349</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45349</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45349</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45349</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45349</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45349</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45349</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45349</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45349</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45349</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45349</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45349</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45349</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45349</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45349</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45349</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45349</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45349</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45349</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45349</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45349</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45349</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45349</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45349</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45349</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45349</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45349</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45349</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45349</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45349</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45349</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45349</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45349</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45349</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45349</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45349</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45349</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45349</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45349</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45349</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45349</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45349</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45349</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45349</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45349</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45349</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45349</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45349</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45349</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45349</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45349</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45349</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45349</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45349</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45349</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45349</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45349</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45349</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45349</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45349</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45349</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45349</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45349</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45349</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45349</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45349</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45349</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45349</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45349</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45349</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45349</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45349</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45349</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45349</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45349</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45349</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45349</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45349</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45349</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45349</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45349</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45349</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45349</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45349</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45349</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45349</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45349</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45349</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45349</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45349</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45349</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45349</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45349</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45349</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45349</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45349</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45349</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45349</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45349</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45349</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45349</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45349</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45349</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45349</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45349</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45349</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45349</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45349</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45349</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45349</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45349</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45349</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45349</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45349</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45349</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45349</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45349</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45349</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45349</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45349</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45349</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45349</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45349</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45349</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45349</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45349</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45349</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45349</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45349</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45349</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45349</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45349</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45349</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45349</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45349</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45349</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45349</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45349</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45349</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45349</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45349</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45349</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45349</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45349</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45349</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45349</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45349</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45349</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45349</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45349</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45349</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45349</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45349</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45349</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45349</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45349</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45349</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45349</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45349</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45349</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45349</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45349</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45349</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45349</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45349</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45349</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45349</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45349</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45349</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45349</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45349</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45349</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45349</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45349</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45349</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45349</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45349</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45349</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45349</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45349</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45349</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45349</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45349</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45349</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45349</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45349</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45349</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45349</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45349</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45349</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45349</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45349</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45349</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45349</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45349</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45349</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45349</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45349</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45349</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45349</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45349</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45349</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45349</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45349</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45349</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45349</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45349</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45349</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45349</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45349</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45349</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45349</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45349</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45349</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45349</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45349</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45349</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45349</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45349</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45349</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45349</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45349</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45349</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45349</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45349</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45349</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45349</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45349</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45349</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45349</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45349</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45349</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45349</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45349</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45349</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45349</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45349</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45349</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45349</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45349</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45349</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45349</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45349</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45349</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45349</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45349</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45349</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45349</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45349</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45349</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45349</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45349</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45349</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45349</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45349</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45349</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45349</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45349</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45349</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45349</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45349</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45349</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45349</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45349</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45349</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45349</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45349</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45349</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45349</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45349</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45349</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45349</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45349</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45349</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45349</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45349</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45349</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45349</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45349</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45349</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45349</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45349</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45349</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45349</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45349</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45349</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45349</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45349</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45349</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45349</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45349</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45349</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45349</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45349</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45349</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45349</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45349</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45349</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45349</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45349</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45349</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45349</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45349</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45349</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45349</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45349</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45349</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45349</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45349</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45349</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45349</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45349</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45349</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45349</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45349</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45349</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45349</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45349</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45349</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45349</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45349</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45349</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45349</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45349</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45349</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45349</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45349</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45349</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45349</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45349</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45349</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45349</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45349</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45349</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45349</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45349</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45349</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45349</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45349</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45349</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45349</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45349</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45349</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45349</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45349</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45349</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45349</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45349</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45349</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45349</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45349</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45349</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45349</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45349</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45349</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45349</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45349</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45349</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45349</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45349</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45349</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45349</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45349</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45349</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45349</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45349</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45349</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45349</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45349</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45349</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45349</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45349</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45349</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45349</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45349</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45349</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45349</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45349</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45349</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45349</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45349</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45349</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45349</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45349</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45349</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45349</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45349</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45349</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45349</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45349</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45349</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45349</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45349</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45349</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45349</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45349</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45349</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45349</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45349</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45349</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45349</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45349</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45349</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45349</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45349</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45349</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45349</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45349</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45349</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45349</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45349</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45349</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45349</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45349</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45349</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45349</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45349</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45349</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45349</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45349</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45349</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45349</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45349</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45349</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45349</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45349</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45349</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45349</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45349</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45349</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45349</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45349</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45349</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45349</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45349</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45349</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45349</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45349</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45349</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45349</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45349</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45349</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45349</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45349</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45349</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45349</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45349</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45349</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45349</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45349</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45349</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45349</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45349</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45349</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45349</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45349</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45349</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45349</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45349</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45349</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45349</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45349</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45349</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45349</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45349</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45349</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45349</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45349</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45349</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45349</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45349</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45349</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45349</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45349</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45349</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45349</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45349</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45349</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45349</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45349</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45349</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45349</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45349</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45349</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45349</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45349</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45349</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45349</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45349</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45349</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45349</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45349</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45349</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45349</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45349</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45349</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45349</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45349</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45349</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45349</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45349</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45349</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45349</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45349</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45349</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45349</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45349</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45349</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45349</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45349</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45349</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45349</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45349</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45349</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45349</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45349</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45349</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45349</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45349</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45349</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45349</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45349</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45349</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45349</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45349</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45349</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45349</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45349</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45349</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45349</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45349</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45349</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45349</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45349</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45349</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45349</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45349</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45349</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45349</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45349</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45349</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45349</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45349</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45349</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45349</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45349</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45349</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45349</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45349</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45349</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45349</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45349</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45349</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45349</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45349</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45349</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45349</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45349</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45349</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45349</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45349</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45349</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45349</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45349</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45349</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45349</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45349</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45349</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45349</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45349</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45349</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45349</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45349</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45349</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45349</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45349</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45349</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45349</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45349</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45349</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45349</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45349</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45349</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45349</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45349</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45349</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45349</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45349</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45349</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45349</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45349</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45349</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45349</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45349</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45349</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45349</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45349</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45349</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45349</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45349</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45349</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45349</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45349</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45349</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45349</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45349</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45349</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45349</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45349</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45349</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45349</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45349</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45349</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45349</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45349</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45349</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45349</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45349</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45349</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45349</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45349</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45349</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45349</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45349</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45349</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45349</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45349</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45349</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45349</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45349</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45349</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45349</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45349</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45349</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45349</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45349</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45349</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45349</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45349</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45349</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45349</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45349</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45349</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45349</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45349</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45349</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45349</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45349</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45349</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45349</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45349</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45349</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45349</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45349</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45349</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45349</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45349</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45349</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45349</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45349</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45349</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45349</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45349</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45349</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45349</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45349</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45349</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45349</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45349</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45349</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45349</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45349</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45349</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45349</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45349</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45349</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45349</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45349</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45349</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45349</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45349</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45349</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45349</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45349</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45349</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45349</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45349</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45349</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45349</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45349</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45349</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45349</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45349</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45349</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45349</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45349</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45349</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45349</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45349</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45349</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45349</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45349</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45349</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45349</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45349</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45349</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45349</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45349</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45349</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45349</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45349</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45349</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45349</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45349</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45349</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45349</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45349</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45349</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45349</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45349</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45349</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45349</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45349</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45349</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45349</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45349</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45349</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45349</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45349</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45349</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45349</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45349</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45349</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45349</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45349</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45349</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45349</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45349</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45349</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45349</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45349</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45349</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45349</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45349</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45349</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45349</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45349</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45349</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45349</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45349</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45349</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45349</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45349</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45349</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45349</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45349</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45349</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45349</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45349</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45349</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45349</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45349</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45349</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45349</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45349</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45349</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45349</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45349</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45349</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45349</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45349</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45349</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45349</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45349</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45349</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45349</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45349</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45349</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45349</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45349</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45349</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45349</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45349</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45349</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45349</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45349</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45349</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45349</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45349</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45349</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45349</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45349</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45349</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45349</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45349</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45349</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45349</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45349</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45349</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45349</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45349</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45349</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45349</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45349</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45349</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45349</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45349</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45349</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45349</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45349</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45349</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45349</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45349</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45349</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45349</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45349</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45349</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45349</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45349</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45349</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45349</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45349</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45349</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45349</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45349</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45349</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45349</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45349</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45349</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45349</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45349</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45349</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45349</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45349</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45349</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45349</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45349</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45349</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45349</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45349</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45349</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45349</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45349</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45349</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45349</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45349</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45349</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45349</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45349</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45349</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45349</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45349</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45349</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45349</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45349</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45349</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45349</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45349</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45349</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45349</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45349</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45349</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45349</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45349</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45349</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45349</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45349</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45349</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45349</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45349</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45349</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45349</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45349</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45349</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45349</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45349</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45349</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45349</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45349</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45349</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45349</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45349</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45349</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45349</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45349</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45349</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45349</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45349</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45349</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45349</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45349</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45349</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45349</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45349</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45349</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45349</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45349</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45349</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45349</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45349</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45349</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45349</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45349</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45349</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45349</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45349</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45349</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45349</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45349</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45349</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45349</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45349</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45349</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45349</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45349</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45349</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45349</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45349</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45349</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45349</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45349</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45349</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45349</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45349</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45349</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45349</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45349</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45349</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45349</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45349</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45349</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45349</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45349</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45349</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45349</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45349</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45349</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45349</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45349</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45349</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45349</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45349</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45349</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45349</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45349</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45349</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45349</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45349</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45349</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45349</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45349</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45349</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45349</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45349</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45349</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45349</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45349</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45349</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45349</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45349</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45349</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45349</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45349</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45349</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45349</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45349</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45349</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45349</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45349</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45349</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45349</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45349</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45349</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45349</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45349</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45349</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45349</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45349</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45349</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45349</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45349</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45349</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45349</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45349</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45349</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45349</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45349</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45349</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45349</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45349</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45349</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45349</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45349</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45349</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45349</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45349</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45349</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45349</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45349</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45349</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45349</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45349</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45349</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45349</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45349</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45349</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45349</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45349</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45349</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45349</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45349</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45349</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45349</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45349</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45349</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45349</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45349</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45349</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45349</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45349</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45349</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45349</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45349</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45349</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45349</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45349</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45349</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45349</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45349</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45349</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45349</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45349</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45349</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45349</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45349</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45349</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45349</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45349</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45349</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45349</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45349</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45349</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45349</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45349</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45349</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45349</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45349</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45349</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45349</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45349</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45349</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45349</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45349</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45349</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45349</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45349</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45349</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45349</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45349</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45349</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45349</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45349</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45349</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45349</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45349</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45349</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45349</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45349</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45349</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45349</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45349</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45349</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45349</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45349</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45349</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45349</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45349</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45349</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45349</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45349</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45349</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45349</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45349</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45349</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45349</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45349</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45349</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45349</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45349</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45349</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45349</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45349</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45349</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45349</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45349</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45349</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45349</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45349</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45349</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45349</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45349</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45349</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45349</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45349</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45349</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45349</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45349</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45349</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45349</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45349</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45349</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45349</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45349</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45349</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45349</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45349</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45349</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45349</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45349</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45349</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45349</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45349</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45349</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45349</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45349</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45349</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45349</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45349</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45349</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45349</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45349</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45349</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45349</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45349</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45349</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45349</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45349</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45349</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45349</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45349</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45349</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45349</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45349</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45349</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45349</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45349</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45349</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45349</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45349</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45349</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45349</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45349</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45349</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45349</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45349</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45349</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45349</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45349</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45349</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45349</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45349</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45349</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45349</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45349</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45349</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45349</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45349</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45349</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45349</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45349</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45349</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45349</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45349</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45349</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45349</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45349</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45349</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45349</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45349</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45349</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45349</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45349</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45349</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45349</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45349</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45349</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45349</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45349</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45349</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45349</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45349</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45349</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45349</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45349</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45349</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45349</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45349</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45349</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45349</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45349</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45349</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45349</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45349</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45349</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45349</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45349</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45349</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45349</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45349</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45349</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45349</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45349</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45349</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45349</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45349</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45349</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45349</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45349</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45349</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45349</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45349</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45349</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45349</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45349</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45349</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45349</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45349</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45349</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45349</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45349</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45349</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45349</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45349</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45349</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45349</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45349</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45349</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45349</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45349</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45349</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45349</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45349</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45349</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45349</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45349</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45349</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45349</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45349</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45349</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45349</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45349</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45349</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45349</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45349</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45349</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45349</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45349</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45349</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45349</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45349</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45349</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45349</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45349</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45349</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45349</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45349</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45349</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45349</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45349</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45349</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45349</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45349</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45349</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45349</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45349</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45349</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45349</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45349</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45349</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45349</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45349</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45349</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45349</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45349</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45349</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45349</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45349</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45349</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45349</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45349</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45349</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45349</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45349</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45349</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45349</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45349</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45349</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45349</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45349</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45349</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45349</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45349</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45349</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45349</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45349</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45349</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45349</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45349</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45349</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45349</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45349</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45349</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45349</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45349</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45349</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45349</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45349</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45349</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45349</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45349</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45349</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45349</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45349</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45349</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45349</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45349</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45349</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45349</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45349</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45349</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45349</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45349</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45349</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45349</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45349</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45349</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45349</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45349</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45349</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45349</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45349</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45349</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45349</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45349</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45349</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45349</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45349</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45349</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45349</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45349</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45349</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45349</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45349</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45349</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45349</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45349</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45349</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45349</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45349</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45349</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45349</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45349</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45349</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45349</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45349</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45349</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45349</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45349</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45349</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45349</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45349</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45349</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45349</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45349</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45349</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45349</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45349</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45349</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45349</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45349</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45349</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45349</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45349</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45349</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45349</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45349</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45349</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45349</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45349</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45349</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45349</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45349</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45349</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45349</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45349</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45349</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45349</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45349</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45349</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45349</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45349</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45349</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45349</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45349</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45349</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45349</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45349</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45349</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45349</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45349</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45349</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45349</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45349</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45349</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45349</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45349</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45349</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45349</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45349</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45349</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45349</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45349</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45349</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45349</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45349</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45349</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45349</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45349</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45349</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45349</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45349</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45349</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45349</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45349</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45349</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45349</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45349</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45349</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45349</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45349</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45349</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45349</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45349</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45349</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45349</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45349</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45349</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45349</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45349</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45349</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45349</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45349</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45349</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45349</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45349</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45349</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45349</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45349</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45349</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45349</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45349</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45349</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45349</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45349</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45349</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45349</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45349</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45349</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45349</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45349</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45349</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45349</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45349</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45349</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45349</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45349</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45349</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45349</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45349</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45349</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45349</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45349</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45349</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45349</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45349</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45349</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45349</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45349</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45349</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45349</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45349</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45349</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45349</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45349</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45349</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45349</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45349</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45349</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45349</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45349</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45349</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45349</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45349</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45349</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45349</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45349</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45349</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45349</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45349</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45349</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45349</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45349</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45349</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45349</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45349</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45349</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45349</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45349</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45349</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45349</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45349</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45349</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45349</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45349</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45349</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45349</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45349</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45349</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45349</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45349</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45349</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45349</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45349</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45349</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45349</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45349</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45349</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45349</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45349</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45349</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45349</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45349</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45349</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45349</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45349</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45349</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45349</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45349</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45349</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45349</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45349</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45349</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45349</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45349</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45349</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45349</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45349</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45349</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45349</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45349</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45349</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45349</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45349</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45349</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45349</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45349</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45349</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45349</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45349</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45349</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45349</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45349</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45349</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45349</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45349</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45349</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45349</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45349</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45349</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45349</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45349</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45349</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45349</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45349</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45349</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45349</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45349</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45349</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45349</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45349</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45349</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45349</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45349</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45349</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45349</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45349</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45349</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45349</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45349</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45349</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45349</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45349</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45349</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45349</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45349</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45349</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45349</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45349</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45349</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45349</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45349</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45349</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45349</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45349</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45349</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45349</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45349</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45349</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45349</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45349</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45349</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45349</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45349</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45349</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45349</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45349</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45349</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45349</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45349</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45349</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45349</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45349</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45349</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45349</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45349</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45349</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45349</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45349</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45349</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45349</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45349</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45349</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45349</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45349</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45349</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45349</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45349</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45349</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45349</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45349</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45349</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45349</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45349</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45349</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45349</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45349</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45349</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45349</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45349</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45349</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45349</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45349</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45349</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45349</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45349</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45349</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45349</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45349</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45349</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45349</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45349</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45349</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45349</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45349</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45349</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45349</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45349</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45349</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45349</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45349</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45349</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45349</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45349</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45349</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45349</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45349</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45349</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45349</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45349</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45349</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45349</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45349</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45349</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45349</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45349</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45349</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45349</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45349</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45349</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45349</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45349</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45349</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45349</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45349</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45349</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45349</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45349</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45349</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45349</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45349</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45349</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45349</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45349</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45349</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45349</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45349</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45349</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45349</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45349</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45349</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45349</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45349</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45349</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45349</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45349</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45349</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45349</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45349</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45349</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45349</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45349</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45349</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45349</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45349</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45349</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45349</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45349</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45349</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45349</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45349</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45349</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45349</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45349</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45349</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45349</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45349</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45349</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45349</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45349</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45349</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45349</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45349</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45349</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45349</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45349</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45349</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45349</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45349</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45349</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45349</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45349</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45349</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45349</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45349</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45349</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45349</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45349</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45349</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45349</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45349</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45349</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45349</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45349</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45349</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45349</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45349</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45349</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45349</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45349</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45349</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45349</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45349</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45349</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45349</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45349</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45349</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45349</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45349</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45349</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45349</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45349</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45349</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45349</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45349</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45349</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45349</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45349</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45349</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45349</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45349</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45349</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45349</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45349</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45349</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45349</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45349</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45349</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45349</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45349</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45349</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45349</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45349</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45349</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45349</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45349</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45349</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45349</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45349</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45349</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45349</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45349</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45349</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45349</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45349</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45349</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45349</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45349</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45349</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45349</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45349</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45349</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45349</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45349</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45349</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45349</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45349</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45349</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45349</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45349</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45349</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45349</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45349</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45349</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45349</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45349</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45349</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45349</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45349</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45349</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45349</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45349</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45349</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45349</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45349</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45349</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45349</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45349</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45349</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45349</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45349</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45349</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45349</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45349</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45349</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45349</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45349</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45349</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45349</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45349</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45349</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45349</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45349</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45349</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45349</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45349</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45349</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45349</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45349</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45349</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45349</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45349</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45349</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45349</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45349</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45349</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45349</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45349</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45349</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45349</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45349</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45349</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45349</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45349</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45349</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45349</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45349</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45349</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45349</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45349</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45349</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45349</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45349</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45349</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45349</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45349</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45349</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45349</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45349</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45349</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45349</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45349</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45349</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45349</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45349</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45349</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45349</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45349</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45349</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45349</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45349</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45349</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45349</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45349</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45349</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45349</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45349</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45349</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45349</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45349</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45349</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45349</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45349</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45349</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45349</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45349</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45349</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45349</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45349</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45349</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45349</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45349</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45349</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45349</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45349</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45349</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45349</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45349</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45349</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45349</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45349</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45349</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45349</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45349</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45349</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45349</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45349</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45349</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45349</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45349</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45349</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45349</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45349</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45349</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45349</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45349</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45349</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45349</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45349</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45349</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45349</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45349</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45349</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45349</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45349</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45349</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45349</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45349</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45349</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45349</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45349</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45349</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45349</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45349</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45349</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45349</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45349</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45349</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45349</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45349</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45349</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45349</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45349</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45349</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45349</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45349</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45349</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45349</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45349</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45349</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45349</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45349</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45349</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45349</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45349</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45349</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45349</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45349</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45349</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45349</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45349</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45349</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45349</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45349</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45349</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45349</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45349</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45349</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45349</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45349</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45349</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45349</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45349</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45349</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45349</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45349</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45349</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45349</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45349</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45349</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45349</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45349</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45349</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45349</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45349</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45349</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45349</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45349</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45349</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45349</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45349</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45349</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45349</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45349</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45349</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45349</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45349</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45349</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45349</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45349</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45349</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45349</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45349</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45349</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45349</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45349</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45349</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45349</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45349</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45349</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45349</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45349</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45349</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45349</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45349</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45349</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45349</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45349</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45349</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45349</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45349</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45349</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45349</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45349</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45349</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45349</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45349</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45349</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45349</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45349</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45349</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45349</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45349</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45349</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45349</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45349</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45349</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45349</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45349</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45349</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45349</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45349</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45349</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45349</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45349</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45349</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45349</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45349</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45349</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45349</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45349</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45349</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45349</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45349</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45349</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45349</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45349</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45349</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45349</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45349</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45349</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45349</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45349</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45349</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45349</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45349</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45349</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45349</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45349</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45349</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45349</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45349</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45349</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45349</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45349</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45349</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45349</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45349</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45349</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45349</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45349</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45349</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45349</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45349</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45349</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45349</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45349</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45349</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45349</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45349</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45349</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45349</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45349</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45349</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45349</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45349</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45349</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45349</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45349</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45349</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45349</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45349</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45349</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45349</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45349</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45349</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45349</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45349</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45349</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45349</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45349</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45349</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45349</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45349</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45349</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45349</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45349</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45349</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45349</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45349</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45349</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45349</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45349</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45349</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45349</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45349</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45349</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45349</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45349</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45349</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45349</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45349</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45349</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45349</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45349</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45349</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45349</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45349</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45349</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45349</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45349</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45349</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45349</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45349</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45349</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45349</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45349</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45349</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45349</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45349</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45349</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45349</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45349</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45349</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45349</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45349</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45349</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45349</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45349</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45349</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45349</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45349</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45349</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45349</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45349</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45349</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45349</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45349</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45349</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45349</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45349</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45349</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45349</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45349</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45349</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45349</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45349</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45349</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45349</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45349</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45349</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45349</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45349</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45349</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45349</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45349</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45349</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45349</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45349</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45349</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45349</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45349</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45349</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45349</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45349</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45349</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45349</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45349</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45349</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45349</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45349</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45349</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45349</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45349</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45349</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45349</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45349</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45349</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45349</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45349</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45349</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45349</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45349</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45349</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45349</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45349</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45349</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45349</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45349</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45349</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45349</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45349</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45349</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45349</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45349</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45349</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45349</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45349</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45349</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45349</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45349</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45349</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45349</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45349</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45349</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45349</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45349</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45349</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45349</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45349</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45349</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45349</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45349</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45349</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45349</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45349</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45349</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45349</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45349</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45349</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45349</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45349</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45349</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45349</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45349</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45349</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45349</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45349</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45349</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45349</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45349</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45349</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45349</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45349</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45349</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45349</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45349</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45349</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45349</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45349</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45349</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45349</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45349</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45349</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45349</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45349</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45349</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45349</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45349</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45349</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45349</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45349</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45349</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45349</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45349</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45349</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45349</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45349</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45349</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45349</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45349</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45349</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45349</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45349</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45349</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45349</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45349</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45349</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45349</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45349</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45349</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45349</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45349</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45349</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45349</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45349</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45349</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45349</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45349</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45349</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45349</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45349</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45349</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45349</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45349</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45349</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45349</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45349</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45349</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45349</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45349</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45349</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45349</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45349</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45349</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45349</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45349</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45349</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45349</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45349</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45349</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45349</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45349</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45349</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45349</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45349</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45349</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45349</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45349</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45349</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45349</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45349</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45349</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45349</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45349</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45349</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45349</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45349</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45349</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45349</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45349</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45349</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45349</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45349</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45349</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45349</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45349</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45349</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45349</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45349</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45349</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45349</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45349</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45349</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45349</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45349</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45349</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45349</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45349</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45349</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45349</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45349</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45349</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45349</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45349</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45349</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45349</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45349</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45349</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45349</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45349</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45349</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45349</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45349</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45349</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45349</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45349</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45349</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45349</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45349</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45349</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45349</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45349</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45349</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45349</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45349</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45349</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45349</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45349</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45349</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45349</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45349</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45349</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45349</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45349</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45349</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45349</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45349</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45349</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45349</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45349</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45349</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45349</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45349</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45349</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45349</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45349</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45349</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45349</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45349</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45349</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45349</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45349</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45349</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45349</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45349</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45349</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45349</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45349</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45349</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45349</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45349</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45349</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45349</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45349</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45349</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45349</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45349</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45349</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45349</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45349</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45349</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45349</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45349</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45349</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45349</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45349</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45349</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45349</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45349</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45349</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45349</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45349</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45349</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45349</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45349</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45349</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45349</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45349</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45349</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45349</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45349</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45349</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45349</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45349</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45349</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45349</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45349</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45349</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45349</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45349</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45349</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45349</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45349</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45349</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45349</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45349</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45349</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45349</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45349</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45349</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45349</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45349</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45349</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45349</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45349</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45349</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45349</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45349</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45349</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45349</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45349</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45349</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45349</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45349</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45349</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45349</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45349</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45349</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45349</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45349</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45349</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45349</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45349</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45349</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45349</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45349</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45349</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45349</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45349</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45349</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45349</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45349</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45349</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45349</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45349</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45349</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45349</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45349</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45349</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45349</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45349</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45349</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45349</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45349</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45349</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45349</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45349</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45349</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45349</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45349</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45349</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45349</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45349</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45349</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45349</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45349</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45349</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45349</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45349</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45349</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45349</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45349</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45349</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45349</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45349</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45349</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45349</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45349</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45349</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45349</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45349</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45349</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45349</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45349</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45349</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45349</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45349</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45349</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45349</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45349</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45349</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45349</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45349</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45349</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45349</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45349</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45349</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45349</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45349</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45349</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45349</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45349</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45349</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45349</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45349</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45349</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45349</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45349</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45349</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45349</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45349</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45349</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45349</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45349</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45349</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45349</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45349</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45349</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45349</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45349</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45349</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45349</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45349</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45349</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45349</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45349</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45349</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45349</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45349</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45349</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45349</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45349</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45349</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45349</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45349</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45349</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45349</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45349</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45349</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45349</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45349</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45349</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45349</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45349</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45349</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45349</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45349</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45349</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45349</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45349</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45349</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45349</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45349</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45349</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45349</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45349</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45349</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45349</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45349</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45349</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45349</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45349</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45349</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45349</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45349</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45349</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45349</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45349</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45349</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45349</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45349</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45349</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45349</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45349</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45349</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45349</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45349</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45349</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45349</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45349</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45349</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45349</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45349</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45349</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45349</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45349</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45349</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45349</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45349</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45349</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45349</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45349</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45349</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45349</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45349</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45349</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45349</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45349</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45349</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45349</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45349</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45349</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45349</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45349</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45349</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45349</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45349</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45349</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45349</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45349</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45349</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45349</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45349</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45349</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45349</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45349</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45349</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45349</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45349</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45349</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45349</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45349</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45349</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45349</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45349</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45349</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45349</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45349</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45349</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45349</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45349</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45349</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45349</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45349</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45349</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45349</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45349</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45349</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45349</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45349</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45349</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45349</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45349</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45349</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45349</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45349</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45349</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45349</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45349</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45349</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45349</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45349</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45349</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45349</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45349</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45349</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45349</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45349</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45349</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45349</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45349</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45349</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45349</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45349</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45349</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45349</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45349</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45349</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45349</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45349</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45349</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45349</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45349</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45349</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45349</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45349</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45349</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45349</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45349</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45349</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45349</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45349</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45349</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45349</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45349</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45349</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45349</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45349</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45349</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45349</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45349</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45349</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45349</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45349</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45349</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45349</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45349</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45349</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45349</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45349</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45349</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45349</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45349</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45349</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45349</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45349</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45349</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45349</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45349</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45349</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45349</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45349</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45349</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45349</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45349</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45349</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45349</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45349</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45349</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45349</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45349</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45349</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45349</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45349</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45349</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45349</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45349</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45349</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45349</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45349</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45349</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45349</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45349</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45349</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45349</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45349</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45349</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45349</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45349</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45349</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45349</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45349</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45349</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45349</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45349</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45349</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45349</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45349</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45349</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45349</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45349</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45349</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45349</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45349</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45349</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45349</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45349</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45349</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45349</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45349</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45349</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45349</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45349</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45349</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45349</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45349</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45349</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45349</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45349</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45349</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45349</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45349</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45349</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45349</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45349</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45349</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45349</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45349</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45349</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45349</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45349</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45349</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45349</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45349</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45349</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45349</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45349</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45349</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45349</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45349</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45349</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45349</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45349</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45349</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45349</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45349</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45349</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45349</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45349</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45349</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45349</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45349</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45349</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45349</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45349</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45349</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45349</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45349</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45349</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45349</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45349</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45349</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45349</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45349</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45349</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45349</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45349</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45349</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45349</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45349</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45349</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45349</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45349</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45349</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45349</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45349</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45349</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45349</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45349</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45349</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45349</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45349</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45349</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45349</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45349</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45349</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45349</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45349</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45349</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45349</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45349</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45349</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45349</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45349</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45349</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45349</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45349</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45349</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45349</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45349</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45349</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45349</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45349</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45349</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45349</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45349</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45349</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45349</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45349</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45349</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45349</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45349</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45349</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45349</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45349</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45349</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45349</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45349</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45349</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45349</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45349</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45349</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45349</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45349</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45349</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45349</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45349</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45349</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45349</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45349</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45349</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45349</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45349</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45349</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45349</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45349</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45349</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45349</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45349</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45349</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45349</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45349</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45349</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45349</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45349</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45349</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45349</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45349</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45349</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45349</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45349</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45349</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45349</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45349</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45349</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45349</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45349</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45349</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45349</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45349</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45349</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45349</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45349</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45349</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45349</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45349</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45349</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45349</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45349</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45349</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45349</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45349</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45349</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45349</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45349</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45349</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45349</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45349</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45349</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45349</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45349</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45349</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45349</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45349</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45349</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45349</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45349</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45349</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45349</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45349</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45349</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45349</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45349</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45349</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45349</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45349</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45349</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45349</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45349</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45349</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45349</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45349</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45349</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45349</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45349</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45349</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45349</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45349</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45349</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45349</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45349</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45349</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45349</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45349</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45349</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45349</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45349</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45349</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45349</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45349</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45349</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45349</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45349</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45349</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45349</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45349</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45349</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45349</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45349</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45349</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45349</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45349</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45349</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45349</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45349</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45349</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45349</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45349</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45349</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45349</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45349</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45349</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45349</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45349</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45349</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45349</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45349</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45349</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45349</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45349</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45349</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45349</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45349</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45349</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45349</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45349</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45349</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45349</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45349</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45349</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45349</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45349</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45349</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45349</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45349</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45349</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45349</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45349</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45349</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45349</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45349</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45349</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45349</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45349</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45349</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45349</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45349</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45349</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45349</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45349</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45349</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45349</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45349</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45349</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45349</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45349</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45349</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45349</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45349</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45349</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45349</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45349</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45349</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45349</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45349</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45349</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45349</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45349</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45349</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45349</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45349</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45349</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45349</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45349</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45349</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45349</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45349</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45349</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45349</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45349</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45349</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45349</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45349</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45349</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45349</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45349</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45349</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45349</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45349</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45349</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45349</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45349</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45349</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45349</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45349</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45349</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45349</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45349</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45349</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45349</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45349</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45349</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45349</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45349</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45349</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45349</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45349</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45349</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45349</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45349</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45349</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45349</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45349</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45349</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45349</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45349</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45349</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45349</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45349</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45349</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45349</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45349</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45349</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45349</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45349</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45349</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45349</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45349</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45349</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45349</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45349</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45349</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45349</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45349</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45349</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45349</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45349</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45349</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45349</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45349</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45349</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45349</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45349</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45349</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45349</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45349</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45349</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45349</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45349</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45349</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45349</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45349</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45349</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45349</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45349</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45349</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45349</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45349</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45349</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45349</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45349</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45349</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45349</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45349</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45349</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45349</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45349</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45349</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45349</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45349</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45349</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45349</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45349</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45349</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45349</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45349</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45349</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45349</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45349</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45349</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45349</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45349</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45349</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45349</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45349</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45349</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45349</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45349</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45349</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45349</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45349</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45349</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45349</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45349</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45349</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45349</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45349</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45349</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45349</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45349</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45349</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45349</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45349</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45349</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45349</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45349</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45349</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45349</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45349</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45349</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45349</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45349</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45349</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45349</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45349</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45349</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45349</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45349</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45349</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45349</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45349</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45349</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45349</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45349</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45349</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45349</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45349</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45349</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45349</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45349</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45349</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45349</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45349</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45349</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45349</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45349</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45349</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45349</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45349</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45349</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45349</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45349</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45349</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45349</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45349</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45349</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45349</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45349</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45349</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45349</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45349</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45349</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45349</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45349</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45349</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45349</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45349</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45349</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45349</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45349</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45349</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45349</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45349</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45349</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45349</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45349</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45349</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45349</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45349</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45349</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45349</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45349</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45349</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45349</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45349</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45349</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45349</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45349</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45349</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45349</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45349</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45349</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45349</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45349</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45349</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45349</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45349</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45349</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45349</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45349</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45349</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45349</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45349</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45349</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45349</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45349</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45349</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45349</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45349</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45349</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45349</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45349</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45349</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45349</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45349</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45349</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45349</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45349</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45349</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45349</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45349</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45349</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45349</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45349</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45349</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45349</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45349</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45349</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45349</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45349</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45349</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45349</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45349</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45349</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45349</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45349</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45349</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45349</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45349</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45349</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45349</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45349</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45349</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45349</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45349</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45349</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45349</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45349</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45349</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45349</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45349</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45349</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45349</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45349</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45349</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45349</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45349</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45349</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45349</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45349</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45349</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45349</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45349</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45349</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45349</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45349</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45349</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45349</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45349</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45349</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45349</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45349</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45349</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45349</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45349</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45349</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45349</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45349</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45349</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45349</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45349</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45349</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45349</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45349</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45349</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45349</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45349</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45349</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45349</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45349</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45349</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45349</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45349</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45349</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45349</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45349</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45349</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45349</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45349</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45349</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45349</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45349</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45349</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45349</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45349</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45349</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45349</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45349</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45349</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45349</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45349</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45349</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45349</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45349</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45349</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45349</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45349</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45349</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45349</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45349</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45349</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45349</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45349</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45349</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45349</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45349</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45349</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45349</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45349</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45349</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45349</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45349</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45349</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45349</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45349</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45349</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45349</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45349</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45349</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45349</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45349</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45349</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45349</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45349</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45349</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45349</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45349</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45349</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45349</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45349</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45349</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45349</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45349</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45349</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45349</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45349</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45349</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45349</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45349</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45349</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45349</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45349</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45349</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45349</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45349</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45349</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45349</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45349</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45349</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45349</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45349</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45349</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45349</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45349</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45349</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45349</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45349</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45349</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45349</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45349</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45349</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45349</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45349</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45349</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45349</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45349</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45349</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45349</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45349</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45349</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45349</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45349</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45349</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45349</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45349</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45349</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45349</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45349</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45349</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45349</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45349</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45349</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45349</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45349</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45349</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45349</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45349</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45349</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45349</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45349</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45349</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45349</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45349</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45349</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45349</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45349</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45349</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45349</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45349</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45349</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45349</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45349</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45349</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45349</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45349</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45349</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45349</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45349</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45349</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45349</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45349</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45349</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45349</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45349</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45349</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45349</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45349</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45349</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45349</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45349</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45349</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45349</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45349</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45349</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45349</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45349</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45349</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45349</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45349</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45349</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45349</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45349</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45349</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45349</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45349</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45349</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45349</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45349</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45349</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45349</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45349</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45349</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45349</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45349</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45349</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45349</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45349</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45349</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45349</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45349</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45349</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45349</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45349</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45349</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45349</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45349</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45349</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45349</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45349</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45349</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45349</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45349</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45349</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45349</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45349</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45349</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45349</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45349</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45349</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45349</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45349</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45349</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45349</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45349</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45349</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45349</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45349</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45349</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45349</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45349</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45349</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45349</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45349</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45349</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45349</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45349</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45349</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45349</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45349</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45349</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45349</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45349</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45349</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45349</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45349</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45349</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45349</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45349</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45349</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45349</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45349</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45349</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45349</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45349</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45349</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45349</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45349</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45349</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45349</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45349</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45349</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45349</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45349</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45349</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45349</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45349</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45349</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45349</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45349</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45349</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45349</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45349</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45349</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45349</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45349</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45349</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45349</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45349</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45349</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45349</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45349</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45349</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45349</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45349</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45349</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45349</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45349</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45349</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45349</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45349</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45349</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45349</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45349</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45349</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45349</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45349</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45349</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45349</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45349</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45349</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45349</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45349</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45349</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45349</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45349</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45349</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45349</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45349</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45349</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45349</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45349</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45349</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45349</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45349</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45349</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45349</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45349</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45349</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45349</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45349</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45349</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45349</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45349</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45349</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45349</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45349</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45349</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45349</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45349</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45349</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45349</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45349</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45349</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45349</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45349</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45349</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45349</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45349</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45349</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45349</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45349</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45349</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45349</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45349</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45349</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45349</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45349</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45349</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45349</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45349</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45349</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45349</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45349</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45349</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45349</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45349</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45349</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45349</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45349</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45349</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45349</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45349</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45349</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45349</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45349</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45349</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45349</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45349</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45349</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45349</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45349</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45349</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45349</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45349</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45349</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45349</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45349</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45349</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45349</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45349</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45349</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45349</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45349</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45349</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45349</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45349</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45349</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45349</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45349</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45349</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45349</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45349</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45349</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45349</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45349</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45349</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45349</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45349</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45349</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45349</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45349</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45349</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45349</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45349</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45349</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45349</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45349</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45349</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45349</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45349</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45349</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45349</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45349</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45349</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45349</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45349</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45349</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45349</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45349</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45349</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45349</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45349</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45349</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45349</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45349</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45349</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45349</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45349</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45349</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45349</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45349</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45349</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45349</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45349</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45349</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45349</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45349</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45349</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45349</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45349</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45349</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45349</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45349</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45349</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45349</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45349</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45349</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45349</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45349</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45349</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45349</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45349</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45349</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45349</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45349</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45349</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45349</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45349</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45349</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45349</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45349</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45349</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45349</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45349</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45349</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45349</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45349</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45349</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45349</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45349</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45349</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45349</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45349</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45349</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45349</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45349</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45349</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45349</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45349</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45349</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45349</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45349</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45349</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45349</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45349</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45349</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45349</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45349</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45349</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45349</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45349</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45349</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45349</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45349</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45349</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45349</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45349</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45349</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45349</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45349</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45349</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45349</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45349</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45349</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45349</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45349</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45349</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45349</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45349</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45349</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45349</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45349</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45349</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45349</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45349</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45349</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45349</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45349</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45349</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45349</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45349</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45349</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45349</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45349</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45349</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45349</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45349</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45349</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45349</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45349</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45349</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45349</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45349</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45349</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45349</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45349</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45349</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45349</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45349</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45349</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45349</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45349</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45349</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45349</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45349</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45349</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45349</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45349</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45349</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45349</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45349</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45349</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45349</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45349</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45349</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45349</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45349</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45349</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45349</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45349</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45349</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45349</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45349</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45349</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45349</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45349</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45349</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45349</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45349</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45349</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45349</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45349</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45349</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45349</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45349</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45349</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45349</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45349</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45349</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45349</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45349</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45349</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45349</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45349</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45349</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45349</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45349</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45349</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45349</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45349</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45349</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45349</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45349</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45349</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45349</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45349</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45349</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45349</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45349</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45349</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45349</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45349</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45349</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45349</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45349</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45349</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45349</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45349</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45349</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45349</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45349</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45349</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45349</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45349</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45349</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45349</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45349</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45349</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45349</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45349</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45349</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45349</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45349</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45349</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45349</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45349</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45349</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45349</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45349</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45349</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45349</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45349</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45349</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45349</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45349</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45349</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45349</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45349</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45349</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45349</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45349</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45349</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45349</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45349</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45349</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45349</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45349</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45349</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45349</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45349</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45349</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45349</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45349</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45349</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45349</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45349</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45349</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45349</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45349</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45349</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45349</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45349</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45349</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45349</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45349</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45349</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45349</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45349</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45349</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45349</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45349</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45349</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45349</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45349</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45349</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45349</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45349</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45349</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45349</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45349</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45349</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45349</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45349</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45349</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45349</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45349</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45349</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45349</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45349</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45349</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45349</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45349</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45349</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45349</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45349</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45349</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45349</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45349</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45349</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45349</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45349</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45349</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45349</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45349</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45349</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45349</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45349</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45349</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45349</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45349</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45349</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45349</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45349</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45349</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45349</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45349</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45349</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45349</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45349</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45349</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45349</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45349</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45349</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45349</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45349</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45349</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45349</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45349</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45349</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45349</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45349</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45349</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45349</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45349</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45349</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45349</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45349</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45349</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45349</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45349</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45349</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45349</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45349</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45349</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45349</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45349</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45349</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45349</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45349</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45349</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45349</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45349</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45349</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45349</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45349</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45349</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45349</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45349</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45349</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45349</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45349</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45349</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45349</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45349</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45349</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45349</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45349</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45349</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45349</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45349</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45349</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45349</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45349</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45349</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45349</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45349</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45349</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45349</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45349</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45349</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45349</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45349</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45349</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45349</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45349</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45349</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45349</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45349</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45349</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45349</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45349</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45349</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45349</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45349</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45349</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45349</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45349</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45349</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45349</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45349</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45349</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45349</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45349</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45349</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45349</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45349</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45349</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45349</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45349</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45349</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45349</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45349</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45349</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45349</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45349</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45349</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45349</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45349</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45349</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45349</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45349</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45349</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45349</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45349</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45349</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45349</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45349</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45349</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45349</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45349</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45349</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45349</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45349</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45349</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45349</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45349</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45349</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45349</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45349</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45349</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45349</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45349</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45349</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45349</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45349</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45349</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45349</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45349</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45349</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45349</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45349</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45349</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45349</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45349</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45349</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45349</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45349</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45349</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45349</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45349</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45349</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45349</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45349</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45349</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45349</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45349</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45349</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45349</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45349</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45349</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45349</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45349</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45349</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45349</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45349</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45349</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45349</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45349</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45349</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45349</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45349</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45349</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45349</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45349</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45349</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45349</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45349</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45349</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45349</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45349</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45349</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45349</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45349</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45349</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45349</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45349</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45349</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45349</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45349</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45349</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45349</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45349</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45349</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45349</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45349</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45349</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45349</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45349</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45349</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45349</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45349</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45349</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45349</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45349</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45349</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45349</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45349</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45349</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45349</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45349</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45349</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45349</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45349</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45349</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45349</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45349</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45349</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45349</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45349</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45349</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45349</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45349</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45349</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45349</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45349</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45349</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45349</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45349</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45349</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45349</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45349</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45349</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45349</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45349</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45349</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45349</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45349</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45349</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45349</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45349</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45349</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45349</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45349</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45349</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45349</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45349</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45349</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45349</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45349</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45349</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45349</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45349</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45349</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45349</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45349</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45349</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45349</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45349</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45349</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45349</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45349</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45349</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45349</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45349</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45349</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45349</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45349</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45349</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45349</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45349</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45349</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45349</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45349</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45349</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45349</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45349</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45349</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45349</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45349</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45349</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45349</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45349</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45349</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45349</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45349</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45349</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45349</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45349</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45349</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45349</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45349</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45349</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45349</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45349</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45349</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45349</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45349</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45349</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45349</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45349</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45349</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45349</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45349</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45349</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45349</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45349</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45349</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45349</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45349</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45349</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45349</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45349</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45349</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45349</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45349</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45349</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45349</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45349</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45349</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45349</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45349</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45349</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45349</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45349</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45349</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45349</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45349</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45349</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45349</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45349</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45349</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45349</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45349</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45349</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45349</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45349</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45349</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45349</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45349</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45349</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45349</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45349</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45349</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45349</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45349</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45349</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45349</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45349</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45349</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45349</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45349</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45349</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45349</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45349</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45349</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45349</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45349</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45349</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45349</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45349</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45349</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45349</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45349</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45349</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45349</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45349</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45349</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45349</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45349</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45349</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45349</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45349</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45349</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45349</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45349</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45349</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45349</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45349</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45349</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45349</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45349</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45349</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45349</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45349</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45349</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45349</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45349</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45349</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45349</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45349</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45349</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45349</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45349</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45349</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45349</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45349</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45349</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45349</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45349</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45349</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45349</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45349</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45349</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45349</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45349</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45349</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45349</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45349</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45349</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45349</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45349</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45349</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45349</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45349</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45349</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45349</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45349</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45349</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45349</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45349</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45349</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45349</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45349</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45349</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45349</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45349</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45349</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45349</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45349</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45349</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45349</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45349</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45349</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45349</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45349</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45349</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45349</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45349</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45349</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45349</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45349</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45349</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45349</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45349</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45349</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45349</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45349</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45349</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45349</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45349</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45349</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45349</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45349</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45349</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45349</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45349</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45349</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45349</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45349</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45349</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45349</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45349</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45349</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45349</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45349</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45349</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45349</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45349</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45349</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45349</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45349</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45349</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45349</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45349</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45349</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45349</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45349</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45349</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45349</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45349</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45349</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45349</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45349</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45349</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45349</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45349</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45349</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45349</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45349</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45349</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45349</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45349</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45349</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45349</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45349</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45349</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45349</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45349</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45349</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45349</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45349</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45349</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45349</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45349</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45349</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45349</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45349</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45349</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45349</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45349</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45349</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45349</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45349</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45349</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45349</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45349</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45349</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45349</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45349</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45349</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45349</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45349</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45349</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45349</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45349</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45349</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45349</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45349</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45349</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45349</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45349</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45349</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45349</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45349</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45349</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45349</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45349</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45349</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45349</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45349</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45349</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45349</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45349</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45349</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45349</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45349</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45349</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45349</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45349</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45349</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45349</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45349</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45349</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45349</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45349</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45349</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45349</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45349</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45349</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45349</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45349</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45349</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45349</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45349</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45349</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45349</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45349</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45349</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45349</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45349</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45349</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45349</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45349</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45349</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45349</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45349</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45349</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45349</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45349</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45349</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45349</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45349</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45349</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45349</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45349</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45349</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45349</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45349</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45349</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45349</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45349</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45349</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45349</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45349</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45349</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45349</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45349</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45349</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45349</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45349</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45349</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45349</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45349</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45349</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45349</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45349</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45349</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45349</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45349</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45349</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45349</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45349</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45349</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45349</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45349</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45349</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45349</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45349</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45349</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45349</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45349</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45349</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45349</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45349</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45349</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45349</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45349</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45349</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45349</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45349</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45349</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45349</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45349</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45349</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45349</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45349</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45349</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45349</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45349</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45349</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45349</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45349</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45349</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45349</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45349</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45349</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45349</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45349</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45349</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45349</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45349</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45349</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45349</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45349</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45349</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45349</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45349</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45349</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45349</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45349</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45349</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45349</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45349</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45349</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45349</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45349</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45349</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45349</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45349</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45349</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45349</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45349</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45349</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45349</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45349</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45349</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45349</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45349</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45349</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45349</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45349</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45349</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45349</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45349</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45349</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45349</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45349</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45349</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45349</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45349</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45349</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45349</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45349</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45349</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45349</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45349</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45349</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45349</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45349</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45349</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45349</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45349</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45349</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45349</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45349</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45349</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45349</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45349</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45349</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45349</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45349</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45349</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45349</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45349</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45349</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45349</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45349</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45349</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45349</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45349</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45349</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45349</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45349</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45349</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45349</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45349</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45349</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45349</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45349</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45349</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45349</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45349</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45349</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45349</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45349</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45349</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45349</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45349</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45349</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45349</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45349</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45349</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45349</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45349</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45349</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45349</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45349</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45349</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45349</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45349</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45349</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45349</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45349</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45349</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45349</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45349</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45349</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45349</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45349</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45349</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45349</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45349</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45349</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45349</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45349</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45349</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45349</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45349</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45349</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45349</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45349</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45349</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45349</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45349</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45349</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45349</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45349</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45349</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45349</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45349</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45349</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45349</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45349</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45349</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45349</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45349</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45349</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45349</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45349</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45349</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45349</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45349</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45349</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45349</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45349</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45349</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45349</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45349</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45349</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45349</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45349</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45349</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45349</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45349</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45349</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45349</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45349</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45349</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45349</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45349</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45349</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45349</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45349</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45349</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45349</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45349</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45349</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45349</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45349</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45349</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45349</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45349</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45349</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45349</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45349</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45349</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45349</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45349</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45349</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45349</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45349</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45349</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45349</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45349</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45349</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45349</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45349</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45349</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45349</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45349</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45349</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45349</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45349</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45349</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45349</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45349</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45349</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45349</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45349</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45349</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45349</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45349</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45349</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45349</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45349</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45349</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45349</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45349</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45349</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45349</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45349</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45349</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45349</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45349</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45349</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45349</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45349</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45349</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45349</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45349</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45349</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45349</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45349</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45349</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45349</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45349</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45349</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45349</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45349</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45349</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45349</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45349</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45349</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45349</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45349</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45349</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45349</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45349</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45349</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45349</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45349</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45349</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45349</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45349</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45349</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45349</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45349</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45349</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45349</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45349</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45349</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45349</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45349</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45349</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45349</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45349</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45349</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45349</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45349</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45349</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45349</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45349</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45349</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45349</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45349</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45349</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45349</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45349</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45349</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45349</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45349</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45349</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45349</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45349</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45349</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45349</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45349</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45349</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45349</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45349</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45349</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45349</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45349</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45349</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45349</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45349</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45349</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45349</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45349</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45349</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45349</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45349</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45349</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45349</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45349</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45349</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45349</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45349</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45349</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45349</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45349</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45349</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45349</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45349</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45349</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45349</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45349</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45349</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45349</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45349</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45349</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45349</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45349</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45349</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45349</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45349</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45349</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45349</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45349</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45349</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45349</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45349</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45349</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45349</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45349</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45349</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45349</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45349</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45349</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45349</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45349</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45349</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45349</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45349</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45349</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45349</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45349</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45349</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45349</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45349</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45349</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45349</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45349</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45349</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45349</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45349</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45349</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45349</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45349</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45349</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45349</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45349</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45349</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45349</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45349</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45349</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45349</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45349</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45349</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45349</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45349</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45349</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45349</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45349</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45349</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45349</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45349</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45349</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45349</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45349</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45349</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45349</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45349</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45349</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45349</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45349</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45349</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45349</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45349</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45349</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45349</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45349</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45349</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45349</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45349</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45349</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45349</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45349</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45349</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45349</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45349</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45349</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45349</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45349</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45349</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45349</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45349</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45349</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45349</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45349</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45349</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45349</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45349</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45349</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45349</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45349</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45349</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45349</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45349</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45349</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45349</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45349</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45349</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45349</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45349</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45349</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45349</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45349</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45349</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45349</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45349</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45349</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45349</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45349</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45349</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45349</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45349</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45349</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45349</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45349</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45349</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45349</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45349</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45349</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45349</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45349</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45349</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45349</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45349</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45349</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45349</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45349</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45349</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45349</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45349</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45349</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45349</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45349</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45349</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45349</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45349</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45349</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45349</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45349</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45349</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45349</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45349</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45349</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45349</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45349</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45349</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45349</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45349</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45349</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45349</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45349</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45349</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45349</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45349</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45349</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45349</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45349</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45349</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45349</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45349</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45349</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45349</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45349</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45349</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45349</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45349</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45349</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45349</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45349</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45349</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45349</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45349</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45349</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45349</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45349</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45349</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45349</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45349</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45349</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45349</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45349</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45349</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45349</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45349</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45349</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45349</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45349</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45349</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45349</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45349</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45349</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45349</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45349</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45349</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45349</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45349</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45349</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45349</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45349</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45349</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45349</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45349</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45349</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45349</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45349</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45349</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45349</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45349</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45349</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45349</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45349</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45349</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45349</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45349</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45349</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45349</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45349</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45349</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45349</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45349</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45349</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45349</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45349</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45349</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45349</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45349</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45349</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45349</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45349</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45349</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45349</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45349</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45349</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45349</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45349</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45349</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45349</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45349</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45349</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45349</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45349</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45349</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45349</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45349</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45349</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45349</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45349</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45349</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45349</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45349</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45349</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45349</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45349</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45349</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45349</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45349</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45349</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45349</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45349</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45349</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45349</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45349</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45349</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45349</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45349</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45349</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45349</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45349</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45349</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45349</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45349</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45349</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45349</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45349</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45349</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45349</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45349</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45349</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45349</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45349</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45349</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45349</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45349</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45349</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45349</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45349</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45349</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45349</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45349</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45349</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45349</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45349</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45349</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45349</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45349</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45349</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45349</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45349</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45349</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45349</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45349</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45349</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45349</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45349</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45349</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45349</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45349</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45349</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45349</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45349</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45349</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45349</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45349</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45349</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45349</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45349</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45349</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45349</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45349</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45349</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45349</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45349</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45349</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45349</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45349</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45349</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45349</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45349</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45349</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45349</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45349</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45349</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45349</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45349</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45349</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45349</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45349</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45349</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45349</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45349</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45349</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45349</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45349</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45349</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45349</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45349</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45349</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45349</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45349</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45349</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45349</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45349</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45349</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45349</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45349</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45349</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45349</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45349</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45349</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45349</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45349</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45349</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45349</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45349</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45349</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45349</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45349</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45349</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45349</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45349</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45349</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45349</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45349</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45349</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45349</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45349</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45349</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45349</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45349</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45349</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45349</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45349</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45349</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45349</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45349</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45349</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45349</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45349</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45349</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45349</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45349</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45349</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45349</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45349</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45349</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45349</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45349</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45349</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45349</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45349</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45349</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45349</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45349</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45349</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45349</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45349</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45349</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45349</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45349</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45349</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45349</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45349</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45349</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45349</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45349</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45349</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45349</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45349</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45349</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45349</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45349</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45349</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45349</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45349</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45349</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45349</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45349</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45349</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45349</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45349</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45349</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45349</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45349</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45349</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3985-2024</t>
        </is>
      </c>
      <c r="B8171" s="1" t="n">
        <v>45322</v>
      </c>
      <c r="C8171" s="1" t="n">
        <v>45349</v>
      </c>
      <c r="D8171" t="inlineStr">
        <is>
          <t>NORRBOTTENS LÄN</t>
        </is>
      </c>
      <c r="E8171" t="inlineStr">
        <is>
          <t>LULEÅ</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3984-2024</t>
        </is>
      </c>
      <c r="B8172" s="1" t="n">
        <v>45322</v>
      </c>
      <c r="C8172" s="1" t="n">
        <v>45349</v>
      </c>
      <c r="D8172" t="inlineStr">
        <is>
          <t>NORRBOTTENS LÄN</t>
        </is>
      </c>
      <c r="E8172" t="inlineStr">
        <is>
          <t>ÄLVSBYN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45349</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4114-2024</t>
        </is>
      </c>
      <c r="B8174" s="1" t="n">
        <v>45323</v>
      </c>
      <c r="C8174" s="1" t="n">
        <v>45349</v>
      </c>
      <c r="D8174" t="inlineStr">
        <is>
          <t>NORRBOTTENS LÄN</t>
        </is>
      </c>
      <c r="E8174" t="inlineStr">
        <is>
          <t>ÖVERKALIX</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4109-2024</t>
        </is>
      </c>
      <c r="B8175" s="1" t="n">
        <v>45323</v>
      </c>
      <c r="C8175" s="1" t="n">
        <v>45349</v>
      </c>
      <c r="D8175" t="inlineStr">
        <is>
          <t>NORRBOTTENS LÄN</t>
        </is>
      </c>
      <c r="E8175" t="inlineStr">
        <is>
          <t>GÄLLIVARE</t>
        </is>
      </c>
      <c r="F8175" t="inlineStr">
        <is>
          <t>Sveaskog</t>
        </is>
      </c>
      <c r="G8175" t="n">
        <v>32.7</v>
      </c>
      <c r="H8175" t="n">
        <v>0</v>
      </c>
      <c r="I8175" t="n">
        <v>0</v>
      </c>
      <c r="J8175" t="n">
        <v>0</v>
      </c>
      <c r="K8175" t="n">
        <v>0</v>
      </c>
      <c r="L8175" t="n">
        <v>0</v>
      </c>
      <c r="M8175" t="n">
        <v>0</v>
      </c>
      <c r="N8175" t="n">
        <v>0</v>
      </c>
      <c r="O8175" t="n">
        <v>0</v>
      </c>
      <c r="P8175" t="n">
        <v>0</v>
      </c>
      <c r="Q8175" t="n">
        <v>0</v>
      </c>
      <c r="R8175" s="2" t="inlineStr"/>
    </row>
    <row r="8176" ht="15" customHeight="1">
      <c r="A8176" t="inlineStr">
        <is>
          <t>A 4122-2024</t>
        </is>
      </c>
      <c r="B8176" s="1" t="n">
        <v>45323</v>
      </c>
      <c r="C8176" s="1" t="n">
        <v>45349</v>
      </c>
      <c r="D8176" t="inlineStr">
        <is>
          <t>NORRBOTTENS LÄN</t>
        </is>
      </c>
      <c r="E8176" t="inlineStr">
        <is>
          <t>PITEÅ</t>
        </is>
      </c>
      <c r="F8176" t="inlineStr">
        <is>
          <t>Sveaskog</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4129-2024</t>
        </is>
      </c>
      <c r="B8177" s="1" t="n">
        <v>45323</v>
      </c>
      <c r="C8177" s="1" t="n">
        <v>45349</v>
      </c>
      <c r="D8177" t="inlineStr">
        <is>
          <t>NORRBOTTENS LÄN</t>
        </is>
      </c>
      <c r="E8177" t="inlineStr">
        <is>
          <t>PITEÅ</t>
        </is>
      </c>
      <c r="F8177" t="inlineStr">
        <is>
          <t>Sveaskog</t>
        </is>
      </c>
      <c r="G8177" t="n">
        <v>37.1</v>
      </c>
      <c r="H8177" t="n">
        <v>0</v>
      </c>
      <c r="I8177" t="n">
        <v>0</v>
      </c>
      <c r="J8177" t="n">
        <v>0</v>
      </c>
      <c r="K8177" t="n">
        <v>0</v>
      </c>
      <c r="L8177" t="n">
        <v>0</v>
      </c>
      <c r="M8177" t="n">
        <v>0</v>
      </c>
      <c r="N8177" t="n">
        <v>0</v>
      </c>
      <c r="O8177" t="n">
        <v>0</v>
      </c>
      <c r="P8177" t="n">
        <v>0</v>
      </c>
      <c r="Q8177" t="n">
        <v>0</v>
      </c>
      <c r="R8177" s="2" t="inlineStr"/>
    </row>
    <row r="8178" ht="15" customHeight="1">
      <c r="A8178" t="inlineStr">
        <is>
          <t>A 4137-2024</t>
        </is>
      </c>
      <c r="B8178" s="1" t="n">
        <v>45323</v>
      </c>
      <c r="C8178" s="1" t="n">
        <v>45349</v>
      </c>
      <c r="D8178" t="inlineStr">
        <is>
          <t>NORRBOTTENS LÄN</t>
        </is>
      </c>
      <c r="E8178" t="inlineStr">
        <is>
          <t>LULEÅ</t>
        </is>
      </c>
      <c r="G8178" t="n">
        <v>13.1</v>
      </c>
      <c r="H8178" t="n">
        <v>0</v>
      </c>
      <c r="I8178" t="n">
        <v>0</v>
      </c>
      <c r="J8178" t="n">
        <v>0</v>
      </c>
      <c r="K8178" t="n">
        <v>0</v>
      </c>
      <c r="L8178" t="n">
        <v>0</v>
      </c>
      <c r="M8178" t="n">
        <v>0</v>
      </c>
      <c r="N8178" t="n">
        <v>0</v>
      </c>
      <c r="O8178" t="n">
        <v>0</v>
      </c>
      <c r="P8178" t="n">
        <v>0</v>
      </c>
      <c r="Q8178" t="n">
        <v>0</v>
      </c>
      <c r="R8178" s="2" t="inlineStr"/>
    </row>
    <row r="8179" ht="15" customHeight="1">
      <c r="A8179" t="inlineStr">
        <is>
          <t>A 4049-2024</t>
        </is>
      </c>
      <c r="B8179" s="1" t="n">
        <v>45323</v>
      </c>
      <c r="C8179" s="1" t="n">
        <v>45349</v>
      </c>
      <c r="D8179" t="inlineStr">
        <is>
          <t>NORRBOTTENS LÄN</t>
        </is>
      </c>
      <c r="E8179" t="inlineStr">
        <is>
          <t>PITEÅ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4053-2024</t>
        </is>
      </c>
      <c r="B8180" s="1" t="n">
        <v>45323</v>
      </c>
      <c r="C8180" s="1" t="n">
        <v>45349</v>
      </c>
      <c r="D8180" t="inlineStr">
        <is>
          <t>NORRBOTTENS LÄN</t>
        </is>
      </c>
      <c r="E8180" t="inlineStr">
        <is>
          <t>BODEN</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4091-2024</t>
        </is>
      </c>
      <c r="B8181" s="1" t="n">
        <v>45323</v>
      </c>
      <c r="C8181" s="1" t="n">
        <v>45349</v>
      </c>
      <c r="D8181" t="inlineStr">
        <is>
          <t>NORRBOTTENS LÄN</t>
        </is>
      </c>
      <c r="E8181" t="inlineStr">
        <is>
          <t>GÄLLIVARE</t>
        </is>
      </c>
      <c r="F8181" t="inlineStr">
        <is>
          <t>Sveaskog</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4111-2024</t>
        </is>
      </c>
      <c r="B8182" s="1" t="n">
        <v>45323</v>
      </c>
      <c r="C8182" s="1" t="n">
        <v>45349</v>
      </c>
      <c r="D8182" t="inlineStr">
        <is>
          <t>NORRBOTTENS LÄN</t>
        </is>
      </c>
      <c r="E8182" t="inlineStr">
        <is>
          <t>ÖVERKALIX</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4115-2024</t>
        </is>
      </c>
      <c r="B8183" s="1" t="n">
        <v>45323</v>
      </c>
      <c r="C8183" s="1" t="n">
        <v>45349</v>
      </c>
      <c r="D8183" t="inlineStr">
        <is>
          <t>NORRBOTTENS LÄN</t>
        </is>
      </c>
      <c r="E8183" t="inlineStr">
        <is>
          <t>LULEÅ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4123-2024</t>
        </is>
      </c>
      <c r="B8184" s="1" t="n">
        <v>45323</v>
      </c>
      <c r="C8184" s="1" t="n">
        <v>45349</v>
      </c>
      <c r="D8184" t="inlineStr">
        <is>
          <t>NORRBOTTENS LÄN</t>
        </is>
      </c>
      <c r="E8184" t="inlineStr">
        <is>
          <t>LULEÅ</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4127-2024</t>
        </is>
      </c>
      <c r="B8185" s="1" t="n">
        <v>45323</v>
      </c>
      <c r="C8185" s="1" t="n">
        <v>45349</v>
      </c>
      <c r="D8185" t="inlineStr">
        <is>
          <t>NORRBOTTENS LÄN</t>
        </is>
      </c>
      <c r="E8185" t="inlineStr">
        <is>
          <t>PITEÅ</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45349</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45349</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4245-2024</t>
        </is>
      </c>
      <c r="B8188" s="1" t="n">
        <v>45324</v>
      </c>
      <c r="C8188" s="1" t="n">
        <v>45349</v>
      </c>
      <c r="D8188" t="inlineStr">
        <is>
          <t>NORRBOTTENS LÄN</t>
        </is>
      </c>
      <c r="E8188" t="inlineStr">
        <is>
          <t>PITEÅ</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4232-2024</t>
        </is>
      </c>
      <c r="B8189" s="1" t="n">
        <v>45324</v>
      </c>
      <c r="C8189" s="1" t="n">
        <v>45349</v>
      </c>
      <c r="D8189" t="inlineStr">
        <is>
          <t>NORRBOTTENS LÄN</t>
        </is>
      </c>
      <c r="E8189" t="inlineStr">
        <is>
          <t>PITEÅ</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4242-2024</t>
        </is>
      </c>
      <c r="B8190" s="1" t="n">
        <v>45324</v>
      </c>
      <c r="C8190" s="1" t="n">
        <v>45349</v>
      </c>
      <c r="D8190" t="inlineStr">
        <is>
          <t>NORRBOTTENS LÄN</t>
        </is>
      </c>
      <c r="E8190" t="inlineStr">
        <is>
          <t>PITEÅ</t>
        </is>
      </c>
      <c r="F8190" t="inlineStr">
        <is>
          <t>Sveaskog</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45349</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4559-2024</t>
        </is>
      </c>
      <c r="B8192" s="1" t="n">
        <v>45327</v>
      </c>
      <c r="C8192" s="1" t="n">
        <v>45349</v>
      </c>
      <c r="D8192" t="inlineStr">
        <is>
          <t>NORRBOTTENS LÄN</t>
        </is>
      </c>
      <c r="E8192" t="inlineStr">
        <is>
          <t>LULEÅ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4553-2024</t>
        </is>
      </c>
      <c r="B8193" s="1" t="n">
        <v>45327</v>
      </c>
      <c r="C8193" s="1" t="n">
        <v>45349</v>
      </c>
      <c r="D8193" t="inlineStr">
        <is>
          <t>NORRBOTTENS LÄN</t>
        </is>
      </c>
      <c r="E8193" t="inlineStr">
        <is>
          <t>LULEÅ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4554-2024</t>
        </is>
      </c>
      <c r="B8194" s="1" t="n">
        <v>45327</v>
      </c>
      <c r="C8194" s="1" t="n">
        <v>45349</v>
      </c>
      <c r="D8194" t="inlineStr">
        <is>
          <t>NORRBOTTENS LÄN</t>
        </is>
      </c>
      <c r="E8194" t="inlineStr">
        <is>
          <t>LULEÅ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4558-2024</t>
        </is>
      </c>
      <c r="B8195" s="1" t="n">
        <v>45327</v>
      </c>
      <c r="C8195" s="1" t="n">
        <v>45349</v>
      </c>
      <c r="D8195" t="inlineStr">
        <is>
          <t>NORRBOTTENS LÄN</t>
        </is>
      </c>
      <c r="E8195" t="inlineStr">
        <is>
          <t>LULEÅ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4636-2024</t>
        </is>
      </c>
      <c r="B8196" s="1" t="n">
        <v>45328</v>
      </c>
      <c r="C8196" s="1" t="n">
        <v>45349</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4692-2024</t>
        </is>
      </c>
      <c r="B8197" s="1" t="n">
        <v>45328</v>
      </c>
      <c r="C8197" s="1" t="n">
        <v>45349</v>
      </c>
      <c r="D8197" t="inlineStr">
        <is>
          <t>NORRBOTTENS LÄN</t>
        </is>
      </c>
      <c r="E8197" t="inlineStr">
        <is>
          <t>LULEÅ</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4627-2024</t>
        </is>
      </c>
      <c r="B8198" s="1" t="n">
        <v>45328</v>
      </c>
      <c r="C8198" s="1" t="n">
        <v>45349</v>
      </c>
      <c r="D8198" t="inlineStr">
        <is>
          <t>NORRBOTTENS LÄN</t>
        </is>
      </c>
      <c r="E8198" t="inlineStr">
        <is>
          <t>LULEÅ</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4643-2024</t>
        </is>
      </c>
      <c r="B8199" s="1" t="n">
        <v>45328</v>
      </c>
      <c r="C8199" s="1" t="n">
        <v>45349</v>
      </c>
      <c r="D8199" t="inlineStr">
        <is>
          <t>NORRBOTTENS LÄN</t>
        </is>
      </c>
      <c r="E8199" t="inlineStr">
        <is>
          <t>LULEÅ</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4690-2024</t>
        </is>
      </c>
      <c r="B8200" s="1" t="n">
        <v>45328</v>
      </c>
      <c r="C8200" s="1" t="n">
        <v>45349</v>
      </c>
      <c r="D8200" t="inlineStr">
        <is>
          <t>NORRBOTTENS LÄN</t>
        </is>
      </c>
      <c r="E8200" t="inlineStr">
        <is>
          <t>ÄLVSBYN</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4731-2024</t>
        </is>
      </c>
      <c r="B8201" s="1" t="n">
        <v>45328</v>
      </c>
      <c r="C8201" s="1" t="n">
        <v>45349</v>
      </c>
      <c r="D8201" t="inlineStr">
        <is>
          <t>NORRBOTTENS LÄN</t>
        </is>
      </c>
      <c r="E8201" t="inlineStr">
        <is>
          <t>PAJALA</t>
        </is>
      </c>
      <c r="F8201" t="inlineStr">
        <is>
          <t>Sveaskog</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4726-2024</t>
        </is>
      </c>
      <c r="B8202" s="1" t="n">
        <v>45328</v>
      </c>
      <c r="C8202" s="1" t="n">
        <v>45349</v>
      </c>
      <c r="D8202" t="inlineStr">
        <is>
          <t>NORRBOTTENS LÄN</t>
        </is>
      </c>
      <c r="E8202" t="inlineStr">
        <is>
          <t>GÄLLIVARE</t>
        </is>
      </c>
      <c r="F8202" t="inlineStr">
        <is>
          <t>Sveaskog</t>
        </is>
      </c>
      <c r="G8202" t="n">
        <v>9.800000000000001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4765-2024</t>
        </is>
      </c>
      <c r="B8203" s="1" t="n">
        <v>45328</v>
      </c>
      <c r="C8203" s="1" t="n">
        <v>45349</v>
      </c>
      <c r="D8203" t="inlineStr">
        <is>
          <t>NORRBOTTENS LÄN</t>
        </is>
      </c>
      <c r="E8203" t="inlineStr">
        <is>
          <t>LULEÅ</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4769-2024</t>
        </is>
      </c>
      <c r="B8204" s="1" t="n">
        <v>45328</v>
      </c>
      <c r="C8204" s="1" t="n">
        <v>45349</v>
      </c>
      <c r="D8204" t="inlineStr">
        <is>
          <t>NORRBOTTENS LÄN</t>
        </is>
      </c>
      <c r="E8204" t="inlineStr">
        <is>
          <t>LULEÅ</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4771-2024</t>
        </is>
      </c>
      <c r="B8205" s="1" t="n">
        <v>45328</v>
      </c>
      <c r="C8205" s="1" t="n">
        <v>45349</v>
      </c>
      <c r="D8205" t="inlineStr">
        <is>
          <t>NORRBOTTENS LÄN</t>
        </is>
      </c>
      <c r="E8205" t="inlineStr">
        <is>
          <t>LULEÅ</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4720-2024</t>
        </is>
      </c>
      <c r="B8206" s="1" t="n">
        <v>45328</v>
      </c>
      <c r="C8206" s="1" t="n">
        <v>45349</v>
      </c>
      <c r="D8206" t="inlineStr">
        <is>
          <t>NORRBOTTENS LÄN</t>
        </is>
      </c>
      <c r="E8206" t="inlineStr">
        <is>
          <t>GÄLLIVARE</t>
        </is>
      </c>
      <c r="F8206" t="inlineStr">
        <is>
          <t>Sveaskog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4768-2024</t>
        </is>
      </c>
      <c r="B8207" s="1" t="n">
        <v>45328</v>
      </c>
      <c r="C8207" s="1" t="n">
        <v>45349</v>
      </c>
      <c r="D8207" t="inlineStr">
        <is>
          <t>NORRBOTTENS LÄN</t>
        </is>
      </c>
      <c r="E8207" t="inlineStr">
        <is>
          <t>LULEÅ</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4937-2024</t>
        </is>
      </c>
      <c r="B8208" s="1" t="n">
        <v>45329</v>
      </c>
      <c r="C8208" s="1" t="n">
        <v>45349</v>
      </c>
      <c r="D8208" t="inlineStr">
        <is>
          <t>NORRBOTTENS LÄN</t>
        </is>
      </c>
      <c r="E8208" t="inlineStr">
        <is>
          <t>ARVIDSJAUR</t>
        </is>
      </c>
      <c r="F8208" t="inlineStr">
        <is>
          <t>Sveaskog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4989-2024</t>
        </is>
      </c>
      <c r="B8209" s="1" t="n">
        <v>45329</v>
      </c>
      <c r="C8209" s="1" t="n">
        <v>45349</v>
      </c>
      <c r="D8209" t="inlineStr">
        <is>
          <t>NORRBOTTENS LÄN</t>
        </is>
      </c>
      <c r="E8209" t="inlineStr">
        <is>
          <t>ARVIDSJAUR</t>
        </is>
      </c>
      <c r="F8209" t="inlineStr">
        <is>
          <t>Sveaskog</t>
        </is>
      </c>
      <c r="G8209" t="n">
        <v>57.4</v>
      </c>
      <c r="H8209" t="n">
        <v>0</v>
      </c>
      <c r="I8209" t="n">
        <v>0</v>
      </c>
      <c r="J8209" t="n">
        <v>0</v>
      </c>
      <c r="K8209" t="n">
        <v>0</v>
      </c>
      <c r="L8209" t="n">
        <v>0</v>
      </c>
      <c r="M8209" t="n">
        <v>0</v>
      </c>
      <c r="N8209" t="n">
        <v>0</v>
      </c>
      <c r="O8209" t="n">
        <v>0</v>
      </c>
      <c r="P8209" t="n">
        <v>0</v>
      </c>
      <c r="Q8209" t="n">
        <v>0</v>
      </c>
      <c r="R8209" s="2" t="inlineStr"/>
    </row>
    <row r="8210" ht="15" customHeight="1">
      <c r="A8210" t="inlineStr">
        <is>
          <t>A 4935-2024</t>
        </is>
      </c>
      <c r="B8210" s="1" t="n">
        <v>45329</v>
      </c>
      <c r="C8210" s="1" t="n">
        <v>45349</v>
      </c>
      <c r="D8210" t="inlineStr">
        <is>
          <t>NORRBOTTENS LÄN</t>
        </is>
      </c>
      <c r="E8210" t="inlineStr">
        <is>
          <t>ARVIDSJAUR</t>
        </is>
      </c>
      <c r="F8210" t="inlineStr">
        <is>
          <t>Sveaskog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4934-2024</t>
        </is>
      </c>
      <c r="B8211" s="1" t="n">
        <v>45329</v>
      </c>
      <c r="C8211" s="1" t="n">
        <v>45349</v>
      </c>
      <c r="D8211" t="inlineStr">
        <is>
          <t>NORRBOTTENS LÄN</t>
        </is>
      </c>
      <c r="E8211" t="inlineStr">
        <is>
          <t>ARVIDSJAUR</t>
        </is>
      </c>
      <c r="F8211" t="inlineStr">
        <is>
          <t>Sveaskog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5030-2024</t>
        </is>
      </c>
      <c r="B8212" s="1" t="n">
        <v>45329</v>
      </c>
      <c r="C8212" s="1" t="n">
        <v>45349</v>
      </c>
      <c r="D8212" t="inlineStr">
        <is>
          <t>NORRBOTTENS LÄN</t>
        </is>
      </c>
      <c r="E8212" t="inlineStr">
        <is>
          <t>ÖVERTORNEÅ</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5048-2024</t>
        </is>
      </c>
      <c r="B8213" s="1" t="n">
        <v>45329</v>
      </c>
      <c r="C8213" s="1" t="n">
        <v>45349</v>
      </c>
      <c r="D8213" t="inlineStr">
        <is>
          <t>NORRBOTTENS LÄN</t>
        </is>
      </c>
      <c r="E8213" t="inlineStr">
        <is>
          <t>LULEÅ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5047-2024</t>
        </is>
      </c>
      <c r="B8214" s="1" t="n">
        <v>45329</v>
      </c>
      <c r="C8214" s="1" t="n">
        <v>45349</v>
      </c>
      <c r="D8214" t="inlineStr">
        <is>
          <t>NORRBOTTENS LÄN</t>
        </is>
      </c>
      <c r="E8214" t="inlineStr">
        <is>
          <t>LULEÅ</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5009-2024</t>
        </is>
      </c>
      <c r="B8215" s="1" t="n">
        <v>45329</v>
      </c>
      <c r="C8215" s="1" t="n">
        <v>45349</v>
      </c>
      <c r="D8215" t="inlineStr">
        <is>
          <t>NORRBOTTENS LÄN</t>
        </is>
      </c>
      <c r="E8215" t="inlineStr">
        <is>
          <t>PITEÅ</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5099-2024</t>
        </is>
      </c>
      <c r="B8216" s="1" t="n">
        <v>45330</v>
      </c>
      <c r="C8216" s="1" t="n">
        <v>45349</v>
      </c>
      <c r="D8216" t="inlineStr">
        <is>
          <t>NORRBOTTENS LÄN</t>
        </is>
      </c>
      <c r="E8216" t="inlineStr">
        <is>
          <t>BODEN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5100-2024</t>
        </is>
      </c>
      <c r="B8217" s="1" t="n">
        <v>45330</v>
      </c>
      <c r="C8217" s="1" t="n">
        <v>45349</v>
      </c>
      <c r="D8217" t="inlineStr">
        <is>
          <t>NORRBOTTENS LÄN</t>
        </is>
      </c>
      <c r="E8217" t="inlineStr">
        <is>
          <t>HAPARANDA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45349</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45349</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5150-2024</t>
        </is>
      </c>
      <c r="B8220" s="1" t="n">
        <v>45330</v>
      </c>
      <c r="C8220" s="1" t="n">
        <v>45349</v>
      </c>
      <c r="D8220" t="inlineStr">
        <is>
          <t>NORRBOTTENS LÄN</t>
        </is>
      </c>
      <c r="E8220" t="inlineStr">
        <is>
          <t>LULEÅ</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5137-2024</t>
        </is>
      </c>
      <c r="B8221" s="1" t="n">
        <v>45330</v>
      </c>
      <c r="C8221" s="1" t="n">
        <v>45349</v>
      </c>
      <c r="D8221" t="inlineStr">
        <is>
          <t>NORRBOTTENS LÄN</t>
        </is>
      </c>
      <c r="E8221" t="inlineStr">
        <is>
          <t>LULEÅ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45349</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45349</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45349</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45349</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45349</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45349</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5533-2024</t>
        </is>
      </c>
      <c r="B8228" s="1" t="n">
        <v>45334</v>
      </c>
      <c r="C8228" s="1" t="n">
        <v>45349</v>
      </c>
      <c r="D8228" t="inlineStr">
        <is>
          <t>NORRBOTTENS LÄN</t>
        </is>
      </c>
      <c r="E8228" t="inlineStr">
        <is>
          <t>KIRUNA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5524-2024</t>
        </is>
      </c>
      <c r="B8229" s="1" t="n">
        <v>45334</v>
      </c>
      <c r="C8229" s="1" t="n">
        <v>45349</v>
      </c>
      <c r="D8229" t="inlineStr">
        <is>
          <t>NORRBOTTENS LÄN</t>
        </is>
      </c>
      <c r="E8229" t="inlineStr">
        <is>
          <t>PITEÅ</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5615-2024</t>
        </is>
      </c>
      <c r="B8230" s="1" t="n">
        <v>45334</v>
      </c>
      <c r="C8230" s="1" t="n">
        <v>45349</v>
      </c>
      <c r="D8230" t="inlineStr">
        <is>
          <t>NORRBOTTENS LÄN</t>
        </is>
      </c>
      <c r="E8230" t="inlineStr">
        <is>
          <t>LULEÅ</t>
        </is>
      </c>
      <c r="G8230" t="n">
        <v>5.6</v>
      </c>
      <c r="H8230" t="n">
        <v>0</v>
      </c>
      <c r="I8230" t="n">
        <v>0</v>
      </c>
      <c r="J8230" t="n">
        <v>0</v>
      </c>
      <c r="K8230" t="n">
        <v>0</v>
      </c>
      <c r="L8230" t="n">
        <v>0</v>
      </c>
      <c r="M8230" t="n">
        <v>0</v>
      </c>
      <c r="N8230" t="n">
        <v>0</v>
      </c>
      <c r="O8230" t="n">
        <v>0</v>
      </c>
      <c r="P8230" t="n">
        <v>0</v>
      </c>
      <c r="Q8230" t="n">
        <v>0</v>
      </c>
      <c r="R8230" s="2" t="inlineStr"/>
    </row>
    <row r="8231" ht="15" customHeight="1">
      <c r="A8231" t="inlineStr">
        <is>
          <t>A 5624-2024</t>
        </is>
      </c>
      <c r="B8231" s="1" t="n">
        <v>45334</v>
      </c>
      <c r="C8231" s="1" t="n">
        <v>45349</v>
      </c>
      <c r="D8231" t="inlineStr">
        <is>
          <t>NORRBOTTENS LÄN</t>
        </is>
      </c>
      <c r="E8231" t="inlineStr">
        <is>
          <t>GÄLLIVARE</t>
        </is>
      </c>
      <c r="G8231" t="n">
        <v>13.8</v>
      </c>
      <c r="H8231" t="n">
        <v>0</v>
      </c>
      <c r="I8231" t="n">
        <v>0</v>
      </c>
      <c r="J8231" t="n">
        <v>0</v>
      </c>
      <c r="K8231" t="n">
        <v>0</v>
      </c>
      <c r="L8231" t="n">
        <v>0</v>
      </c>
      <c r="M8231" t="n">
        <v>0</v>
      </c>
      <c r="N8231" t="n">
        <v>0</v>
      </c>
      <c r="O8231" t="n">
        <v>0</v>
      </c>
      <c r="P8231" t="n">
        <v>0</v>
      </c>
      <c r="Q8231" t="n">
        <v>0</v>
      </c>
      <c r="R8231" s="2" t="inlineStr"/>
    </row>
    <row r="8232" ht="15" customHeight="1">
      <c r="A8232" t="inlineStr">
        <is>
          <t>A 5628-2024</t>
        </is>
      </c>
      <c r="B8232" s="1" t="n">
        <v>45334</v>
      </c>
      <c r="C8232" s="1" t="n">
        <v>45349</v>
      </c>
      <c r="D8232" t="inlineStr">
        <is>
          <t>NORRBOTTENS LÄN</t>
        </is>
      </c>
      <c r="E8232" t="inlineStr">
        <is>
          <t>ÄLVSBYN</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5632-2024</t>
        </is>
      </c>
      <c r="B8233" s="1" t="n">
        <v>45334</v>
      </c>
      <c r="C8233" s="1" t="n">
        <v>45349</v>
      </c>
      <c r="D8233" t="inlineStr">
        <is>
          <t>NORRBOTTENS LÄN</t>
        </is>
      </c>
      <c r="E8233" t="inlineStr">
        <is>
          <t>GÄLLIVARE</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5646-2024</t>
        </is>
      </c>
      <c r="B8234" s="1" t="n">
        <v>45334</v>
      </c>
      <c r="C8234" s="1" t="n">
        <v>45349</v>
      </c>
      <c r="D8234" t="inlineStr">
        <is>
          <t>NORRBOTTENS LÄN</t>
        </is>
      </c>
      <c r="E8234" t="inlineStr">
        <is>
          <t>ÄLVSBYN</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5650-2024</t>
        </is>
      </c>
      <c r="B8235" s="1" t="n">
        <v>45334</v>
      </c>
      <c r="C8235" s="1" t="n">
        <v>45349</v>
      </c>
      <c r="D8235" t="inlineStr">
        <is>
          <t>NORRBOTTENS LÄN</t>
        </is>
      </c>
      <c r="E8235" t="inlineStr">
        <is>
          <t>ÄLVSBYN</t>
        </is>
      </c>
      <c r="G8235" t="n">
        <v>11.8</v>
      </c>
      <c r="H8235" t="n">
        <v>0</v>
      </c>
      <c r="I8235" t="n">
        <v>0</v>
      </c>
      <c r="J8235" t="n">
        <v>0</v>
      </c>
      <c r="K8235" t="n">
        <v>0</v>
      </c>
      <c r="L8235" t="n">
        <v>0</v>
      </c>
      <c r="M8235" t="n">
        <v>0</v>
      </c>
      <c r="N8235" t="n">
        <v>0</v>
      </c>
      <c r="O8235" t="n">
        <v>0</v>
      </c>
      <c r="P8235" t="n">
        <v>0</v>
      </c>
      <c r="Q8235" t="n">
        <v>0</v>
      </c>
      <c r="R8235" s="2" t="inlineStr"/>
    </row>
    <row r="8236" ht="15" customHeight="1">
      <c r="A8236" t="inlineStr">
        <is>
          <t>A 5723-2024</t>
        </is>
      </c>
      <c r="B8236" s="1" t="n">
        <v>45334</v>
      </c>
      <c r="C8236" s="1" t="n">
        <v>45349</v>
      </c>
      <c r="D8236" t="inlineStr">
        <is>
          <t>NORRBOTTENS LÄN</t>
        </is>
      </c>
      <c r="E8236" t="inlineStr">
        <is>
          <t>ÖVERKALIX</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5731-2024</t>
        </is>
      </c>
      <c r="B8237" s="1" t="n">
        <v>45334</v>
      </c>
      <c r="C8237" s="1" t="n">
        <v>45349</v>
      </c>
      <c r="D8237" t="inlineStr">
        <is>
          <t>NORRBOTTENS LÄN</t>
        </is>
      </c>
      <c r="E8237" t="inlineStr">
        <is>
          <t>PAJALA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5739-2024</t>
        </is>
      </c>
      <c r="B8238" s="1" t="n">
        <v>45334</v>
      </c>
      <c r="C8238" s="1" t="n">
        <v>45349</v>
      </c>
      <c r="D8238" t="inlineStr">
        <is>
          <t>NORRBOTTENS LÄN</t>
        </is>
      </c>
      <c r="E8238" t="inlineStr">
        <is>
          <t>PAJALA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5729-2024</t>
        </is>
      </c>
      <c r="B8239" s="1" t="n">
        <v>45334</v>
      </c>
      <c r="C8239" s="1" t="n">
        <v>45349</v>
      </c>
      <c r="D8239" t="inlineStr">
        <is>
          <t>NORRBOTTENS LÄN</t>
        </is>
      </c>
      <c r="E8239" t="inlineStr">
        <is>
          <t>PAJALA</t>
        </is>
      </c>
      <c r="G8239" t="n">
        <v>22.5</v>
      </c>
      <c r="H8239" t="n">
        <v>0</v>
      </c>
      <c r="I8239" t="n">
        <v>0</v>
      </c>
      <c r="J8239" t="n">
        <v>0</v>
      </c>
      <c r="K8239" t="n">
        <v>0</v>
      </c>
      <c r="L8239" t="n">
        <v>0</v>
      </c>
      <c r="M8239" t="n">
        <v>0</v>
      </c>
      <c r="N8239" t="n">
        <v>0</v>
      </c>
      <c r="O8239" t="n">
        <v>0</v>
      </c>
      <c r="P8239" t="n">
        <v>0</v>
      </c>
      <c r="Q8239" t="n">
        <v>0</v>
      </c>
      <c r="R8239" s="2" t="inlineStr"/>
    </row>
    <row r="8240" ht="15" customHeight="1">
      <c r="A8240" t="inlineStr">
        <is>
          <t>A 5733-2024</t>
        </is>
      </c>
      <c r="B8240" s="1" t="n">
        <v>45334</v>
      </c>
      <c r="C8240" s="1" t="n">
        <v>45349</v>
      </c>
      <c r="D8240" t="inlineStr">
        <is>
          <t>NORRBOTTENS LÄN</t>
        </is>
      </c>
      <c r="E8240" t="inlineStr">
        <is>
          <t>ÄLVSBYN</t>
        </is>
      </c>
      <c r="F8240" t="inlineStr">
        <is>
          <t>SCA</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5702-2024</t>
        </is>
      </c>
      <c r="B8241" s="1" t="n">
        <v>45334</v>
      </c>
      <c r="C8241" s="1" t="n">
        <v>45349</v>
      </c>
      <c r="D8241" t="inlineStr">
        <is>
          <t>NORRBOTTENS LÄN</t>
        </is>
      </c>
      <c r="E8241" t="inlineStr">
        <is>
          <t>ARVIDSJAUR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5730-2024</t>
        </is>
      </c>
      <c r="B8242" s="1" t="n">
        <v>45334</v>
      </c>
      <c r="C8242" s="1" t="n">
        <v>45349</v>
      </c>
      <c r="D8242" t="inlineStr">
        <is>
          <t>NORRBOTTENS LÄN</t>
        </is>
      </c>
      <c r="E8242" t="inlineStr">
        <is>
          <t>PAJALA</t>
        </is>
      </c>
      <c r="G8242" t="n">
        <v>26.2</v>
      </c>
      <c r="H8242" t="n">
        <v>0</v>
      </c>
      <c r="I8242" t="n">
        <v>0</v>
      </c>
      <c r="J8242" t="n">
        <v>0</v>
      </c>
      <c r="K8242" t="n">
        <v>0</v>
      </c>
      <c r="L8242" t="n">
        <v>0</v>
      </c>
      <c r="M8242" t="n">
        <v>0</v>
      </c>
      <c r="N8242" t="n">
        <v>0</v>
      </c>
      <c r="O8242" t="n">
        <v>0</v>
      </c>
      <c r="P8242" t="n">
        <v>0</v>
      </c>
      <c r="Q8242" t="n">
        <v>0</v>
      </c>
      <c r="R8242" s="2" t="inlineStr"/>
    </row>
    <row r="8243" ht="15" customHeight="1">
      <c r="A8243" t="inlineStr">
        <is>
          <t>A 5732-2024</t>
        </is>
      </c>
      <c r="B8243" s="1" t="n">
        <v>45334</v>
      </c>
      <c r="C8243" s="1" t="n">
        <v>45349</v>
      </c>
      <c r="D8243" t="inlineStr">
        <is>
          <t>NORRBOTTENS LÄN</t>
        </is>
      </c>
      <c r="E8243" t="inlineStr">
        <is>
          <t>ÄLVSBYN</t>
        </is>
      </c>
      <c r="F8243" t="inlineStr">
        <is>
          <t>SCA</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45349</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45349</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5791-2024</t>
        </is>
      </c>
      <c r="B8246" s="1" t="n">
        <v>45335</v>
      </c>
      <c r="C8246" s="1" t="n">
        <v>45349</v>
      </c>
      <c r="D8246" t="inlineStr">
        <is>
          <t>NORRBOTTENS LÄN</t>
        </is>
      </c>
      <c r="E8246" t="inlineStr">
        <is>
          <t>KALIX</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6084-2024</t>
        </is>
      </c>
      <c r="B8247" s="1" t="n">
        <v>45336</v>
      </c>
      <c r="C8247" s="1" t="n">
        <v>45349</v>
      </c>
      <c r="D8247" t="inlineStr">
        <is>
          <t>NORRBOTTENS LÄN</t>
        </is>
      </c>
      <c r="E8247" t="inlineStr">
        <is>
          <t>BODEN</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6034-2024</t>
        </is>
      </c>
      <c r="B8248" s="1" t="n">
        <v>45336</v>
      </c>
      <c r="C8248" s="1" t="n">
        <v>45349</v>
      </c>
      <c r="D8248" t="inlineStr">
        <is>
          <t>NORRBOTTENS LÄN</t>
        </is>
      </c>
      <c r="E8248" t="inlineStr">
        <is>
          <t>HAPARANDA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45349</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6268-2024</t>
        </is>
      </c>
      <c r="B8250" s="1" t="n">
        <v>45337</v>
      </c>
      <c r="C8250" s="1" t="n">
        <v>45349</v>
      </c>
      <c r="D8250" t="inlineStr">
        <is>
          <t>NORRBOTTENS LÄN</t>
        </is>
      </c>
      <c r="E8250" t="inlineStr">
        <is>
          <t>GÄLLIVARE</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6272-2024</t>
        </is>
      </c>
      <c r="B8251" s="1" t="n">
        <v>45337</v>
      </c>
      <c r="C8251" s="1" t="n">
        <v>45349</v>
      </c>
      <c r="D8251" t="inlineStr">
        <is>
          <t>NORRBOTTENS LÄN</t>
        </is>
      </c>
      <c r="E8251" t="inlineStr">
        <is>
          <t>GÄLLIVARE</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6271-2024</t>
        </is>
      </c>
      <c r="B8252" s="1" t="n">
        <v>45337</v>
      </c>
      <c r="C8252" s="1" t="n">
        <v>45349</v>
      </c>
      <c r="D8252" t="inlineStr">
        <is>
          <t>NORRBOTTENS LÄN</t>
        </is>
      </c>
      <c r="E8252" t="inlineStr">
        <is>
          <t>GÄLLIVARE</t>
        </is>
      </c>
      <c r="G8252" t="n">
        <v>14.7</v>
      </c>
      <c r="H8252" t="n">
        <v>0</v>
      </c>
      <c r="I8252" t="n">
        <v>0</v>
      </c>
      <c r="J8252" t="n">
        <v>0</v>
      </c>
      <c r="K8252" t="n">
        <v>0</v>
      </c>
      <c r="L8252" t="n">
        <v>0</v>
      </c>
      <c r="M8252" t="n">
        <v>0</v>
      </c>
      <c r="N8252" t="n">
        <v>0</v>
      </c>
      <c r="O8252" t="n">
        <v>0</v>
      </c>
      <c r="P8252" t="n">
        <v>0</v>
      </c>
      <c r="Q8252" t="n">
        <v>0</v>
      </c>
      <c r="R8252" s="2" t="inlineStr"/>
    </row>
    <row r="8253" ht="15" customHeight="1">
      <c r="A8253" t="inlineStr">
        <is>
          <t>A 6275-2024</t>
        </is>
      </c>
      <c r="B8253" s="1" t="n">
        <v>45337</v>
      </c>
      <c r="C8253" s="1" t="n">
        <v>45349</v>
      </c>
      <c r="D8253" t="inlineStr">
        <is>
          <t>NORRBOTTENS LÄN</t>
        </is>
      </c>
      <c r="E8253" t="inlineStr">
        <is>
          <t>ÄLVSBYN</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6382-2024</t>
        </is>
      </c>
      <c r="B8254" s="1" t="n">
        <v>45338</v>
      </c>
      <c r="C8254" s="1" t="n">
        <v>45349</v>
      </c>
      <c r="D8254" t="inlineStr">
        <is>
          <t>NORRBOTTENS LÄN</t>
        </is>
      </c>
      <c r="E8254" t="inlineStr">
        <is>
          <t>BODEN</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6396-2024</t>
        </is>
      </c>
      <c r="B8255" s="1" t="n">
        <v>45338</v>
      </c>
      <c r="C8255" s="1" t="n">
        <v>45349</v>
      </c>
      <c r="D8255" t="inlineStr">
        <is>
          <t>NORRBOTTENS LÄN</t>
        </is>
      </c>
      <c r="E8255" t="inlineStr">
        <is>
          <t>BODEN</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45349</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45349</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6552-2024</t>
        </is>
      </c>
      <c r="B8258" s="1" t="n">
        <v>45341</v>
      </c>
      <c r="C8258" s="1" t="n">
        <v>45349</v>
      </c>
      <c r="D8258" t="inlineStr">
        <is>
          <t>NORRBOTTENS LÄN</t>
        </is>
      </c>
      <c r="E8258" t="inlineStr">
        <is>
          <t>LULEÅ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6517-2024</t>
        </is>
      </c>
      <c r="B8259" s="1" t="n">
        <v>45341</v>
      </c>
      <c r="C8259" s="1" t="n">
        <v>45349</v>
      </c>
      <c r="D8259" t="inlineStr">
        <is>
          <t>NORRBOTTENS LÄN</t>
        </is>
      </c>
      <c r="E8259" t="inlineStr">
        <is>
          <t>BODEN</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6574-2024</t>
        </is>
      </c>
      <c r="B8260" s="1" t="n">
        <v>45341</v>
      </c>
      <c r="C8260" s="1" t="n">
        <v>45349</v>
      </c>
      <c r="D8260" t="inlineStr">
        <is>
          <t>NORRBOTTENS LÄN</t>
        </is>
      </c>
      <c r="E8260" t="inlineStr">
        <is>
          <t>ARVIDSJAUR</t>
        </is>
      </c>
      <c r="F8260" t="inlineStr">
        <is>
          <t>Sveaskog</t>
        </is>
      </c>
      <c r="G8260" t="n">
        <v>27.1</v>
      </c>
      <c r="H8260" t="n">
        <v>0</v>
      </c>
      <c r="I8260" t="n">
        <v>0</v>
      </c>
      <c r="J8260" t="n">
        <v>0</v>
      </c>
      <c r="K8260" t="n">
        <v>0</v>
      </c>
      <c r="L8260" t="n">
        <v>0</v>
      </c>
      <c r="M8260" t="n">
        <v>0</v>
      </c>
      <c r="N8260" t="n">
        <v>0</v>
      </c>
      <c r="O8260" t="n">
        <v>0</v>
      </c>
      <c r="P8260" t="n">
        <v>0</v>
      </c>
      <c r="Q8260" t="n">
        <v>0</v>
      </c>
      <c r="R8260" s="2" t="inlineStr"/>
    </row>
    <row r="8261" ht="15" customHeight="1">
      <c r="A8261" t="inlineStr">
        <is>
          <t>A 6595-2024</t>
        </is>
      </c>
      <c r="B8261" s="1" t="n">
        <v>45341</v>
      </c>
      <c r="C8261" s="1" t="n">
        <v>45349</v>
      </c>
      <c r="D8261" t="inlineStr">
        <is>
          <t>NORRBOTTENS LÄN</t>
        </is>
      </c>
      <c r="E8261" t="inlineStr">
        <is>
          <t>LULEÅ</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6621-2024</t>
        </is>
      </c>
      <c r="B8262" s="1" t="n">
        <v>45341</v>
      </c>
      <c r="C8262" s="1" t="n">
        <v>45349</v>
      </c>
      <c r="D8262" t="inlineStr">
        <is>
          <t>NORRBOTTENS LÄN</t>
        </is>
      </c>
      <c r="E8262" t="inlineStr">
        <is>
          <t>GÄLLIVARE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6606-2024</t>
        </is>
      </c>
      <c r="B8263" s="1" t="n">
        <v>45341</v>
      </c>
      <c r="C8263" s="1" t="n">
        <v>45349</v>
      </c>
      <c r="D8263" t="inlineStr">
        <is>
          <t>NORRBOTTENS LÄN</t>
        </is>
      </c>
      <c r="E8263" t="inlineStr">
        <is>
          <t>BODEN</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6570-2024</t>
        </is>
      </c>
      <c r="B8264" s="1" t="n">
        <v>45341</v>
      </c>
      <c r="C8264" s="1" t="n">
        <v>45349</v>
      </c>
      <c r="D8264" t="inlineStr">
        <is>
          <t>NORRBOTTENS LÄN</t>
        </is>
      </c>
      <c r="E8264" t="inlineStr">
        <is>
          <t>LULEÅ</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6596-2024</t>
        </is>
      </c>
      <c r="B8265" s="1" t="n">
        <v>45341</v>
      </c>
      <c r="C8265" s="1" t="n">
        <v>45349</v>
      </c>
      <c r="D8265" t="inlineStr">
        <is>
          <t>NORRBOTTENS LÄN</t>
        </is>
      </c>
      <c r="E8265" t="inlineStr">
        <is>
          <t>LULEÅ</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6841-2024</t>
        </is>
      </c>
      <c r="B8266" s="1" t="n">
        <v>45342</v>
      </c>
      <c r="C8266" s="1" t="n">
        <v>45349</v>
      </c>
      <c r="D8266" t="inlineStr">
        <is>
          <t>NORRBOTTENS LÄN</t>
        </is>
      </c>
      <c r="E8266" t="inlineStr">
        <is>
          <t>LULEÅ</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6718-2024</t>
        </is>
      </c>
      <c r="B8267" s="1" t="n">
        <v>45342</v>
      </c>
      <c r="C8267" s="1" t="n">
        <v>45349</v>
      </c>
      <c r="D8267" t="inlineStr">
        <is>
          <t>NORRBOTTENS LÄN</t>
        </is>
      </c>
      <c r="E8267" t="inlineStr">
        <is>
          <t>LULEÅ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6739-2024</t>
        </is>
      </c>
      <c r="B8268" s="1" t="n">
        <v>45342</v>
      </c>
      <c r="C8268" s="1" t="n">
        <v>45349</v>
      </c>
      <c r="D8268" t="inlineStr">
        <is>
          <t>NORRBOTTENS LÄN</t>
        </is>
      </c>
      <c r="E8268" t="inlineStr">
        <is>
          <t>LULEÅ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6864-2024</t>
        </is>
      </c>
      <c r="B8269" s="1" t="n">
        <v>45342</v>
      </c>
      <c r="C8269" s="1" t="n">
        <v>45349</v>
      </c>
      <c r="D8269" t="inlineStr">
        <is>
          <t>NORRBOTTENS LÄN</t>
        </is>
      </c>
      <c r="E8269" t="inlineStr">
        <is>
          <t>ÄLVSBYN</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6890-2024</t>
        </is>
      </c>
      <c r="B8270" s="1" t="n">
        <v>45342</v>
      </c>
      <c r="C8270" s="1" t="n">
        <v>45349</v>
      </c>
      <c r="D8270" t="inlineStr">
        <is>
          <t>NORRBOTTENS LÄN</t>
        </is>
      </c>
      <c r="E8270" t="inlineStr">
        <is>
          <t>PITEÅ</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6866-2024</t>
        </is>
      </c>
      <c r="B8271" s="1" t="n">
        <v>45342</v>
      </c>
      <c r="C8271" s="1" t="n">
        <v>45349</v>
      </c>
      <c r="D8271" t="inlineStr">
        <is>
          <t>NORRBOTTENS LÄN</t>
        </is>
      </c>
      <c r="E8271" t="inlineStr">
        <is>
          <t>ÄLVSBYN</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6899-2024</t>
        </is>
      </c>
      <c r="B8272" s="1" t="n">
        <v>45342</v>
      </c>
      <c r="C8272" s="1" t="n">
        <v>45349</v>
      </c>
      <c r="D8272" t="inlineStr">
        <is>
          <t>NORRBOTTENS LÄN</t>
        </is>
      </c>
      <c r="E8272" t="inlineStr">
        <is>
          <t>ÄLVSBYN</t>
        </is>
      </c>
      <c r="F8272" t="inlineStr">
        <is>
          <t>SCA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45349</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7115-2024</t>
        </is>
      </c>
      <c r="B8274" s="1" t="n">
        <v>45343</v>
      </c>
      <c r="C8274" s="1" t="n">
        <v>45349</v>
      </c>
      <c r="D8274" t="inlineStr">
        <is>
          <t>NORRBOTTENS LÄN</t>
        </is>
      </c>
      <c r="E8274" t="inlineStr">
        <is>
          <t>ÄLVSBYN</t>
        </is>
      </c>
      <c r="F8274" t="inlineStr">
        <is>
          <t>SCA</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6988-2024</t>
        </is>
      </c>
      <c r="B8275" s="1" t="n">
        <v>45343</v>
      </c>
      <c r="C8275" s="1" t="n">
        <v>45349</v>
      </c>
      <c r="D8275" t="inlineStr">
        <is>
          <t>NORRBOTTENS LÄN</t>
        </is>
      </c>
      <c r="E8275" t="inlineStr">
        <is>
          <t>PITEÅ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45349</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45349</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45349</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45349</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45349</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7382-2024</t>
        </is>
      </c>
      <c r="B8281" s="1" t="n">
        <v>45345</v>
      </c>
      <c r="C8281" s="1" t="n">
        <v>45349</v>
      </c>
      <c r="D8281" t="inlineStr">
        <is>
          <t>NORRBOTTENS LÄN</t>
        </is>
      </c>
      <c r="E8281" t="inlineStr">
        <is>
          <t>LULEÅ</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7452-2024</t>
        </is>
      </c>
      <c r="B8282" s="1" t="n">
        <v>45345</v>
      </c>
      <c r="C8282" s="1" t="n">
        <v>45349</v>
      </c>
      <c r="D8282" t="inlineStr">
        <is>
          <t>NORRBOTTENS LÄN</t>
        </is>
      </c>
      <c r="E8282" t="inlineStr">
        <is>
          <t>ARVIDSJAUR</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7457-2024</t>
        </is>
      </c>
      <c r="B8283" s="1" t="n">
        <v>45345</v>
      </c>
      <c r="C8283" s="1" t="n">
        <v>45349</v>
      </c>
      <c r="D8283" t="inlineStr">
        <is>
          <t>NORRBOTTENS LÄN</t>
        </is>
      </c>
      <c r="E8283" t="inlineStr">
        <is>
          <t>PITEÅ</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7461-2024</t>
        </is>
      </c>
      <c r="B8284" s="1" t="n">
        <v>45345</v>
      </c>
      <c r="C8284" s="1" t="n">
        <v>45349</v>
      </c>
      <c r="D8284" t="inlineStr">
        <is>
          <t>NORRBOTTENS LÄN</t>
        </is>
      </c>
      <c r="E8284" t="inlineStr">
        <is>
          <t>PITEÅ</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7442-2024</t>
        </is>
      </c>
      <c r="B8285" s="1" t="n">
        <v>45345</v>
      </c>
      <c r="C8285" s="1" t="n">
        <v>45349</v>
      </c>
      <c r="D8285" t="inlineStr">
        <is>
          <t>NORRBOTTENS LÄN</t>
        </is>
      </c>
      <c r="E8285" t="inlineStr">
        <is>
          <t>BODEN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7458-2024</t>
        </is>
      </c>
      <c r="B8286" s="1" t="n">
        <v>45345</v>
      </c>
      <c r="C8286" s="1" t="n">
        <v>45349</v>
      </c>
      <c r="D8286" t="inlineStr">
        <is>
          <t>NORRBOTTENS LÄN</t>
        </is>
      </c>
      <c r="E8286" t="inlineStr">
        <is>
          <t>PITEÅ</t>
        </is>
      </c>
      <c r="G8286" t="n">
        <v>9.5</v>
      </c>
      <c r="H8286" t="n">
        <v>0</v>
      </c>
      <c r="I8286" t="n">
        <v>0</v>
      </c>
      <c r="J8286" t="n">
        <v>0</v>
      </c>
      <c r="K8286" t="n">
        <v>0</v>
      </c>
      <c r="L8286" t="n">
        <v>0</v>
      </c>
      <c r="M8286" t="n">
        <v>0</v>
      </c>
      <c r="N8286" t="n">
        <v>0</v>
      </c>
      <c r="O8286" t="n">
        <v>0</v>
      </c>
      <c r="P8286" t="n">
        <v>0</v>
      </c>
      <c r="Q8286" t="n">
        <v>0</v>
      </c>
      <c r="R8286" s="2" t="inlineStr"/>
    </row>
    <row r="8287" ht="15" customHeight="1">
      <c r="A8287" t="inlineStr">
        <is>
          <t>A 7479-2024</t>
        </is>
      </c>
      <c r="B8287" s="1" t="n">
        <v>45345</v>
      </c>
      <c r="C8287" s="1" t="n">
        <v>45349</v>
      </c>
      <c r="D8287" t="inlineStr">
        <is>
          <t>NORRBOTTENS LÄN</t>
        </is>
      </c>
      <c r="E8287" t="inlineStr">
        <is>
          <t>ÄLVSBYN</t>
        </is>
      </c>
      <c r="F8287" t="inlineStr">
        <is>
          <t>SCA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7451-2024</t>
        </is>
      </c>
      <c r="B8288" s="1" t="n">
        <v>45345</v>
      </c>
      <c r="C8288" s="1" t="n">
        <v>45349</v>
      </c>
      <c r="D8288" t="inlineStr">
        <is>
          <t>NORRBOTTENS LÄN</t>
        </is>
      </c>
      <c r="E8288" t="inlineStr">
        <is>
          <t>ARVIDSJAUR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7459-2024</t>
        </is>
      </c>
      <c r="B8289" s="1" t="n">
        <v>45345</v>
      </c>
      <c r="C8289" s="1" t="n">
        <v>45349</v>
      </c>
      <c r="D8289" t="inlineStr">
        <is>
          <t>NORRBOTTENS LÄN</t>
        </is>
      </c>
      <c r="E8289" t="inlineStr">
        <is>
          <t>PITEÅ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45349</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7503-2024</t>
        </is>
      </c>
      <c r="B8291" s="1" t="n">
        <v>45347</v>
      </c>
      <c r="C8291" s="1" t="n">
        <v>45349</v>
      </c>
      <c r="D8291" t="inlineStr">
        <is>
          <t>NORRBOTTENS LÄN</t>
        </is>
      </c>
      <c r="E8291" t="inlineStr">
        <is>
          <t>PITEÅ</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7502-2024</t>
        </is>
      </c>
      <c r="B8292" s="1" t="n">
        <v>45347</v>
      </c>
      <c r="C8292" s="1" t="n">
        <v>45349</v>
      </c>
      <c r="D8292" t="inlineStr">
        <is>
          <t>NORRBOTTENS LÄN</t>
        </is>
      </c>
      <c r="E8292" t="inlineStr">
        <is>
          <t>PITEÅ</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7504-2024</t>
        </is>
      </c>
      <c r="B8293" s="1" t="n">
        <v>45347</v>
      </c>
      <c r="C8293" s="1" t="n">
        <v>45349</v>
      </c>
      <c r="D8293" t="inlineStr">
        <is>
          <t>NORRBOTTENS LÄN</t>
        </is>
      </c>
      <c r="E8293" t="inlineStr">
        <is>
          <t>PITEÅ</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7552-2024</t>
        </is>
      </c>
      <c r="B8294" s="1" t="n">
        <v>45348</v>
      </c>
      <c r="C8294" s="1" t="n">
        <v>45349</v>
      </c>
      <c r="D8294" t="inlineStr">
        <is>
          <t>NORRBOTTENS LÄN</t>
        </is>
      </c>
      <c r="E8294" t="inlineStr">
        <is>
          <t>PITEÅ</t>
        </is>
      </c>
      <c r="F8294" t="inlineStr">
        <is>
          <t>Sveaskog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7553-2024</t>
        </is>
      </c>
      <c r="B8295" s="1" t="n">
        <v>45348</v>
      </c>
      <c r="C8295" s="1" t="n">
        <v>45349</v>
      </c>
      <c r="D8295" t="inlineStr">
        <is>
          <t>NORRBOTTENS LÄN</t>
        </is>
      </c>
      <c r="E8295" t="inlineStr">
        <is>
          <t>PITEÅ</t>
        </is>
      </c>
      <c r="F8295" t="inlineStr">
        <is>
          <t>Sveaskog</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7561-2024</t>
        </is>
      </c>
      <c r="B8296" s="1" t="n">
        <v>45348</v>
      </c>
      <c r="C8296" s="1" t="n">
        <v>45349</v>
      </c>
      <c r="D8296" t="inlineStr">
        <is>
          <t>NORRBOTTENS LÄN</t>
        </is>
      </c>
      <c r="E8296" t="inlineStr">
        <is>
          <t>ÖVERTORNEÅ</t>
        </is>
      </c>
      <c r="G8296" t="n">
        <v>5.1</v>
      </c>
      <c r="H8296" t="n">
        <v>0</v>
      </c>
      <c r="I8296" t="n">
        <v>0</v>
      </c>
      <c r="J8296" t="n">
        <v>0</v>
      </c>
      <c r="K8296" t="n">
        <v>0</v>
      </c>
      <c r="L8296" t="n">
        <v>0</v>
      </c>
      <c r="M8296" t="n">
        <v>0</v>
      </c>
      <c r="N8296" t="n">
        <v>0</v>
      </c>
      <c r="O8296" t="n">
        <v>0</v>
      </c>
      <c r="P8296" t="n">
        <v>0</v>
      </c>
      <c r="Q8296" t="n">
        <v>0</v>
      </c>
      <c r="R8296" s="2" t="inlineStr"/>
    </row>
    <row r="8297">
      <c r="A8297" t="inlineStr">
        <is>
          <t>A 7555-2024</t>
        </is>
      </c>
      <c r="B8297" s="1" t="n">
        <v>45348</v>
      </c>
      <c r="C8297" s="1" t="n">
        <v>45349</v>
      </c>
      <c r="D8297" t="inlineStr">
        <is>
          <t>NORRBOTTENS LÄN</t>
        </is>
      </c>
      <c r="E8297" t="inlineStr">
        <is>
          <t>PITEÅ</t>
        </is>
      </c>
      <c r="F8297" t="inlineStr">
        <is>
          <t>Sveaskog</t>
        </is>
      </c>
      <c r="G8297" t="n">
        <v>6.1</v>
      </c>
      <c r="H8297" t="n">
        <v>0</v>
      </c>
      <c r="I8297" t="n">
        <v>0</v>
      </c>
      <c r="J8297" t="n">
        <v>0</v>
      </c>
      <c r="K8297" t="n">
        <v>0</v>
      </c>
      <c r="L8297" t="n">
        <v>0</v>
      </c>
      <c r="M8297" t="n">
        <v>0</v>
      </c>
      <c r="N8297" t="n">
        <v>0</v>
      </c>
      <c r="O8297" t="n">
        <v>0</v>
      </c>
      <c r="P8297" t="n">
        <v>0</v>
      </c>
      <c r="Q8297" t="n">
        <v>0</v>
      </c>
      <c r="R8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2024-02-27T13:11:57Z</dcterms:created>
  <dcterms:modified xmlns:dcterms="http://purl.org/dc/terms/" xmlns:xsi="http://www.w3.org/2001/XMLSchema-instance" xsi:type="dcterms:W3CDTF">2024-02-27T13:12:05Z</dcterms:modified>
</cp:coreProperties>
</file>