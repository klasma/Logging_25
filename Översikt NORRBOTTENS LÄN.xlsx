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45895</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45895</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45895</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45895</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45895</v>
      </c>
      <c r="D14" t="inlineStr">
        <is>
          <t>NORRBOTTENS LÄN</t>
        </is>
      </c>
      <c r="E14" t="inlineStr">
        <is>
          <t>ARVIDSJAUR</t>
        </is>
      </c>
      <c r="F14" t="inlineStr">
        <is>
          <t>Sveaskog</t>
        </is>
      </c>
      <c r="G14" t="n">
        <v>8.199999999999999</v>
      </c>
      <c r="H14" t="n">
        <v>4</v>
      </c>
      <c r="I14" t="n">
        <v>5</v>
      </c>
      <c r="J14" t="n">
        <v>13</v>
      </c>
      <c r="K14" t="n">
        <v>7</v>
      </c>
      <c r="L14" t="n">
        <v>0</v>
      </c>
      <c r="M14" t="n">
        <v>0</v>
      </c>
      <c r="N14" t="n">
        <v>0</v>
      </c>
      <c r="O14" t="n">
        <v>20</v>
      </c>
      <c r="P14" t="n">
        <v>7</v>
      </c>
      <c r="Q14" t="n">
        <v>26</v>
      </c>
      <c r="R1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46993-2024</t>
        </is>
      </c>
      <c r="B15" s="1" t="n">
        <v>45586</v>
      </c>
      <c r="C15" s="1" t="n">
        <v>45895</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31333-2025</t>
        </is>
      </c>
      <c r="B16" s="1" t="n">
        <v>45832</v>
      </c>
      <c r="C16" s="1" t="n">
        <v>45895</v>
      </c>
      <c r="D16" t="inlineStr">
        <is>
          <t>NORRBOTTENS LÄN</t>
        </is>
      </c>
      <c r="E16" t="inlineStr">
        <is>
          <t>GÄLLIVARE</t>
        </is>
      </c>
      <c r="F16" t="inlineStr">
        <is>
          <t>Allmännings- och besparingsskogar</t>
        </is>
      </c>
      <c r="G16" t="n">
        <v>18.2</v>
      </c>
      <c r="H16" t="n">
        <v>5</v>
      </c>
      <c r="I16" t="n">
        <v>3</v>
      </c>
      <c r="J16" t="n">
        <v>16</v>
      </c>
      <c r="K16" t="n">
        <v>3</v>
      </c>
      <c r="L16" t="n">
        <v>0</v>
      </c>
      <c r="M16" t="n">
        <v>0</v>
      </c>
      <c r="N16" t="n">
        <v>0</v>
      </c>
      <c r="O16" t="n">
        <v>19</v>
      </c>
      <c r="P16" t="n">
        <v>3</v>
      </c>
      <c r="Q16" t="n">
        <v>25</v>
      </c>
      <c r="R16"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6">
        <f>HYPERLINK("https://klasma.github.io/Logging_2523/artfynd/A 31333-2025 artfynd.xlsx", "A 31333-2025")</f>
        <v/>
      </c>
      <c r="T16">
        <f>HYPERLINK("https://klasma.github.io/Logging_2523/kartor/A 31333-2025 karta.png", "A 31333-2025")</f>
        <v/>
      </c>
      <c r="V16">
        <f>HYPERLINK("https://klasma.github.io/Logging_2523/klagomål/A 31333-2025 FSC-klagomål.docx", "A 31333-2025")</f>
        <v/>
      </c>
      <c r="W16">
        <f>HYPERLINK("https://klasma.github.io/Logging_2523/klagomålsmail/A 31333-2025 FSC-klagomål mail.docx", "A 31333-2025")</f>
        <v/>
      </c>
      <c r="X16">
        <f>HYPERLINK("https://klasma.github.io/Logging_2523/tillsyn/A 31333-2025 tillsynsbegäran.docx", "A 31333-2025")</f>
        <v/>
      </c>
      <c r="Y16">
        <f>HYPERLINK("https://klasma.github.io/Logging_2523/tillsynsmail/A 31333-2025 tillsynsbegäran mail.docx", "A 31333-2025")</f>
        <v/>
      </c>
      <c r="Z16">
        <f>HYPERLINK("https://klasma.github.io/Logging_2523/fåglar/A 31333-2025 prioriterade fågelarter.docx", "A 31333-2025")</f>
        <v/>
      </c>
    </row>
    <row r="17" ht="15" customHeight="1">
      <c r="A17" t="inlineStr">
        <is>
          <t>A 71374-2021</t>
        </is>
      </c>
      <c r="B17" s="1" t="n">
        <v>44539</v>
      </c>
      <c r="C17" s="1" t="n">
        <v>45895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45895</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45895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45895</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45895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45895</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64817-2023</t>
        </is>
      </c>
      <c r="B23" s="1" t="n">
        <v>45281</v>
      </c>
      <c r="C23" s="1" t="n">
        <v>45895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16006-2025</t>
        </is>
      </c>
      <c r="B24" s="1" t="n">
        <v>45749</v>
      </c>
      <c r="C24" s="1" t="n">
        <v>45895</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45895</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25045-2024</t>
        </is>
      </c>
      <c r="B26" s="1" t="n">
        <v>45462</v>
      </c>
      <c r="C26" s="1" t="n">
        <v>45895</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65332-2020</t>
        </is>
      </c>
      <c r="B27" s="1" t="n">
        <v>44173</v>
      </c>
      <c r="C27" s="1" t="n">
        <v>45895</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45895</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45895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45895</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45895</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45895</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45895</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45895</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28063-2024</t>
        </is>
      </c>
      <c r="B35" s="1" t="n">
        <v>45476.57167824074</v>
      </c>
      <c r="C35" s="1" t="n">
        <v>45895</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45895</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2025-2025</t>
        </is>
      </c>
      <c r="B37" s="1" t="n">
        <v>45672.48186342593</v>
      </c>
      <c r="C37" s="1" t="n">
        <v>45895</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18784-2024</t>
        </is>
      </c>
      <c r="B38" s="1" t="n">
        <v>45426</v>
      </c>
      <c r="C38" s="1" t="n">
        <v>45895</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26089-2024</t>
        </is>
      </c>
      <c r="B39" s="1" t="n">
        <v>45467</v>
      </c>
      <c r="C39" s="1" t="n">
        <v>45895</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45895</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45895</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45895</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45895</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15857-2024</t>
        </is>
      </c>
      <c r="B44" s="1" t="n">
        <v>45404.99697916667</v>
      </c>
      <c r="C44" s="1" t="n">
        <v>45895</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16054-2024</t>
        </is>
      </c>
      <c r="B45" s="1" t="n">
        <v>45406.04868055556</v>
      </c>
      <c r="C45" s="1" t="n">
        <v>45895</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27566-2025</t>
        </is>
      </c>
      <c r="B46" s="1" t="n">
        <v>45813</v>
      </c>
      <c r="C46" s="1" t="n">
        <v>45895</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45895</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45895</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45895</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26107-2025</t>
        </is>
      </c>
      <c r="B50" s="1" t="n">
        <v>45805.36121527778</v>
      </c>
      <c r="C50" s="1" t="n">
        <v>45895</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45895</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32322-2022</t>
        </is>
      </c>
      <c r="B52" s="1" t="n">
        <v>44781</v>
      </c>
      <c r="C52" s="1" t="n">
        <v>45895</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39707-2025</t>
        </is>
      </c>
      <c r="B53" s="1" t="n">
        <v>45890.83082175926</v>
      </c>
      <c r="C53" s="1" t="n">
        <v>45895</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48263-2021</t>
        </is>
      </c>
      <c r="B54" s="1" t="n">
        <v>44449</v>
      </c>
      <c r="C54" s="1" t="n">
        <v>45895</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45895</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12071-2023</t>
        </is>
      </c>
      <c r="B56" s="1" t="n">
        <v>44997</v>
      </c>
      <c r="C56" s="1" t="n">
        <v>45895</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7524-2025</t>
        </is>
      </c>
      <c r="B57" s="1" t="n">
        <v>45705</v>
      </c>
      <c r="C57" s="1" t="n">
        <v>45895</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12519-2024</t>
        </is>
      </c>
      <c r="B58" s="1" t="n">
        <v>45379</v>
      </c>
      <c r="C58" s="1" t="n">
        <v>45895</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45895</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45895</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29675-2024</t>
        </is>
      </c>
      <c r="B61" s="1" t="n">
        <v>45484</v>
      </c>
      <c r="C61" s="1" t="n">
        <v>45895</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64805-2023</t>
        </is>
      </c>
      <c r="B62" s="1" t="n">
        <v>45281</v>
      </c>
      <c r="C62" s="1" t="n">
        <v>45895</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27927-2025</t>
        </is>
      </c>
      <c r="B63" s="1" t="n">
        <v>45817.49013888889</v>
      </c>
      <c r="C63" s="1" t="n">
        <v>45895</v>
      </c>
      <c r="D63" t="inlineStr">
        <is>
          <t>NORRBOTTENS LÄN</t>
        </is>
      </c>
      <c r="E63" t="inlineStr">
        <is>
          <t>KALIX</t>
        </is>
      </c>
      <c r="G63" t="n">
        <v>2.4</v>
      </c>
      <c r="H63" t="n">
        <v>4</v>
      </c>
      <c r="I63" t="n">
        <v>8</v>
      </c>
      <c r="J63" t="n">
        <v>5</v>
      </c>
      <c r="K63" t="n">
        <v>0</v>
      </c>
      <c r="L63" t="n">
        <v>0</v>
      </c>
      <c r="M63" t="n">
        <v>0</v>
      </c>
      <c r="N63" t="n">
        <v>0</v>
      </c>
      <c r="O63" t="n">
        <v>5</v>
      </c>
      <c r="P63" t="n">
        <v>0</v>
      </c>
      <c r="Q63" t="n">
        <v>15</v>
      </c>
      <c r="R63" s="2" t="inlineStr">
        <is>
          <t>Gammelgransskål
Garnlav
Granticka
Lunglav
Ullticka
Dvärgtufs
Korallrot
Källpraktmossa
Skinnlav
Spindelblomster
Stuplav
Vedticka
Ögonpyrola
Fläcknycklar
Nattviol</t>
        </is>
      </c>
      <c r="S63">
        <f>HYPERLINK("https://klasma.github.io/Logging_2514/artfynd/A 27927-2025 artfynd.xlsx", "A 27927-2025")</f>
        <v/>
      </c>
      <c r="T63">
        <f>HYPERLINK("https://klasma.github.io/Logging_2514/kartor/A 27927-2025 karta.png", "A 27927-2025")</f>
        <v/>
      </c>
      <c r="V63">
        <f>HYPERLINK("https://klasma.github.io/Logging_2514/klagomål/A 27927-2025 FSC-klagomål.docx", "A 27927-2025")</f>
        <v/>
      </c>
      <c r="W63">
        <f>HYPERLINK("https://klasma.github.io/Logging_2514/klagomålsmail/A 27927-2025 FSC-klagomål mail.docx", "A 27927-2025")</f>
        <v/>
      </c>
      <c r="X63">
        <f>HYPERLINK("https://klasma.github.io/Logging_2514/tillsyn/A 27927-2025 tillsynsbegäran.docx", "A 27927-2025")</f>
        <v/>
      </c>
      <c r="Y63">
        <f>HYPERLINK("https://klasma.github.io/Logging_2514/tillsynsmail/A 27927-2025 tillsynsbegäran mail.docx", "A 27927-2025")</f>
        <v/>
      </c>
    </row>
    <row r="64" ht="15" customHeight="1">
      <c r="A64" t="inlineStr">
        <is>
          <t>A 53217-2023</t>
        </is>
      </c>
      <c r="B64" s="1" t="n">
        <v>45222</v>
      </c>
      <c r="C64" s="1" t="n">
        <v>45895</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42495-2024</t>
        </is>
      </c>
      <c r="B65" s="1" t="n">
        <v>45565</v>
      </c>
      <c r="C65" s="1" t="n">
        <v>45895</v>
      </c>
      <c r="D65" t="inlineStr">
        <is>
          <t>NORRBOTTENS LÄN</t>
        </is>
      </c>
      <c r="E65" t="inlineStr">
        <is>
          <t>KIRUNA</t>
        </is>
      </c>
      <c r="G65" t="n">
        <v>14.8</v>
      </c>
      <c r="H65" t="n">
        <v>5</v>
      </c>
      <c r="I65" t="n">
        <v>2</v>
      </c>
      <c r="J65" t="n">
        <v>10</v>
      </c>
      <c r="K65" t="n">
        <v>2</v>
      </c>
      <c r="L65" t="n">
        <v>0</v>
      </c>
      <c r="M65" t="n">
        <v>0</v>
      </c>
      <c r="N65" t="n">
        <v>0</v>
      </c>
      <c r="O65" t="n">
        <v>12</v>
      </c>
      <c r="P65" t="n">
        <v>2</v>
      </c>
      <c r="Q65" t="n">
        <v>15</v>
      </c>
      <c r="R65" s="2" t="inlineStr">
        <is>
          <t>Ostticka
Tallbit
Garnlav
Granticka
Harticka
Järpe
Knottrig blåslav
Rosenticka
Stjärntagging
Talltita
Tretåig hackspett
Ullticka
Blodticka
Vedticka
Lavskrika</t>
        </is>
      </c>
      <c r="S65">
        <f>HYPERLINK("https://klasma.github.io/Logging_2584/artfynd/A 42495-2024 artfynd.xlsx", "A 42495-2024")</f>
        <v/>
      </c>
      <c r="T65">
        <f>HYPERLINK("https://klasma.github.io/Logging_2584/kartor/A 42495-2024 karta.png", "A 42495-2024")</f>
        <v/>
      </c>
      <c r="V65">
        <f>HYPERLINK("https://klasma.github.io/Logging_2584/klagomål/A 42495-2024 FSC-klagomål.docx", "A 42495-2024")</f>
        <v/>
      </c>
      <c r="W65">
        <f>HYPERLINK("https://klasma.github.io/Logging_2584/klagomålsmail/A 42495-2024 FSC-klagomål mail.docx", "A 42495-2024")</f>
        <v/>
      </c>
      <c r="X65">
        <f>HYPERLINK("https://klasma.github.io/Logging_2584/tillsyn/A 42495-2024 tillsynsbegäran.docx", "A 42495-2024")</f>
        <v/>
      </c>
      <c r="Y65">
        <f>HYPERLINK("https://klasma.github.io/Logging_2584/tillsynsmail/A 42495-2024 tillsynsbegäran mail.docx", "A 42495-2024")</f>
        <v/>
      </c>
      <c r="Z65">
        <f>HYPERLINK("https://klasma.github.io/Logging_2584/fåglar/A 42495-2024 prioriterade fågelarter.docx", "A 42495-2024")</f>
        <v/>
      </c>
    </row>
    <row r="66" ht="15" customHeight="1">
      <c r="A66" t="inlineStr">
        <is>
          <t>A 62607-2021</t>
        </is>
      </c>
      <c r="B66" s="1" t="n">
        <v>44503</v>
      </c>
      <c r="C66" s="1" t="n">
        <v>45895</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45895</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45895</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16240-2024</t>
        </is>
      </c>
      <c r="B69" s="1" t="n">
        <v>45407</v>
      </c>
      <c r="C69" s="1" t="n">
        <v>45895</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45895</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34441-2025</t>
        </is>
      </c>
      <c r="B71" s="1" t="n">
        <v>45845</v>
      </c>
      <c r="C71" s="1" t="n">
        <v>45895</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18726-2024</t>
        </is>
      </c>
      <c r="B72" s="1" t="n">
        <v>45426</v>
      </c>
      <c r="C72" s="1" t="n">
        <v>45895</v>
      </c>
      <c r="D72" t="inlineStr">
        <is>
          <t>NORRBOTTENS LÄN</t>
        </is>
      </c>
      <c r="E72" t="inlineStr">
        <is>
          <t>KIRUNA</t>
        </is>
      </c>
      <c r="F72" t="inlineStr">
        <is>
          <t>Allmännings- och besparingsskogar</t>
        </is>
      </c>
      <c r="G72" t="n">
        <v>4.9</v>
      </c>
      <c r="H72" t="n">
        <v>0</v>
      </c>
      <c r="I72" t="n">
        <v>1</v>
      </c>
      <c r="J72" t="n">
        <v>6</v>
      </c>
      <c r="K72" t="n">
        <v>6</v>
      </c>
      <c r="L72" t="n">
        <v>0</v>
      </c>
      <c r="M72" t="n">
        <v>0</v>
      </c>
      <c r="N72" t="n">
        <v>0</v>
      </c>
      <c r="O72" t="n">
        <v>12</v>
      </c>
      <c r="P72" t="n">
        <v>6</v>
      </c>
      <c r="Q72" t="n">
        <v>13</v>
      </c>
      <c r="R72" s="2" t="inlineStr">
        <is>
          <t>Fläckporing
Goliatmusseron
Gräddporing
Smalfotad taggsvamp
Tajgataggsvamp
Tallgråticka
Blå taggsvamp
Orange taggsvamp
Skrovlig taggsvamp
Svartvit taggsvamp
Talltaggsvamp
Vaddporing
Dropptaggsvamp</t>
        </is>
      </c>
      <c r="S72">
        <f>HYPERLINK("https://klasma.github.io/Logging_2584/artfynd/A 18726-2024 artfynd.xlsx", "A 18726-2024")</f>
        <v/>
      </c>
      <c r="T72">
        <f>HYPERLINK("https://klasma.github.io/Logging_2584/kartor/A 18726-2024 karta.png", "A 18726-2024")</f>
        <v/>
      </c>
      <c r="V72">
        <f>HYPERLINK("https://klasma.github.io/Logging_2584/klagomål/A 18726-2024 FSC-klagomål.docx", "A 18726-2024")</f>
        <v/>
      </c>
      <c r="W72">
        <f>HYPERLINK("https://klasma.github.io/Logging_2584/klagomålsmail/A 18726-2024 FSC-klagomål mail.docx", "A 18726-2024")</f>
        <v/>
      </c>
      <c r="X72">
        <f>HYPERLINK("https://klasma.github.io/Logging_2584/tillsyn/A 18726-2024 tillsynsbegäran.docx", "A 18726-2024")</f>
        <v/>
      </c>
      <c r="Y72">
        <f>HYPERLINK("https://klasma.github.io/Logging_2584/tillsynsmail/A 18726-2024 tillsynsbegäran mail.docx", "A 18726-2024")</f>
        <v/>
      </c>
    </row>
    <row r="73" ht="15" customHeight="1">
      <c r="A73" t="inlineStr">
        <is>
          <t>A 36383-2024</t>
        </is>
      </c>
      <c r="B73" s="1" t="n">
        <v>45534</v>
      </c>
      <c r="C73" s="1" t="n">
        <v>45895</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45895</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45895</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42505-2020</t>
        </is>
      </c>
      <c r="B76" s="1" t="n">
        <v>44074</v>
      </c>
      <c r="C76" s="1" t="n">
        <v>45895</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41396-2023</t>
        </is>
      </c>
      <c r="B77" s="1" t="n">
        <v>45174.92293981482</v>
      </c>
      <c r="C77" s="1" t="n">
        <v>45895</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45895</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45895</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45895</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45895</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45895</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45895</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3199-2024</t>
        </is>
      </c>
      <c r="B84" s="1" t="n">
        <v>45316</v>
      </c>
      <c r="C84" s="1" t="n">
        <v>45895</v>
      </c>
      <c r="D84" t="inlineStr">
        <is>
          <t>NORRBOTTENS LÄN</t>
        </is>
      </c>
      <c r="E84" t="inlineStr">
        <is>
          <t>ARVIDSJAUR</t>
        </is>
      </c>
      <c r="F84" t="inlineStr">
        <is>
          <t>Allmännings- och besparingsskogar</t>
        </is>
      </c>
      <c r="G84" t="n">
        <v>13.3</v>
      </c>
      <c r="H84" t="n">
        <v>0</v>
      </c>
      <c r="I84" t="n">
        <v>2</v>
      </c>
      <c r="J84" t="n">
        <v>8</v>
      </c>
      <c r="K84" t="n">
        <v>2</v>
      </c>
      <c r="L84" t="n">
        <v>0</v>
      </c>
      <c r="M84" t="n">
        <v>0</v>
      </c>
      <c r="N84" t="n">
        <v>0</v>
      </c>
      <c r="O84" t="n">
        <v>10</v>
      </c>
      <c r="P84" t="n">
        <v>2</v>
      </c>
      <c r="Q84" t="n">
        <v>12</v>
      </c>
      <c r="R84" s="2" t="inlineStr">
        <is>
          <t>Fläckporing
Smalfotad taggsvamp
Blå taggsvamp
Nordtagging
Orange taggsvamp
Skrovlig taggsvamp
Svart taggsvamp
Svartvit taggsvamp
Talltaggsvamp
Vaddporing
Dropptaggsvamp
Skarp dropptaggsvamp</t>
        </is>
      </c>
      <c r="S84">
        <f>HYPERLINK("https://klasma.github.io/Logging_2505/artfynd/A 3199-2024 artfynd.xlsx", "A 3199-2024")</f>
        <v/>
      </c>
      <c r="T84">
        <f>HYPERLINK("https://klasma.github.io/Logging_2505/kartor/A 3199-2024 karta.png", "A 3199-2024")</f>
        <v/>
      </c>
      <c r="V84">
        <f>HYPERLINK("https://klasma.github.io/Logging_2505/klagomål/A 3199-2024 FSC-klagomål.docx", "A 3199-2024")</f>
        <v/>
      </c>
      <c r="W84">
        <f>HYPERLINK("https://klasma.github.io/Logging_2505/klagomålsmail/A 3199-2024 FSC-klagomål mail.docx", "A 3199-2024")</f>
        <v/>
      </c>
      <c r="X84">
        <f>HYPERLINK("https://klasma.github.io/Logging_2505/tillsyn/A 3199-2024 tillsynsbegäran.docx", "A 3199-2024")</f>
        <v/>
      </c>
      <c r="Y84">
        <f>HYPERLINK("https://klasma.github.io/Logging_2505/tillsynsmail/A 3199-2024 tillsynsbegäran mail.docx", "A 3199-2024")</f>
        <v/>
      </c>
    </row>
    <row r="85" ht="15" customHeight="1">
      <c r="A85" t="inlineStr">
        <is>
          <t>A 7957-2022</t>
        </is>
      </c>
      <c r="B85" s="1" t="n">
        <v>44608.93834490741</v>
      </c>
      <c r="C85" s="1" t="n">
        <v>45895</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44336-2023</t>
        </is>
      </c>
      <c r="B86" s="1" t="n">
        <v>45188</v>
      </c>
      <c r="C86" s="1" t="n">
        <v>45895</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45895</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45895</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45895</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39720-2025</t>
        </is>
      </c>
      <c r="B90" s="1" t="n">
        <v>45891.32903935185</v>
      </c>
      <c r="C90" s="1" t="n">
        <v>45895</v>
      </c>
      <c r="D90" t="inlineStr">
        <is>
          <t>NORRBOTTENS LÄN</t>
        </is>
      </c>
      <c r="E90" t="inlineStr">
        <is>
          <t>GÄLLIVARE</t>
        </is>
      </c>
      <c r="F90" t="inlineStr">
        <is>
          <t>Sveaskog</t>
        </is>
      </c>
      <c r="G90" t="n">
        <v>35.5</v>
      </c>
      <c r="H90" t="n">
        <v>5</v>
      </c>
      <c r="I90" t="n">
        <v>3</v>
      </c>
      <c r="J90" t="n">
        <v>7</v>
      </c>
      <c r="K90" t="n">
        <v>0</v>
      </c>
      <c r="L90" t="n">
        <v>0</v>
      </c>
      <c r="M90" t="n">
        <v>0</v>
      </c>
      <c r="N90" t="n">
        <v>0</v>
      </c>
      <c r="O90" t="n">
        <v>7</v>
      </c>
      <c r="P90" t="n">
        <v>0</v>
      </c>
      <c r="Q90" t="n">
        <v>12</v>
      </c>
      <c r="R90" s="2" t="inlineStr">
        <is>
          <t>Björktrast
Blå taggsvamp
Dvärgbägarlav
Rödvingetrast
Vaddporing
Vedflamlav
Vedskivlav
Bårdlav
Plattlummer
Stuplav
Grönsiska
Kungsfågel</t>
        </is>
      </c>
      <c r="S90">
        <f>HYPERLINK("https://klasma.github.io/Logging_2523/artfynd/A 39720-2025 artfynd.xlsx", "A 39720-2025")</f>
        <v/>
      </c>
      <c r="T90">
        <f>HYPERLINK("https://klasma.github.io/Logging_2523/kartor/A 39720-2025 karta.png", "A 39720-2025")</f>
        <v/>
      </c>
      <c r="V90">
        <f>HYPERLINK("https://klasma.github.io/Logging_2523/klagomål/A 39720-2025 FSC-klagomål.docx", "A 39720-2025")</f>
        <v/>
      </c>
      <c r="W90">
        <f>HYPERLINK("https://klasma.github.io/Logging_2523/klagomålsmail/A 39720-2025 FSC-klagomål mail.docx", "A 39720-2025")</f>
        <v/>
      </c>
      <c r="X90">
        <f>HYPERLINK("https://klasma.github.io/Logging_2523/tillsyn/A 39720-2025 tillsynsbegäran.docx", "A 39720-2025")</f>
        <v/>
      </c>
      <c r="Y90">
        <f>HYPERLINK("https://klasma.github.io/Logging_2523/tillsynsmail/A 39720-2025 tillsynsbegäran mail.docx", "A 39720-2025")</f>
        <v/>
      </c>
      <c r="Z90">
        <f>HYPERLINK("https://klasma.github.io/Logging_2523/fåglar/A 39720-2025 prioriterade fågelarter.docx", "A 39720-2025")</f>
        <v/>
      </c>
    </row>
    <row r="91" ht="15" customHeight="1">
      <c r="A91" t="inlineStr">
        <is>
          <t>A 26954-2022</t>
        </is>
      </c>
      <c r="B91" s="1" t="n">
        <v>44740</v>
      </c>
      <c r="C91" s="1" t="n">
        <v>45895</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41916-2024</t>
        </is>
      </c>
      <c r="B92" s="1" t="n">
        <v>45561</v>
      </c>
      <c r="C92" s="1" t="n">
        <v>45895</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22563-2025</t>
        </is>
      </c>
      <c r="B93" s="1" t="n">
        <v>45789</v>
      </c>
      <c r="C93" s="1" t="n">
        <v>45895</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69012-2021</t>
        </is>
      </c>
      <c r="B94" s="1" t="n">
        <v>44530</v>
      </c>
      <c r="C94" s="1" t="n">
        <v>45895</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45895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26670-2022</t>
        </is>
      </c>
      <c r="B96" s="1" t="n">
        <v>44739</v>
      </c>
      <c r="C96" s="1" t="n">
        <v>45895</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7068-2023</t>
        </is>
      </c>
      <c r="B97" s="1" t="n">
        <v>44969</v>
      </c>
      <c r="C97" s="1" t="n">
        <v>45895</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47048-2024</t>
        </is>
      </c>
      <c r="B98" s="1" t="n">
        <v>45586</v>
      </c>
      <c r="C98" s="1" t="n">
        <v>45895</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49461-2024</t>
        </is>
      </c>
      <c r="B99" s="1" t="n">
        <v>45596.30496527778</v>
      </c>
      <c r="C99" s="1" t="n">
        <v>45895</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1571-2024</t>
        </is>
      </c>
      <c r="B100" s="1" t="n">
        <v>45306</v>
      </c>
      <c r="C100" s="1" t="n">
        <v>45895</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21993-2025</t>
        </is>
      </c>
      <c r="B101" s="1" t="n">
        <v>45784</v>
      </c>
      <c r="C101" s="1" t="n">
        <v>45895</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18577-2021</t>
        </is>
      </c>
      <c r="B102" s="1" t="n">
        <v>44305</v>
      </c>
      <c r="C102" s="1" t="n">
        <v>45895</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49479-2024</t>
        </is>
      </c>
      <c r="B103" s="1" t="n">
        <v>45596.34681712963</v>
      </c>
      <c r="C103" s="1" t="n">
        <v>45895</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45895</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45895</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45121-2023</t>
        </is>
      </c>
      <c r="B106" s="1" t="n">
        <v>45191</v>
      </c>
      <c r="C106" s="1" t="n">
        <v>45895</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64709-2020</t>
        </is>
      </c>
      <c r="B107" s="1" t="n">
        <v>44169</v>
      </c>
      <c r="C107" s="1" t="n">
        <v>45895</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45895</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31143-2025</t>
        </is>
      </c>
      <c r="B109" s="1" t="n">
        <v>45831</v>
      </c>
      <c r="C109" s="1" t="n">
        <v>45895</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55913-2023</t>
        </is>
      </c>
      <c r="B110" s="1" t="n">
        <v>45239</v>
      </c>
      <c r="C110" s="1" t="n">
        <v>45895</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45895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45895</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45895</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45895</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55316-2023</t>
        </is>
      </c>
      <c r="B115" s="1" t="n">
        <v>45237</v>
      </c>
      <c r="C115" s="1" t="n">
        <v>45895</v>
      </c>
      <c r="D115" t="inlineStr">
        <is>
          <t>NORRBOTTENS LÄN</t>
        </is>
      </c>
      <c r="E115" t="inlineStr">
        <is>
          <t>BODEN</t>
        </is>
      </c>
      <c r="G115" t="n">
        <v>17.6</v>
      </c>
      <c r="H115" t="n">
        <v>4</v>
      </c>
      <c r="I115" t="n">
        <v>1</v>
      </c>
      <c r="J115" t="n">
        <v>7</v>
      </c>
      <c r="K115" t="n">
        <v>0</v>
      </c>
      <c r="L115" t="n">
        <v>0</v>
      </c>
      <c r="M115" t="n">
        <v>0</v>
      </c>
      <c r="N115" t="n">
        <v>0</v>
      </c>
      <c r="O115" t="n">
        <v>7</v>
      </c>
      <c r="P115" t="n">
        <v>0</v>
      </c>
      <c r="Q115" t="n">
        <v>9</v>
      </c>
      <c r="R115" s="2" t="inlineStr">
        <is>
          <t>Buskskvätta
Gammelgransskål
Granticka
Lunglav
Svartvit flugsnappare
Ullticka
Videsparv
Bollvitmossa
Revlummer</t>
        </is>
      </c>
      <c r="S115">
        <f>HYPERLINK("https://klasma.github.io/Logging_2582/artfynd/A 55316-2023 artfynd.xlsx", "A 55316-2023")</f>
        <v/>
      </c>
      <c r="T115">
        <f>HYPERLINK("https://klasma.github.io/Logging_2582/kartor/A 55316-2023 karta.png", "A 55316-2023")</f>
        <v/>
      </c>
      <c r="V115">
        <f>HYPERLINK("https://klasma.github.io/Logging_2582/klagomål/A 55316-2023 FSC-klagomål.docx", "A 55316-2023")</f>
        <v/>
      </c>
      <c r="W115">
        <f>HYPERLINK("https://klasma.github.io/Logging_2582/klagomålsmail/A 55316-2023 FSC-klagomål mail.docx", "A 55316-2023")</f>
        <v/>
      </c>
      <c r="X115">
        <f>HYPERLINK("https://klasma.github.io/Logging_2582/tillsyn/A 55316-2023 tillsynsbegäran.docx", "A 55316-2023")</f>
        <v/>
      </c>
      <c r="Y115">
        <f>HYPERLINK("https://klasma.github.io/Logging_2582/tillsynsmail/A 55316-2023 tillsynsbegäran mail.docx", "A 55316-2023")</f>
        <v/>
      </c>
      <c r="Z115">
        <f>HYPERLINK("https://klasma.github.io/Logging_2582/fåglar/A 55316-2023 prioriterade fågelarter.docx", "A 55316-2023")</f>
        <v/>
      </c>
    </row>
    <row r="116" ht="15" customHeight="1">
      <c r="A116" t="inlineStr">
        <is>
          <t>A 36982-2023</t>
        </is>
      </c>
      <c r="B116" s="1" t="n">
        <v>45154</v>
      </c>
      <c r="C116" s="1" t="n">
        <v>45895</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20961-2025</t>
        </is>
      </c>
      <c r="B117" s="1" t="n">
        <v>45777</v>
      </c>
      <c r="C117" s="1" t="n">
        <v>45895</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45895</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45895</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45895</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35247-2022</t>
        </is>
      </c>
      <c r="B121" s="1" t="n">
        <v>44797</v>
      </c>
      <c r="C121" s="1" t="n">
        <v>45895</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28052-2024</t>
        </is>
      </c>
      <c r="B122" s="1" t="n">
        <v>45476.54096064815</v>
      </c>
      <c r="C122" s="1" t="n">
        <v>45895</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36487-2025</t>
        </is>
      </c>
      <c r="B123" s="1" t="n">
        <v>45869</v>
      </c>
      <c r="C123" s="1" t="n">
        <v>45895</v>
      </c>
      <c r="D123" t="inlineStr">
        <is>
          <t>NORRBOTTENS LÄN</t>
        </is>
      </c>
      <c r="E123" t="inlineStr">
        <is>
          <t>GÄLLIVARE</t>
        </is>
      </c>
      <c r="F123" t="inlineStr">
        <is>
          <t>Sveaskog</t>
        </is>
      </c>
      <c r="G123" t="n">
        <v>2.8</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36487-2025 artfynd.xlsx", "A 36487-2025")</f>
        <v/>
      </c>
      <c r="T123">
        <f>HYPERLINK("https://klasma.github.io/Logging_2523/kartor/A 36487-2025 karta.png", "A 36487-2025")</f>
        <v/>
      </c>
      <c r="U123">
        <f>HYPERLINK("https://klasma.github.io/Logging_2523/knärot/A 36487-2025 karta knärot.png", "A 36487-2025")</f>
        <v/>
      </c>
      <c r="V123">
        <f>HYPERLINK("https://klasma.github.io/Logging_2523/klagomål/A 36487-2025 FSC-klagomål.docx", "A 36487-2025")</f>
        <v/>
      </c>
      <c r="W123">
        <f>HYPERLINK("https://klasma.github.io/Logging_2523/klagomålsmail/A 36487-2025 FSC-klagomål mail.docx", "A 36487-2025")</f>
        <v/>
      </c>
      <c r="X123">
        <f>HYPERLINK("https://klasma.github.io/Logging_2523/tillsyn/A 36487-2025 tillsynsbegäran.docx", "A 36487-2025")</f>
        <v/>
      </c>
      <c r="Y123">
        <f>HYPERLINK("https://klasma.github.io/Logging_2523/tillsynsmail/A 36487-2025 tillsynsbegäran mail.docx", "A 36487-2025")</f>
        <v/>
      </c>
      <c r="Z123">
        <f>HYPERLINK("https://klasma.github.io/Logging_2523/fåglar/A 36487-2025 prioriterade fågelarter.docx", "A 36487-2025")</f>
        <v/>
      </c>
    </row>
    <row r="124" ht="15" customHeight="1">
      <c r="A124" t="inlineStr">
        <is>
          <t>A 73873-2021</t>
        </is>
      </c>
      <c r="B124" s="1" t="n">
        <v>44552</v>
      </c>
      <c r="C124" s="1" t="n">
        <v>45895</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42793-2020</t>
        </is>
      </c>
      <c r="B125" s="1" t="n">
        <v>44076</v>
      </c>
      <c r="C125" s="1" t="n">
        <v>45895</v>
      </c>
      <c r="D125" t="inlineStr">
        <is>
          <t>NORRBOTTENS LÄN</t>
        </is>
      </c>
      <c r="E125" t="inlineStr">
        <is>
          <t>JOKKMOKK</t>
        </is>
      </c>
      <c r="F125" t="inlineStr">
        <is>
          <t>Övriga statliga verk och myndigheter</t>
        </is>
      </c>
      <c r="G125" t="n">
        <v>13.2</v>
      </c>
      <c r="H125" t="n">
        <v>0</v>
      </c>
      <c r="I125" t="n">
        <v>1</v>
      </c>
      <c r="J125" t="n">
        <v>7</v>
      </c>
      <c r="K125" t="n">
        <v>0</v>
      </c>
      <c r="L125" t="n">
        <v>0</v>
      </c>
      <c r="M125" t="n">
        <v>0</v>
      </c>
      <c r="N125" t="n">
        <v>0</v>
      </c>
      <c r="O125" t="n">
        <v>7</v>
      </c>
      <c r="P125" t="n">
        <v>0</v>
      </c>
      <c r="Q125" t="n">
        <v>8</v>
      </c>
      <c r="R125" s="2" t="inlineStr">
        <is>
          <t>Dvärgbägarlav
Gammelgransskål
Granticka
Harticka
Knottrig blåslav
Rosenticka
Ullticka
Ögonpyrola</t>
        </is>
      </c>
      <c r="S125">
        <f>HYPERLINK("https://klasma.github.io/Logging_2510/artfynd/A 42793-2020 artfynd.xlsx", "A 42793-2020")</f>
        <v/>
      </c>
      <c r="T125">
        <f>HYPERLINK("https://klasma.github.io/Logging_2510/kartor/A 42793-2020 karta.png", "A 42793-2020")</f>
        <v/>
      </c>
      <c r="V125">
        <f>HYPERLINK("https://klasma.github.io/Logging_2510/klagomål/A 42793-2020 FSC-klagomål.docx", "A 42793-2020")</f>
        <v/>
      </c>
      <c r="W125">
        <f>HYPERLINK("https://klasma.github.io/Logging_2510/klagomålsmail/A 42793-2020 FSC-klagomål mail.docx", "A 42793-2020")</f>
        <v/>
      </c>
      <c r="X125">
        <f>HYPERLINK("https://klasma.github.io/Logging_2510/tillsyn/A 42793-2020 tillsynsbegäran.docx", "A 42793-2020")</f>
        <v/>
      </c>
      <c r="Y125">
        <f>HYPERLINK("https://klasma.github.io/Logging_2510/tillsynsmail/A 42793-2020 tillsynsbegäran mail.docx", "A 42793-2020")</f>
        <v/>
      </c>
    </row>
    <row r="126" ht="15" customHeight="1">
      <c r="A126" t="inlineStr">
        <is>
          <t>A 49753-2022</t>
        </is>
      </c>
      <c r="B126" s="1" t="n">
        <v>44859</v>
      </c>
      <c r="C126" s="1" t="n">
        <v>45895</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45895</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45895</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25145-2021</t>
        </is>
      </c>
      <c r="B129" s="1" t="n">
        <v>44341</v>
      </c>
      <c r="C129" s="1" t="n">
        <v>45895</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65184-2023</t>
        </is>
      </c>
      <c r="B130" s="1" t="n">
        <v>45288.93304398148</v>
      </c>
      <c r="C130" s="1" t="n">
        <v>45895</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56172-2022</t>
        </is>
      </c>
      <c r="B131" s="1" t="n">
        <v>44889</v>
      </c>
      <c r="C131" s="1" t="n">
        <v>45895</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45895</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54297-2020</t>
        </is>
      </c>
      <c r="B133" s="1" t="n">
        <v>44124</v>
      </c>
      <c r="C133" s="1" t="n">
        <v>45895</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49809-2023</t>
        </is>
      </c>
      <c r="B134" s="1" t="n">
        <v>45212</v>
      </c>
      <c r="C134" s="1" t="n">
        <v>45895</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48673-2023</t>
        </is>
      </c>
      <c r="B135" s="1" t="n">
        <v>45203</v>
      </c>
      <c r="C135" s="1" t="n">
        <v>45895</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45895</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9923-2025</t>
        </is>
      </c>
      <c r="B137" s="1" t="n">
        <v>45717</v>
      </c>
      <c r="C137" s="1" t="n">
        <v>45895</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28421-2025</t>
        </is>
      </c>
      <c r="B138" s="1" t="n">
        <v>45819</v>
      </c>
      <c r="C138" s="1" t="n">
        <v>45895</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36134-2025</t>
        </is>
      </c>
      <c r="B139" s="1" t="n">
        <v>45866.63324074074</v>
      </c>
      <c r="C139" s="1" t="n">
        <v>45895</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403-2024</t>
        </is>
      </c>
      <c r="B140" s="1" t="n">
        <v>45296</v>
      </c>
      <c r="C140" s="1" t="n">
        <v>45895</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34146-2023</t>
        </is>
      </c>
      <c r="B141" s="1" t="n">
        <v>45136</v>
      </c>
      <c r="C141" s="1" t="n">
        <v>45895</v>
      </c>
      <c r="D141" t="inlineStr">
        <is>
          <t>NORRBOTTENS LÄN</t>
        </is>
      </c>
      <c r="E141" t="inlineStr">
        <is>
          <t>ÖVERTORNEÅ</t>
        </is>
      </c>
      <c r="G141" t="n">
        <v>7.9</v>
      </c>
      <c r="H141" t="n">
        <v>1</v>
      </c>
      <c r="I141" t="n">
        <v>3</v>
      </c>
      <c r="J141" t="n">
        <v>4</v>
      </c>
      <c r="K141" t="n">
        <v>1</v>
      </c>
      <c r="L141" t="n">
        <v>0</v>
      </c>
      <c r="M141" t="n">
        <v>0</v>
      </c>
      <c r="N141" t="n">
        <v>0</v>
      </c>
      <c r="O141" t="n">
        <v>5</v>
      </c>
      <c r="P141" t="n">
        <v>1</v>
      </c>
      <c r="Q141" t="n">
        <v>8</v>
      </c>
      <c r="R141" s="2" t="inlineStr">
        <is>
          <t>Knärot
Gammelgransskål
Garnlav
Granticka
Ullticka
Skinnlav
Stuplav
Vedticka</t>
        </is>
      </c>
      <c r="S141">
        <f>HYPERLINK("https://klasma.github.io/Logging_2518/artfynd/A 34146-2023 artfynd.xlsx", "A 34146-2023")</f>
        <v/>
      </c>
      <c r="T141">
        <f>HYPERLINK("https://klasma.github.io/Logging_2518/kartor/A 34146-2023 karta.png", "A 34146-2023")</f>
        <v/>
      </c>
      <c r="U141">
        <f>HYPERLINK("https://klasma.github.io/Logging_2518/knärot/A 34146-2023 karta knärot.png", "A 34146-2023")</f>
        <v/>
      </c>
      <c r="V141">
        <f>HYPERLINK("https://klasma.github.io/Logging_2518/klagomål/A 34146-2023 FSC-klagomål.docx", "A 34146-2023")</f>
        <v/>
      </c>
      <c r="W141">
        <f>HYPERLINK("https://klasma.github.io/Logging_2518/klagomålsmail/A 34146-2023 FSC-klagomål mail.docx", "A 34146-2023")</f>
        <v/>
      </c>
      <c r="X141">
        <f>HYPERLINK("https://klasma.github.io/Logging_2518/tillsyn/A 34146-2023 tillsynsbegäran.docx", "A 34146-2023")</f>
        <v/>
      </c>
      <c r="Y141">
        <f>HYPERLINK("https://klasma.github.io/Logging_2518/tillsynsmail/A 34146-2023 tillsynsbegäran mail.docx", "A 34146-2023")</f>
        <v/>
      </c>
    </row>
    <row r="142" ht="15" customHeight="1">
      <c r="A142" t="inlineStr">
        <is>
          <t>A 40107-2024</t>
        </is>
      </c>
      <c r="B142" s="1" t="n">
        <v>45554</v>
      </c>
      <c r="C142" s="1" t="n">
        <v>45895</v>
      </c>
      <c r="D142" t="inlineStr">
        <is>
          <t>NORRBOTTENS LÄN</t>
        </is>
      </c>
      <c r="E142" t="inlineStr">
        <is>
          <t>ÄLVSBYN</t>
        </is>
      </c>
      <c r="G142" t="n">
        <v>6.4</v>
      </c>
      <c r="H142" t="n">
        <v>3</v>
      </c>
      <c r="I142" t="n">
        <v>1</v>
      </c>
      <c r="J142" t="n">
        <v>6</v>
      </c>
      <c r="K142" t="n">
        <v>1</v>
      </c>
      <c r="L142" t="n">
        <v>0</v>
      </c>
      <c r="M142" t="n">
        <v>0</v>
      </c>
      <c r="N142" t="n">
        <v>0</v>
      </c>
      <c r="O142" t="n">
        <v>7</v>
      </c>
      <c r="P142" t="n">
        <v>1</v>
      </c>
      <c r="Q142" t="n">
        <v>8</v>
      </c>
      <c r="R142" s="2" t="inlineStr">
        <is>
          <t>Knärot
Fjällvråk
Gammelgransskål
Garnlav
Knottrig blåslav
Spillkråka
Vitgrynig nållav
Källpraktmossa</t>
        </is>
      </c>
      <c r="S142">
        <f>HYPERLINK("https://klasma.github.io/Logging_2560/artfynd/A 40107-2024 artfynd.xlsx", "A 40107-2024")</f>
        <v/>
      </c>
      <c r="T142">
        <f>HYPERLINK("https://klasma.github.io/Logging_2560/kartor/A 40107-2024 karta.png", "A 40107-2024")</f>
        <v/>
      </c>
      <c r="U142">
        <f>HYPERLINK("https://klasma.github.io/Logging_2560/knärot/A 40107-2024 karta knärot.png", "A 40107-2024")</f>
        <v/>
      </c>
      <c r="V142">
        <f>HYPERLINK("https://klasma.github.io/Logging_2560/klagomål/A 40107-2024 FSC-klagomål.docx", "A 40107-2024")</f>
        <v/>
      </c>
      <c r="W142">
        <f>HYPERLINK("https://klasma.github.io/Logging_2560/klagomålsmail/A 40107-2024 FSC-klagomål mail.docx", "A 40107-2024")</f>
        <v/>
      </c>
      <c r="X142">
        <f>HYPERLINK("https://klasma.github.io/Logging_2560/tillsyn/A 40107-2024 tillsynsbegäran.docx", "A 40107-2024")</f>
        <v/>
      </c>
      <c r="Y142">
        <f>HYPERLINK("https://klasma.github.io/Logging_2560/tillsynsmail/A 40107-2024 tillsynsbegäran mail.docx", "A 40107-2024")</f>
        <v/>
      </c>
      <c r="Z142">
        <f>HYPERLINK("https://klasma.github.io/Logging_2560/fåglar/A 40107-2024 prioriterade fågelarter.docx", "A 40107-2024")</f>
        <v/>
      </c>
    </row>
    <row r="143" ht="15" customHeight="1">
      <c r="A143" t="inlineStr">
        <is>
          <t>A 60484-2024</t>
        </is>
      </c>
      <c r="B143" s="1" t="n">
        <v>45643.63832175926</v>
      </c>
      <c r="C143" s="1" t="n">
        <v>45895</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45895</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51520-2020</t>
        </is>
      </c>
      <c r="B145" s="1" t="n">
        <v>44109</v>
      </c>
      <c r="C145" s="1" t="n">
        <v>45895</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45895</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45895</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53440-2022</t>
        </is>
      </c>
      <c r="B148" s="1" t="n">
        <v>44874</v>
      </c>
      <c r="C148" s="1" t="n">
        <v>45895</v>
      </c>
      <c r="D148" t="inlineStr">
        <is>
          <t>NORRBOTTENS LÄN</t>
        </is>
      </c>
      <c r="E148" t="inlineStr">
        <is>
          <t>PAJALA</t>
        </is>
      </c>
      <c r="F148" t="inlineStr">
        <is>
          <t>Allmännings- och besparingsskogar</t>
        </is>
      </c>
      <c r="G148" t="n">
        <v>7.2</v>
      </c>
      <c r="H148" t="n">
        <v>2</v>
      </c>
      <c r="I148" t="n">
        <v>2</v>
      </c>
      <c r="J148" t="n">
        <v>3</v>
      </c>
      <c r="K148" t="n">
        <v>0</v>
      </c>
      <c r="L148" t="n">
        <v>0</v>
      </c>
      <c r="M148" t="n">
        <v>0</v>
      </c>
      <c r="N148" t="n">
        <v>0</v>
      </c>
      <c r="O148" t="n">
        <v>3</v>
      </c>
      <c r="P148" t="n">
        <v>0</v>
      </c>
      <c r="Q148" t="n">
        <v>7</v>
      </c>
      <c r="R148" s="2" t="inlineStr">
        <is>
          <t>Brunpudrad nållav
Gammelgransskål
Vitgrynig nållav
Skör kvastmossa
Vedticka
Tjäder
Revlummer</t>
        </is>
      </c>
      <c r="S148">
        <f>HYPERLINK("https://klasma.github.io/Logging_2521/artfynd/A 53440-2022 artfynd.xlsx", "A 53440-2022")</f>
        <v/>
      </c>
      <c r="T148">
        <f>HYPERLINK("https://klasma.github.io/Logging_2521/kartor/A 53440-2022 karta.png", "A 53440-2022")</f>
        <v/>
      </c>
      <c r="V148">
        <f>HYPERLINK("https://klasma.github.io/Logging_2521/klagomål/A 53440-2022 FSC-klagomål.docx", "A 53440-2022")</f>
        <v/>
      </c>
      <c r="W148">
        <f>HYPERLINK("https://klasma.github.io/Logging_2521/klagomålsmail/A 53440-2022 FSC-klagomål mail.docx", "A 53440-2022")</f>
        <v/>
      </c>
      <c r="X148">
        <f>HYPERLINK("https://klasma.github.io/Logging_2521/tillsyn/A 53440-2022 tillsynsbegäran.docx", "A 53440-2022")</f>
        <v/>
      </c>
      <c r="Y148">
        <f>HYPERLINK("https://klasma.github.io/Logging_2521/tillsynsmail/A 53440-2022 tillsynsbegäran mail.docx", "A 53440-2022")</f>
        <v/>
      </c>
      <c r="Z148">
        <f>HYPERLINK("https://klasma.github.io/Logging_2521/fåglar/A 53440-2022 prioriterade fågelarter.docx", "A 53440-2022")</f>
        <v/>
      </c>
    </row>
    <row r="149" ht="15" customHeight="1">
      <c r="A149" t="inlineStr">
        <is>
          <t>A 4544-2024</t>
        </is>
      </c>
      <c r="B149" s="1" t="n">
        <v>45327</v>
      </c>
      <c r="C149" s="1" t="n">
        <v>45895</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22335-2025</t>
        </is>
      </c>
      <c r="B150" s="1" t="n">
        <v>45786.44121527778</v>
      </c>
      <c r="C150" s="1" t="n">
        <v>45895</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26731-2024</t>
        </is>
      </c>
      <c r="B151" s="1" t="n">
        <v>45470</v>
      </c>
      <c r="C151" s="1" t="n">
        <v>45895</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25028-2025</t>
        </is>
      </c>
      <c r="B152" s="1" t="n">
        <v>45799</v>
      </c>
      <c r="C152" s="1" t="n">
        <v>45895</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41915-2024</t>
        </is>
      </c>
      <c r="B153" s="1" t="n">
        <v>45561</v>
      </c>
      <c r="C153" s="1" t="n">
        <v>45895</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4703-2025</t>
        </is>
      </c>
      <c r="B154" s="1" t="n">
        <v>45688</v>
      </c>
      <c r="C154" s="1" t="n">
        <v>45895</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319-2024</t>
        </is>
      </c>
      <c r="B155" s="1" t="n">
        <v>45295</v>
      </c>
      <c r="C155" s="1" t="n">
        <v>45895</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45895</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11762-2025</t>
        </is>
      </c>
      <c r="B157" s="1" t="n">
        <v>45727.65422453704</v>
      </c>
      <c r="C157" s="1" t="n">
        <v>45895</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33324-2023</t>
        </is>
      </c>
      <c r="B158" s="1" t="n">
        <v>45127.92238425926</v>
      </c>
      <c r="C158" s="1" t="n">
        <v>45895</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45895</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8835-2021</t>
        </is>
      </c>
      <c r="B160" s="1" t="n">
        <v>44245</v>
      </c>
      <c r="C160" s="1" t="n">
        <v>45895</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18382-2025</t>
        </is>
      </c>
      <c r="B161" s="1" t="n">
        <v>45762</v>
      </c>
      <c r="C161" s="1" t="n">
        <v>45895</v>
      </c>
      <c r="D161" t="inlineStr">
        <is>
          <t>NORRBOTTENS LÄN</t>
        </is>
      </c>
      <c r="E161" t="inlineStr">
        <is>
          <t>LULEÅ</t>
        </is>
      </c>
      <c r="G161" t="n">
        <v>7.1</v>
      </c>
      <c r="H161" t="n">
        <v>2</v>
      </c>
      <c r="I161" t="n">
        <v>2</v>
      </c>
      <c r="J161" t="n">
        <v>3</v>
      </c>
      <c r="K161" t="n">
        <v>1</v>
      </c>
      <c r="L161" t="n">
        <v>0</v>
      </c>
      <c r="M161" t="n">
        <v>0</v>
      </c>
      <c r="N161" t="n">
        <v>0</v>
      </c>
      <c r="O161" t="n">
        <v>4</v>
      </c>
      <c r="P161" t="n">
        <v>1</v>
      </c>
      <c r="Q161" t="n">
        <v>6</v>
      </c>
      <c r="R161" s="2" t="inlineStr">
        <is>
          <t>Knärot
Garnlav
Ullticka
Violettgrå tagellav
Skinnlav
Spindelblomster</t>
        </is>
      </c>
      <c r="S161">
        <f>HYPERLINK("https://klasma.github.io/Logging_2580/artfynd/A 18382-2025 artfynd.xlsx", "A 18382-2025")</f>
        <v/>
      </c>
      <c r="T161">
        <f>HYPERLINK("https://klasma.github.io/Logging_2580/kartor/A 18382-2025 karta.png", "A 18382-2025")</f>
        <v/>
      </c>
      <c r="U161">
        <f>HYPERLINK("https://klasma.github.io/Logging_2580/knärot/A 18382-2025 karta knärot.png", "A 18382-2025")</f>
        <v/>
      </c>
      <c r="V161">
        <f>HYPERLINK("https://klasma.github.io/Logging_2580/klagomål/A 18382-2025 FSC-klagomål.docx", "A 18382-2025")</f>
        <v/>
      </c>
      <c r="W161">
        <f>HYPERLINK("https://klasma.github.io/Logging_2580/klagomålsmail/A 18382-2025 FSC-klagomål mail.docx", "A 18382-2025")</f>
        <v/>
      </c>
      <c r="X161">
        <f>HYPERLINK("https://klasma.github.io/Logging_2580/tillsyn/A 18382-2025 tillsynsbegäran.docx", "A 18382-2025")</f>
        <v/>
      </c>
      <c r="Y161">
        <f>HYPERLINK("https://klasma.github.io/Logging_2580/tillsynsmail/A 18382-2025 tillsynsbegäran mail.docx", "A 18382-2025")</f>
        <v/>
      </c>
    </row>
    <row r="162" ht="15" customHeight="1">
      <c r="A162" t="inlineStr">
        <is>
          <t>A 28951-2024</t>
        </is>
      </c>
      <c r="B162" s="1" t="n">
        <v>45481</v>
      </c>
      <c r="C162" s="1" t="n">
        <v>45895</v>
      </c>
      <c r="D162" t="inlineStr">
        <is>
          <t>NORRBOTTENS LÄN</t>
        </is>
      </c>
      <c r="E162" t="inlineStr">
        <is>
          <t>ÖVERTORNEÅ</t>
        </is>
      </c>
      <c r="G162" t="n">
        <v>11.8</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28951-2024 artfynd.xlsx", "A 28951-2024")</f>
        <v/>
      </c>
      <c r="T162">
        <f>HYPERLINK("https://klasma.github.io/Logging_2518/kartor/A 28951-2024 karta.png", "A 28951-2024")</f>
        <v/>
      </c>
      <c r="V162">
        <f>HYPERLINK("https://klasma.github.io/Logging_2518/klagomål/A 28951-2024 FSC-klagomål.docx", "A 28951-2024")</f>
        <v/>
      </c>
      <c r="W162">
        <f>HYPERLINK("https://klasma.github.io/Logging_2518/klagomålsmail/A 28951-2024 FSC-klagomål mail.docx", "A 28951-2024")</f>
        <v/>
      </c>
      <c r="X162">
        <f>HYPERLINK("https://klasma.github.io/Logging_2518/tillsyn/A 28951-2024 tillsynsbegäran.docx", "A 28951-2024")</f>
        <v/>
      </c>
      <c r="Y162">
        <f>HYPERLINK("https://klasma.github.io/Logging_2518/tillsynsmail/A 28951-2024 tillsynsbegäran mail.docx", "A 28951-2024")</f>
        <v/>
      </c>
      <c r="Z162">
        <f>HYPERLINK("https://klasma.github.io/Logging_2518/fåglar/A 28951-2024 prioriterade fågelarter.docx", "A 28951-2024")</f>
        <v/>
      </c>
    </row>
    <row r="163" ht="15" customHeight="1">
      <c r="A163" t="inlineStr">
        <is>
          <t>A 7958-2022</t>
        </is>
      </c>
      <c r="B163" s="1" t="n">
        <v>44608.93842592592</v>
      </c>
      <c r="C163" s="1" t="n">
        <v>45895</v>
      </c>
      <c r="D163" t="inlineStr">
        <is>
          <t>NORRBOTTENS LÄN</t>
        </is>
      </c>
      <c r="E163" t="inlineStr">
        <is>
          <t>PAJALA</t>
        </is>
      </c>
      <c r="F163" t="inlineStr">
        <is>
          <t>SCA</t>
        </is>
      </c>
      <c r="G163" t="n">
        <v>30.7</v>
      </c>
      <c r="H163" t="n">
        <v>1</v>
      </c>
      <c r="I163" t="n">
        <v>2</v>
      </c>
      <c r="J163" t="n">
        <v>4</v>
      </c>
      <c r="K163" t="n">
        <v>0</v>
      </c>
      <c r="L163" t="n">
        <v>0</v>
      </c>
      <c r="M163" t="n">
        <v>0</v>
      </c>
      <c r="N163" t="n">
        <v>0</v>
      </c>
      <c r="O163" t="n">
        <v>4</v>
      </c>
      <c r="P163" t="n">
        <v>0</v>
      </c>
      <c r="Q163" t="n">
        <v>6</v>
      </c>
      <c r="R163" s="2" t="inlineStr">
        <is>
          <t>Garnlav
Granticka
Rosenticka
Ullticka
Plattlummer
Trådticka</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row>
    <row r="164" ht="15" customHeight="1">
      <c r="A164" t="inlineStr">
        <is>
          <t>A 55429-2024</t>
        </is>
      </c>
      <c r="B164" s="1" t="n">
        <v>45622</v>
      </c>
      <c r="C164" s="1" t="n">
        <v>45895</v>
      </c>
      <c r="D164" t="inlineStr">
        <is>
          <t>NORRBOTTENS LÄN</t>
        </is>
      </c>
      <c r="E164" t="inlineStr">
        <is>
          <t>BODEN</t>
        </is>
      </c>
      <c r="F164" t="inlineStr">
        <is>
          <t>Sveaskog</t>
        </is>
      </c>
      <c r="G164" t="n">
        <v>22.3</v>
      </c>
      <c r="H164" t="n">
        <v>0</v>
      </c>
      <c r="I164" t="n">
        <v>1</v>
      </c>
      <c r="J164" t="n">
        <v>4</v>
      </c>
      <c r="K164" t="n">
        <v>1</v>
      </c>
      <c r="L164" t="n">
        <v>0</v>
      </c>
      <c r="M164" t="n">
        <v>0</v>
      </c>
      <c r="N164" t="n">
        <v>0</v>
      </c>
      <c r="O164" t="n">
        <v>5</v>
      </c>
      <c r="P164" t="n">
        <v>1</v>
      </c>
      <c r="Q164" t="n">
        <v>6</v>
      </c>
      <c r="R164" s="2" t="inlineStr">
        <is>
          <t>Smalfotad taggsvamp
Blå taggsvamp
Kolflarnlav
Motaggsvamp
Skrovlig taggsvamp
Dropptaggsvamp</t>
        </is>
      </c>
      <c r="S164">
        <f>HYPERLINK("https://klasma.github.io/Logging_2582/artfynd/A 55429-2024 artfynd.xlsx", "A 55429-2024")</f>
        <v/>
      </c>
      <c r="T164">
        <f>HYPERLINK("https://klasma.github.io/Logging_2582/kartor/A 55429-2024 karta.png", "A 55429-2024")</f>
        <v/>
      </c>
      <c r="V164">
        <f>HYPERLINK("https://klasma.github.io/Logging_2582/klagomål/A 55429-2024 FSC-klagomål.docx", "A 55429-2024")</f>
        <v/>
      </c>
      <c r="W164">
        <f>HYPERLINK("https://klasma.github.io/Logging_2582/klagomålsmail/A 55429-2024 FSC-klagomål mail.docx", "A 55429-2024")</f>
        <v/>
      </c>
      <c r="X164">
        <f>HYPERLINK("https://klasma.github.io/Logging_2582/tillsyn/A 55429-2024 tillsynsbegäran.docx", "A 55429-2024")</f>
        <v/>
      </c>
      <c r="Y164">
        <f>HYPERLINK("https://klasma.github.io/Logging_2582/tillsynsmail/A 55429-2024 tillsynsbegäran mail.docx", "A 55429-2024")</f>
        <v/>
      </c>
    </row>
    <row r="165" ht="15" customHeight="1">
      <c r="A165" t="inlineStr">
        <is>
          <t>A 37997-2024</t>
        </is>
      </c>
      <c r="B165" s="1" t="n">
        <v>45544</v>
      </c>
      <c r="C165" s="1" t="n">
        <v>45895</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45895</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19812-2025</t>
        </is>
      </c>
      <c r="B167" s="1" t="n">
        <v>45771</v>
      </c>
      <c r="C167" s="1" t="n">
        <v>45895</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61211-2024</t>
        </is>
      </c>
      <c r="B168" s="1" t="n">
        <v>45645</v>
      </c>
      <c r="C168" s="1" t="n">
        <v>45895</v>
      </c>
      <c r="D168" t="inlineStr">
        <is>
          <t>NORRBOTTENS LÄN</t>
        </is>
      </c>
      <c r="E168" t="inlineStr">
        <is>
          <t>BODEN</t>
        </is>
      </c>
      <c r="F168" t="inlineStr">
        <is>
          <t>Sveaskog</t>
        </is>
      </c>
      <c r="G168" t="n">
        <v>2.7</v>
      </c>
      <c r="H168" t="n">
        <v>0</v>
      </c>
      <c r="I168" t="n">
        <v>2</v>
      </c>
      <c r="J168" t="n">
        <v>4</v>
      </c>
      <c r="K168" t="n">
        <v>0</v>
      </c>
      <c r="L168" t="n">
        <v>0</v>
      </c>
      <c r="M168" t="n">
        <v>0</v>
      </c>
      <c r="N168" t="n">
        <v>0</v>
      </c>
      <c r="O168" t="n">
        <v>4</v>
      </c>
      <c r="P168" t="n">
        <v>0</v>
      </c>
      <c r="Q168" t="n">
        <v>6</v>
      </c>
      <c r="R168" s="2" t="inlineStr">
        <is>
          <t>Blå taggsvamp
Garnlav
Orange taggsvamp
Skrovlig taggsvamp
Bronshjon
Dropptaggsvamp</t>
        </is>
      </c>
      <c r="S168">
        <f>HYPERLINK("https://klasma.github.io/Logging_2582/artfynd/A 61211-2024 artfynd.xlsx", "A 61211-2024")</f>
        <v/>
      </c>
      <c r="T168">
        <f>HYPERLINK("https://klasma.github.io/Logging_2582/kartor/A 61211-2024 karta.png", "A 61211-2024")</f>
        <v/>
      </c>
      <c r="V168">
        <f>HYPERLINK("https://klasma.github.io/Logging_2582/klagomål/A 61211-2024 FSC-klagomål.docx", "A 61211-2024")</f>
        <v/>
      </c>
      <c r="W168">
        <f>HYPERLINK("https://klasma.github.io/Logging_2582/klagomålsmail/A 61211-2024 FSC-klagomål mail.docx", "A 61211-2024")</f>
        <v/>
      </c>
      <c r="X168">
        <f>HYPERLINK("https://klasma.github.io/Logging_2582/tillsyn/A 61211-2024 tillsynsbegäran.docx", "A 61211-2024")</f>
        <v/>
      </c>
      <c r="Y168">
        <f>HYPERLINK("https://klasma.github.io/Logging_2582/tillsynsmail/A 61211-2024 tillsynsbegäran mail.docx", "A 61211-2024")</f>
        <v/>
      </c>
    </row>
    <row r="169" ht="15" customHeight="1">
      <c r="A169" t="inlineStr">
        <is>
          <t>A 47047-2024</t>
        </is>
      </c>
      <c r="B169" s="1" t="n">
        <v>45586</v>
      </c>
      <c r="C169" s="1" t="n">
        <v>45895</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11534-2025</t>
        </is>
      </c>
      <c r="B170" s="1" t="n">
        <v>45726</v>
      </c>
      <c r="C170" s="1" t="n">
        <v>45895</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31667-2021</t>
        </is>
      </c>
      <c r="B171" s="1" t="n">
        <v>44369</v>
      </c>
      <c r="C171" s="1" t="n">
        <v>45895</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25229-2023</t>
        </is>
      </c>
      <c r="B172" s="1" t="n">
        <v>45079</v>
      </c>
      <c r="C172" s="1" t="n">
        <v>45895</v>
      </c>
      <c r="D172" t="inlineStr">
        <is>
          <t>NORRBOTTENS LÄN</t>
        </is>
      </c>
      <c r="E172" t="inlineStr">
        <is>
          <t>ARJEPLOG</t>
        </is>
      </c>
      <c r="F172" t="inlineStr">
        <is>
          <t>Övriga statliga verk och myndigheter</t>
        </is>
      </c>
      <c r="G172" t="n">
        <v>18.2</v>
      </c>
      <c r="H172" t="n">
        <v>1</v>
      </c>
      <c r="I172" t="n">
        <v>0</v>
      </c>
      <c r="J172" t="n">
        <v>5</v>
      </c>
      <c r="K172" t="n">
        <v>1</v>
      </c>
      <c r="L172" t="n">
        <v>0</v>
      </c>
      <c r="M172" t="n">
        <v>0</v>
      </c>
      <c r="N172" t="n">
        <v>0</v>
      </c>
      <c r="O172" t="n">
        <v>6</v>
      </c>
      <c r="P172" t="n">
        <v>1</v>
      </c>
      <c r="Q172" t="n">
        <v>6</v>
      </c>
      <c r="R172" s="2" t="inlineStr">
        <is>
          <t>Ostticka
Gammelgransskål
Granticka
Rosenticka
Rödbrun blekspik
Tretåig hackspett</t>
        </is>
      </c>
      <c r="S172">
        <f>HYPERLINK("https://klasma.github.io/Logging_2506/artfynd/A 25229-2023 artfynd.xlsx", "A 25229-2023")</f>
        <v/>
      </c>
      <c r="T172">
        <f>HYPERLINK("https://klasma.github.io/Logging_2506/kartor/A 25229-2023 karta.png", "A 25229-2023")</f>
        <v/>
      </c>
      <c r="V172">
        <f>HYPERLINK("https://klasma.github.io/Logging_2506/klagomål/A 25229-2023 FSC-klagomål.docx", "A 25229-2023")</f>
        <v/>
      </c>
      <c r="W172">
        <f>HYPERLINK("https://klasma.github.io/Logging_2506/klagomålsmail/A 25229-2023 FSC-klagomål mail.docx", "A 25229-2023")</f>
        <v/>
      </c>
      <c r="X172">
        <f>HYPERLINK("https://klasma.github.io/Logging_2506/tillsyn/A 25229-2023 tillsynsbegäran.docx", "A 25229-2023")</f>
        <v/>
      </c>
      <c r="Y172">
        <f>HYPERLINK("https://klasma.github.io/Logging_2506/tillsynsmail/A 25229-2023 tillsynsbegäran mail.docx", "A 25229-2023")</f>
        <v/>
      </c>
      <c r="Z172">
        <f>HYPERLINK("https://klasma.github.io/Logging_2506/fåglar/A 25229-2023 prioriterade fågelarter.docx", "A 25229-2023")</f>
        <v/>
      </c>
    </row>
    <row r="173" ht="15" customHeight="1">
      <c r="A173" t="inlineStr">
        <is>
          <t>A 40208-2025</t>
        </is>
      </c>
      <c r="B173" s="1" t="n">
        <v>45894.67990740741</v>
      </c>
      <c r="C173" s="1" t="n">
        <v>45895</v>
      </c>
      <c r="D173" t="inlineStr">
        <is>
          <t>NORRBOTTENS LÄN</t>
        </is>
      </c>
      <c r="E173" t="inlineStr">
        <is>
          <t>ÖVERKALIX</t>
        </is>
      </c>
      <c r="F173" t="inlineStr">
        <is>
          <t>Sveaskog</t>
        </is>
      </c>
      <c r="G173" t="n">
        <v>23.5</v>
      </c>
      <c r="H173" t="n">
        <v>3</v>
      </c>
      <c r="I173" t="n">
        <v>2</v>
      </c>
      <c r="J173" t="n">
        <v>2</v>
      </c>
      <c r="K173" t="n">
        <v>1</v>
      </c>
      <c r="L173" t="n">
        <v>0</v>
      </c>
      <c r="M173" t="n">
        <v>0</v>
      </c>
      <c r="N173" t="n">
        <v>0</v>
      </c>
      <c r="O173" t="n">
        <v>3</v>
      </c>
      <c r="P173" t="n">
        <v>1</v>
      </c>
      <c r="Q173" t="n">
        <v>6</v>
      </c>
      <c r="R173" s="2" t="inlineStr">
        <is>
          <t>Knärot
Garnlav
Lunglav
Plattlummer
Stuplav
Fläcknycklar</t>
        </is>
      </c>
      <c r="S173">
        <f>HYPERLINK("https://klasma.github.io/Logging_2513/artfynd/A 40208-2025 artfynd.xlsx", "A 40208-2025")</f>
        <v/>
      </c>
      <c r="T173">
        <f>HYPERLINK("https://klasma.github.io/Logging_2513/kartor/A 40208-2025 karta.png", "A 40208-2025")</f>
        <v/>
      </c>
      <c r="U173">
        <f>HYPERLINK("https://klasma.github.io/Logging_2513/knärot/A 40208-2025 karta knärot.png", "A 40208-2025")</f>
        <v/>
      </c>
      <c r="V173">
        <f>HYPERLINK("https://klasma.github.io/Logging_2513/klagomål/A 40208-2025 FSC-klagomål.docx", "A 40208-2025")</f>
        <v/>
      </c>
      <c r="W173">
        <f>HYPERLINK("https://klasma.github.io/Logging_2513/klagomålsmail/A 40208-2025 FSC-klagomål mail.docx", "A 40208-2025")</f>
        <v/>
      </c>
      <c r="X173">
        <f>HYPERLINK("https://klasma.github.io/Logging_2513/tillsyn/A 40208-2025 tillsynsbegäran.docx", "A 40208-2025")</f>
        <v/>
      </c>
      <c r="Y173">
        <f>HYPERLINK("https://klasma.github.io/Logging_2513/tillsynsmail/A 40208-2025 tillsynsbegäran mail.docx", "A 40208-2025")</f>
        <v/>
      </c>
    </row>
    <row r="174" ht="15" customHeight="1">
      <c r="A174" t="inlineStr">
        <is>
          <t>A 59199-2021</t>
        </is>
      </c>
      <c r="B174" s="1" t="n">
        <v>44490</v>
      </c>
      <c r="C174" s="1" t="n">
        <v>45895</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48650-2021</t>
        </is>
      </c>
      <c r="B175" s="1" t="n">
        <v>44452</v>
      </c>
      <c r="C175" s="1" t="n">
        <v>45895</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45895</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45895</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45895</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45895</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12193-2024</t>
        </is>
      </c>
      <c r="B180" s="1" t="n">
        <v>45377.94984953704</v>
      </c>
      <c r="C180" s="1" t="n">
        <v>45895</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45895</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57808-2024</t>
        </is>
      </c>
      <c r="B182" s="1" t="n">
        <v>45631</v>
      </c>
      <c r="C182" s="1" t="n">
        <v>45895</v>
      </c>
      <c r="D182" t="inlineStr">
        <is>
          <t>NORRBOTTENS LÄN</t>
        </is>
      </c>
      <c r="E182" t="inlineStr">
        <is>
          <t>PITEÅ</t>
        </is>
      </c>
      <c r="G182" t="n">
        <v>17.4</v>
      </c>
      <c r="H182" t="n">
        <v>1</v>
      </c>
      <c r="I182" t="n">
        <v>0</v>
      </c>
      <c r="J182" t="n">
        <v>5</v>
      </c>
      <c r="K182" t="n">
        <v>0</v>
      </c>
      <c r="L182" t="n">
        <v>0</v>
      </c>
      <c r="M182" t="n">
        <v>0</v>
      </c>
      <c r="N182" t="n">
        <v>0</v>
      </c>
      <c r="O182" t="n">
        <v>5</v>
      </c>
      <c r="P182" t="n">
        <v>0</v>
      </c>
      <c r="Q182" t="n">
        <v>5</v>
      </c>
      <c r="R182" s="2" t="inlineStr">
        <is>
          <t>Garnlav
Granticka
Lunglav
Spillkråka
Ullticka</t>
        </is>
      </c>
      <c r="S182">
        <f>HYPERLINK("https://klasma.github.io/Logging_2581/artfynd/A 57808-2024 artfynd.xlsx", "A 57808-2024")</f>
        <v/>
      </c>
      <c r="T182">
        <f>HYPERLINK("https://klasma.github.io/Logging_2581/kartor/A 57808-2024 karta.png", "A 57808-2024")</f>
        <v/>
      </c>
      <c r="V182">
        <f>HYPERLINK("https://klasma.github.io/Logging_2581/klagomål/A 57808-2024 FSC-klagomål.docx", "A 57808-2024")</f>
        <v/>
      </c>
      <c r="W182">
        <f>HYPERLINK("https://klasma.github.io/Logging_2581/klagomålsmail/A 57808-2024 FSC-klagomål mail.docx", "A 57808-2024")</f>
        <v/>
      </c>
      <c r="X182">
        <f>HYPERLINK("https://klasma.github.io/Logging_2581/tillsyn/A 57808-2024 tillsynsbegäran.docx", "A 57808-2024")</f>
        <v/>
      </c>
      <c r="Y182">
        <f>HYPERLINK("https://klasma.github.io/Logging_2581/tillsynsmail/A 57808-2024 tillsynsbegäran mail.docx", "A 57808-2024")</f>
        <v/>
      </c>
      <c r="Z182">
        <f>HYPERLINK("https://klasma.github.io/Logging_2581/fåglar/A 57808-2024 prioriterade fågelarter.docx", "A 57808-2024")</f>
        <v/>
      </c>
    </row>
    <row r="183" ht="15" customHeight="1">
      <c r="A183" t="inlineStr">
        <is>
          <t>A 47035-2022</t>
        </is>
      </c>
      <c r="B183" s="1" t="n">
        <v>44851</v>
      </c>
      <c r="C183" s="1" t="n">
        <v>45895</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1855-2025</t>
        </is>
      </c>
      <c r="B184" s="1" t="n">
        <v>45671</v>
      </c>
      <c r="C184" s="1" t="n">
        <v>45895</v>
      </c>
      <c r="D184" t="inlineStr">
        <is>
          <t>NORRBOTTENS LÄN</t>
        </is>
      </c>
      <c r="E184" t="inlineStr">
        <is>
          <t>HAPARANDA</t>
        </is>
      </c>
      <c r="G184" t="n">
        <v>4.2</v>
      </c>
      <c r="H184" t="n">
        <v>1</v>
      </c>
      <c r="I184" t="n">
        <v>1</v>
      </c>
      <c r="J184" t="n">
        <v>4</v>
      </c>
      <c r="K184" t="n">
        <v>0</v>
      </c>
      <c r="L184" t="n">
        <v>0</v>
      </c>
      <c r="M184" t="n">
        <v>0</v>
      </c>
      <c r="N184" t="n">
        <v>0</v>
      </c>
      <c r="O184" t="n">
        <v>4</v>
      </c>
      <c r="P184" t="n">
        <v>0</v>
      </c>
      <c r="Q184" t="n">
        <v>5</v>
      </c>
      <c r="R184" s="2" t="inlineStr">
        <is>
          <t>Gammelgransskål
Granticka
Tretåig hackspett
Ullticka
Stuplav</t>
        </is>
      </c>
      <c r="S184">
        <f>HYPERLINK("https://klasma.github.io/Logging_2583/artfynd/A 1855-2025 artfynd.xlsx", "A 1855-2025")</f>
        <v/>
      </c>
      <c r="T184">
        <f>HYPERLINK("https://klasma.github.io/Logging_2583/kartor/A 1855-2025 karta.png", "A 1855-2025")</f>
        <v/>
      </c>
      <c r="U184">
        <f>HYPERLINK("https://klasma.github.io/Logging_2583/knärot/A 1855-2025 karta knärot.png", "A 1855-2025")</f>
        <v/>
      </c>
      <c r="V184">
        <f>HYPERLINK("https://klasma.github.io/Logging_2583/klagomål/A 1855-2025 FSC-klagomål.docx", "A 1855-2025")</f>
        <v/>
      </c>
      <c r="W184">
        <f>HYPERLINK("https://klasma.github.io/Logging_2583/klagomålsmail/A 1855-2025 FSC-klagomål mail.docx", "A 1855-2025")</f>
        <v/>
      </c>
      <c r="X184">
        <f>HYPERLINK("https://klasma.github.io/Logging_2583/tillsyn/A 1855-2025 tillsynsbegäran.docx", "A 1855-2025")</f>
        <v/>
      </c>
      <c r="Y184">
        <f>HYPERLINK("https://klasma.github.io/Logging_2583/tillsynsmail/A 1855-2025 tillsynsbegäran mail.docx", "A 1855-2025")</f>
        <v/>
      </c>
      <c r="Z184">
        <f>HYPERLINK("https://klasma.github.io/Logging_2583/fåglar/A 1855-2025 prioriterade fågelarter.docx", "A 1855-2025")</f>
        <v/>
      </c>
    </row>
    <row r="185" ht="15" customHeight="1">
      <c r="A185" t="inlineStr">
        <is>
          <t>A 71719-2021</t>
        </is>
      </c>
      <c r="B185" s="1" t="n">
        <v>44539</v>
      </c>
      <c r="C185" s="1" t="n">
        <v>45895</v>
      </c>
      <c r="D185" t="inlineStr">
        <is>
          <t>NORRBOTTENS LÄN</t>
        </is>
      </c>
      <c r="E185" t="inlineStr">
        <is>
          <t>PITEÅ</t>
        </is>
      </c>
      <c r="F185" t="inlineStr">
        <is>
          <t>Kommuner</t>
        </is>
      </c>
      <c r="G185" t="n">
        <v>3.1</v>
      </c>
      <c r="H185" t="n">
        <v>1</v>
      </c>
      <c r="I185" t="n">
        <v>1</v>
      </c>
      <c r="J185" t="n">
        <v>4</v>
      </c>
      <c r="K185" t="n">
        <v>0</v>
      </c>
      <c r="L185" t="n">
        <v>0</v>
      </c>
      <c r="M185" t="n">
        <v>0</v>
      </c>
      <c r="N185" t="n">
        <v>0</v>
      </c>
      <c r="O185" t="n">
        <v>4</v>
      </c>
      <c r="P185" t="n">
        <v>0</v>
      </c>
      <c r="Q185" t="n">
        <v>5</v>
      </c>
      <c r="R185" s="2" t="inlineStr">
        <is>
          <t>Motaggsvamp
Orange taggsvamp
Skrovlig taggsvamp
Svartvit taggsvamp
Plattlummer</t>
        </is>
      </c>
      <c r="S185">
        <f>HYPERLINK("https://klasma.github.io/Logging_2581/artfynd/A 71719-2021 artfynd.xlsx", "A 71719-2021")</f>
        <v/>
      </c>
      <c r="T185">
        <f>HYPERLINK("https://klasma.github.io/Logging_2581/kartor/A 71719-2021 karta.png", "A 71719-2021")</f>
        <v/>
      </c>
      <c r="V185">
        <f>HYPERLINK("https://klasma.github.io/Logging_2581/klagomål/A 71719-2021 FSC-klagomål.docx", "A 71719-2021")</f>
        <v/>
      </c>
      <c r="W185">
        <f>HYPERLINK("https://klasma.github.io/Logging_2581/klagomålsmail/A 71719-2021 FSC-klagomål mail.docx", "A 71719-2021")</f>
        <v/>
      </c>
      <c r="X185">
        <f>HYPERLINK("https://klasma.github.io/Logging_2581/tillsyn/A 71719-2021 tillsynsbegäran.docx", "A 71719-2021")</f>
        <v/>
      </c>
      <c r="Y185">
        <f>HYPERLINK("https://klasma.github.io/Logging_2581/tillsynsmail/A 71719-2021 tillsynsbegäran mail.docx", "A 71719-2021")</f>
        <v/>
      </c>
    </row>
    <row r="186" ht="15" customHeight="1">
      <c r="A186" t="inlineStr">
        <is>
          <t>A 44252-2024</t>
        </is>
      </c>
      <c r="B186" s="1" t="n">
        <v>45573.44864583333</v>
      </c>
      <c r="C186" s="1" t="n">
        <v>45895</v>
      </c>
      <c r="D186" t="inlineStr">
        <is>
          <t>NORRBOTTENS LÄN</t>
        </is>
      </c>
      <c r="E186" t="inlineStr">
        <is>
          <t>ÄLVSBYN</t>
        </is>
      </c>
      <c r="F186" t="inlineStr">
        <is>
          <t>Sveaskog</t>
        </is>
      </c>
      <c r="G186" t="n">
        <v>12.2</v>
      </c>
      <c r="H186" t="n">
        <v>0</v>
      </c>
      <c r="I186" t="n">
        <v>3</v>
      </c>
      <c r="J186" t="n">
        <v>2</v>
      </c>
      <c r="K186" t="n">
        <v>0</v>
      </c>
      <c r="L186" t="n">
        <v>0</v>
      </c>
      <c r="M186" t="n">
        <v>0</v>
      </c>
      <c r="N186" t="n">
        <v>0</v>
      </c>
      <c r="O186" t="n">
        <v>2</v>
      </c>
      <c r="P186" t="n">
        <v>0</v>
      </c>
      <c r="Q186" t="n">
        <v>5</v>
      </c>
      <c r="R186" s="2" t="inlineStr">
        <is>
          <t>Kolflarnlav
Orange taggsvamp
Dropptaggsvamp
Skarp dropptaggsvamp
Stuplav</t>
        </is>
      </c>
      <c r="S186">
        <f>HYPERLINK("https://klasma.github.io/Logging_2560/artfynd/A 44252-2024 artfynd.xlsx", "A 44252-2024")</f>
        <v/>
      </c>
      <c r="T186">
        <f>HYPERLINK("https://klasma.github.io/Logging_2560/kartor/A 44252-2024 karta.png", "A 44252-2024")</f>
        <v/>
      </c>
      <c r="V186">
        <f>HYPERLINK("https://klasma.github.io/Logging_2560/klagomål/A 44252-2024 FSC-klagomål.docx", "A 44252-2024")</f>
        <v/>
      </c>
      <c r="W186">
        <f>HYPERLINK("https://klasma.github.io/Logging_2560/klagomålsmail/A 44252-2024 FSC-klagomål mail.docx", "A 44252-2024")</f>
        <v/>
      </c>
      <c r="X186">
        <f>HYPERLINK("https://klasma.github.io/Logging_2560/tillsyn/A 44252-2024 tillsynsbegäran.docx", "A 44252-2024")</f>
        <v/>
      </c>
      <c r="Y186">
        <f>HYPERLINK("https://klasma.github.io/Logging_2560/tillsynsmail/A 44252-2024 tillsynsbegäran mail.docx", "A 44252-2024")</f>
        <v/>
      </c>
    </row>
    <row r="187" ht="15" customHeight="1">
      <c r="A187" t="inlineStr">
        <is>
          <t>A 19598-2023</t>
        </is>
      </c>
      <c r="B187" s="1" t="n">
        <v>45049</v>
      </c>
      <c r="C187" s="1" t="n">
        <v>45895</v>
      </c>
      <c r="D187" t="inlineStr">
        <is>
          <t>NORRBOTTENS LÄN</t>
        </is>
      </c>
      <c r="E187" t="inlineStr">
        <is>
          <t>BODEN</t>
        </is>
      </c>
      <c r="G187" t="n">
        <v>1.8</v>
      </c>
      <c r="H187" t="n">
        <v>1</v>
      </c>
      <c r="I187" t="n">
        <v>2</v>
      </c>
      <c r="J187" t="n">
        <v>2</v>
      </c>
      <c r="K187" t="n">
        <v>1</v>
      </c>
      <c r="L187" t="n">
        <v>0</v>
      </c>
      <c r="M187" t="n">
        <v>0</v>
      </c>
      <c r="N187" t="n">
        <v>0</v>
      </c>
      <c r="O187" t="n">
        <v>3</v>
      </c>
      <c r="P187" t="n">
        <v>1</v>
      </c>
      <c r="Q187" t="n">
        <v>5</v>
      </c>
      <c r="R187" s="2" t="inlineStr">
        <is>
          <t>Grenlav
Garnlav
Granticka
Källpraktmossa
Lappranunkel</t>
        </is>
      </c>
      <c r="S187">
        <f>HYPERLINK("https://klasma.github.io/Logging_2582/artfynd/A 19598-2023 artfynd.xlsx", "A 19598-2023")</f>
        <v/>
      </c>
      <c r="T187">
        <f>HYPERLINK("https://klasma.github.io/Logging_2582/kartor/A 19598-2023 karta.png", "A 19598-2023")</f>
        <v/>
      </c>
      <c r="V187">
        <f>HYPERLINK("https://klasma.github.io/Logging_2582/klagomål/A 19598-2023 FSC-klagomål.docx", "A 19598-2023")</f>
        <v/>
      </c>
      <c r="W187">
        <f>HYPERLINK("https://klasma.github.io/Logging_2582/klagomålsmail/A 19598-2023 FSC-klagomål mail.docx", "A 19598-2023")</f>
        <v/>
      </c>
      <c r="X187">
        <f>HYPERLINK("https://klasma.github.io/Logging_2582/tillsyn/A 19598-2023 tillsynsbegäran.docx", "A 19598-2023")</f>
        <v/>
      </c>
      <c r="Y187">
        <f>HYPERLINK("https://klasma.github.io/Logging_2582/tillsynsmail/A 19598-2023 tillsynsbegäran mail.docx", "A 19598-2023")</f>
        <v/>
      </c>
    </row>
    <row r="188" ht="15" customHeight="1">
      <c r="A188" t="inlineStr">
        <is>
          <t>A 33135-2024</t>
        </is>
      </c>
      <c r="B188" s="1" t="n">
        <v>45518</v>
      </c>
      <c r="C188" s="1" t="n">
        <v>45895</v>
      </c>
      <c r="D188" t="inlineStr">
        <is>
          <t>NORRBOTTENS LÄN</t>
        </is>
      </c>
      <c r="E188" t="inlineStr">
        <is>
          <t>PITEÅ</t>
        </is>
      </c>
      <c r="G188" t="n">
        <v>8.800000000000001</v>
      </c>
      <c r="H188" t="n">
        <v>2</v>
      </c>
      <c r="I188" t="n">
        <v>0</v>
      </c>
      <c r="J188" t="n">
        <v>5</v>
      </c>
      <c r="K188" t="n">
        <v>0</v>
      </c>
      <c r="L188" t="n">
        <v>0</v>
      </c>
      <c r="M188" t="n">
        <v>0</v>
      </c>
      <c r="N188" t="n">
        <v>0</v>
      </c>
      <c r="O188" t="n">
        <v>5</v>
      </c>
      <c r="P188" t="n">
        <v>0</v>
      </c>
      <c r="Q188" t="n">
        <v>5</v>
      </c>
      <c r="R188" s="2" t="inlineStr">
        <is>
          <t>Igelkott
Spillkråka
Stjärntagging
Tretåig hackspett
Vitgrynig nållav</t>
        </is>
      </c>
      <c r="S188">
        <f>HYPERLINK("https://klasma.github.io/Logging_2581/artfynd/A 33135-2024 artfynd.xlsx", "A 33135-2024")</f>
        <v/>
      </c>
      <c r="T188">
        <f>HYPERLINK("https://klasma.github.io/Logging_2581/kartor/A 33135-2024 karta.png", "A 33135-2024")</f>
        <v/>
      </c>
      <c r="V188">
        <f>HYPERLINK("https://klasma.github.io/Logging_2581/klagomål/A 33135-2024 FSC-klagomål.docx", "A 33135-2024")</f>
        <v/>
      </c>
      <c r="W188">
        <f>HYPERLINK("https://klasma.github.io/Logging_2581/klagomålsmail/A 33135-2024 FSC-klagomål mail.docx", "A 33135-2024")</f>
        <v/>
      </c>
      <c r="X188">
        <f>HYPERLINK("https://klasma.github.io/Logging_2581/tillsyn/A 33135-2024 tillsynsbegäran.docx", "A 33135-2024")</f>
        <v/>
      </c>
      <c r="Y188">
        <f>HYPERLINK("https://klasma.github.io/Logging_2581/tillsynsmail/A 33135-2024 tillsynsbegäran mail.docx", "A 33135-2024")</f>
        <v/>
      </c>
      <c r="Z188">
        <f>HYPERLINK("https://klasma.github.io/Logging_2581/fåglar/A 33135-2024 prioriterade fågelarter.docx", "A 33135-2024")</f>
        <v/>
      </c>
    </row>
    <row r="189" ht="15" customHeight="1">
      <c r="A189" t="inlineStr">
        <is>
          <t>A 59451-2021</t>
        </is>
      </c>
      <c r="B189" s="1" t="n">
        <v>44490</v>
      </c>
      <c r="C189" s="1" t="n">
        <v>45895</v>
      </c>
      <c r="D189" t="inlineStr">
        <is>
          <t>NORRBOTTENS LÄN</t>
        </is>
      </c>
      <c r="E189" t="inlineStr">
        <is>
          <t>JOKKMOKK</t>
        </is>
      </c>
      <c r="F189" t="inlineStr">
        <is>
          <t>Övriga statliga verk och myndigheter</t>
        </is>
      </c>
      <c r="G189" t="n">
        <v>9.699999999999999</v>
      </c>
      <c r="H189" t="n">
        <v>0</v>
      </c>
      <c r="I189" t="n">
        <v>1</v>
      </c>
      <c r="J189" t="n">
        <v>4</v>
      </c>
      <c r="K189" t="n">
        <v>0</v>
      </c>
      <c r="L189" t="n">
        <v>0</v>
      </c>
      <c r="M189" t="n">
        <v>0</v>
      </c>
      <c r="N189" t="n">
        <v>0</v>
      </c>
      <c r="O189" t="n">
        <v>4</v>
      </c>
      <c r="P189" t="n">
        <v>0</v>
      </c>
      <c r="Q189" t="n">
        <v>5</v>
      </c>
      <c r="R189" s="2" t="inlineStr">
        <is>
          <t>Blå taggsvamp
Mörk kolflarnlav
Talltaggsvamp
Violmussling
Dropptaggsvamp</t>
        </is>
      </c>
      <c r="S189">
        <f>HYPERLINK("https://klasma.github.io/Logging_2510/artfynd/A 59451-2021 artfynd.xlsx", "A 59451-2021")</f>
        <v/>
      </c>
      <c r="T189">
        <f>HYPERLINK("https://klasma.github.io/Logging_2510/kartor/A 59451-2021 karta.png", "A 59451-2021")</f>
        <v/>
      </c>
      <c r="V189">
        <f>HYPERLINK("https://klasma.github.io/Logging_2510/klagomål/A 59451-2021 FSC-klagomål.docx", "A 59451-2021")</f>
        <v/>
      </c>
      <c r="W189">
        <f>HYPERLINK("https://klasma.github.io/Logging_2510/klagomålsmail/A 59451-2021 FSC-klagomål mail.docx", "A 59451-2021")</f>
        <v/>
      </c>
      <c r="X189">
        <f>HYPERLINK("https://klasma.github.io/Logging_2510/tillsyn/A 59451-2021 tillsynsbegäran.docx", "A 59451-2021")</f>
        <v/>
      </c>
      <c r="Y189">
        <f>HYPERLINK("https://klasma.github.io/Logging_2510/tillsynsmail/A 59451-2021 tillsynsbegäran mail.docx", "A 59451-2021")</f>
        <v/>
      </c>
    </row>
    <row r="190" ht="15" customHeight="1">
      <c r="A190" t="inlineStr">
        <is>
          <t>A 10218-2024</t>
        </is>
      </c>
      <c r="B190" s="1" t="n">
        <v>45364</v>
      </c>
      <c r="C190" s="1" t="n">
        <v>45895</v>
      </c>
      <c r="D190" t="inlineStr">
        <is>
          <t>NORRBOTTENS LÄN</t>
        </is>
      </c>
      <c r="E190" t="inlineStr">
        <is>
          <t>GÄLLIVARE</t>
        </is>
      </c>
      <c r="F190" t="inlineStr">
        <is>
          <t>SCA</t>
        </is>
      </c>
      <c r="G190" t="n">
        <v>18.7</v>
      </c>
      <c r="H190" t="n">
        <v>2</v>
      </c>
      <c r="I190" t="n">
        <v>1</v>
      </c>
      <c r="J190" t="n">
        <v>4</v>
      </c>
      <c r="K190" t="n">
        <v>0</v>
      </c>
      <c r="L190" t="n">
        <v>0</v>
      </c>
      <c r="M190" t="n">
        <v>0</v>
      </c>
      <c r="N190" t="n">
        <v>0</v>
      </c>
      <c r="O190" t="n">
        <v>4</v>
      </c>
      <c r="P190" t="n">
        <v>0</v>
      </c>
      <c r="Q190" t="n">
        <v>5</v>
      </c>
      <c r="R190" s="2" t="inlineStr">
        <is>
          <t>Blanksvart spiklav
Kolflarnlav
Mörk kolflarnlav
Spillkråka
Plattlummer</t>
        </is>
      </c>
      <c r="S190">
        <f>HYPERLINK("https://klasma.github.io/Logging_2523/artfynd/A 10218-2024 artfynd.xlsx", "A 10218-2024")</f>
        <v/>
      </c>
      <c r="T190">
        <f>HYPERLINK("https://klasma.github.io/Logging_2523/kartor/A 10218-2024 karta.png", "A 10218-2024")</f>
        <v/>
      </c>
      <c r="V190">
        <f>HYPERLINK("https://klasma.github.io/Logging_2523/klagomål/A 10218-2024 FSC-klagomål.docx", "A 10218-2024")</f>
        <v/>
      </c>
      <c r="W190">
        <f>HYPERLINK("https://klasma.github.io/Logging_2523/klagomålsmail/A 10218-2024 FSC-klagomål mail.docx", "A 10218-2024")</f>
        <v/>
      </c>
      <c r="X190">
        <f>HYPERLINK("https://klasma.github.io/Logging_2523/tillsyn/A 10218-2024 tillsynsbegäran.docx", "A 10218-2024")</f>
        <v/>
      </c>
      <c r="Y190">
        <f>HYPERLINK("https://klasma.github.io/Logging_2523/tillsynsmail/A 10218-2024 tillsynsbegäran mail.docx", "A 10218-2024")</f>
        <v/>
      </c>
      <c r="Z190">
        <f>HYPERLINK("https://klasma.github.io/Logging_2523/fåglar/A 10218-2024 prioriterade fågelarter.docx", "A 10218-2024")</f>
        <v/>
      </c>
    </row>
    <row r="191" ht="15" customHeight="1">
      <c r="A191" t="inlineStr">
        <is>
          <t>A 58034-2022</t>
        </is>
      </c>
      <c r="B191" s="1" t="n">
        <v>44893</v>
      </c>
      <c r="C191" s="1" t="n">
        <v>45895</v>
      </c>
      <c r="D191" t="inlineStr">
        <is>
          <t>NORRBOTTENS LÄN</t>
        </is>
      </c>
      <c r="E191" t="inlineStr">
        <is>
          <t>PAJALA</t>
        </is>
      </c>
      <c r="G191" t="n">
        <v>9.6</v>
      </c>
      <c r="H191" t="n">
        <v>0</v>
      </c>
      <c r="I191" t="n">
        <v>1</v>
      </c>
      <c r="J191" t="n">
        <v>4</v>
      </c>
      <c r="K191" t="n">
        <v>0</v>
      </c>
      <c r="L191" t="n">
        <v>0</v>
      </c>
      <c r="M191" t="n">
        <v>0</v>
      </c>
      <c r="N191" t="n">
        <v>0</v>
      </c>
      <c r="O191" t="n">
        <v>4</v>
      </c>
      <c r="P191" t="n">
        <v>0</v>
      </c>
      <c r="Q191" t="n">
        <v>5</v>
      </c>
      <c r="R191" s="2" t="inlineStr">
        <is>
          <t>Blanksvart spiklav
Gammelgransskål
Granticka
Vitgrynig nållav
Skör kvastmossa</t>
        </is>
      </c>
      <c r="S191">
        <f>HYPERLINK("https://klasma.github.io/Logging_2521/artfynd/A 58034-2022 artfynd.xlsx", "A 58034-2022")</f>
        <v/>
      </c>
      <c r="T191">
        <f>HYPERLINK("https://klasma.github.io/Logging_2521/kartor/A 58034-2022 karta.png", "A 58034-2022")</f>
        <v/>
      </c>
      <c r="V191">
        <f>HYPERLINK("https://klasma.github.io/Logging_2521/klagomål/A 58034-2022 FSC-klagomål.docx", "A 58034-2022")</f>
        <v/>
      </c>
      <c r="W191">
        <f>HYPERLINK("https://klasma.github.io/Logging_2521/klagomålsmail/A 58034-2022 FSC-klagomål mail.docx", "A 58034-2022")</f>
        <v/>
      </c>
      <c r="X191">
        <f>HYPERLINK("https://klasma.github.io/Logging_2521/tillsyn/A 58034-2022 tillsynsbegäran.docx", "A 58034-2022")</f>
        <v/>
      </c>
      <c r="Y191">
        <f>HYPERLINK("https://klasma.github.io/Logging_2521/tillsynsmail/A 58034-2022 tillsynsbegäran mail.docx", "A 58034-2022")</f>
        <v/>
      </c>
    </row>
    <row r="192" ht="15" customHeight="1">
      <c r="A192" t="inlineStr">
        <is>
          <t>A 22380-2024</t>
        </is>
      </c>
      <c r="B192" s="1" t="n">
        <v>45446</v>
      </c>
      <c r="C192" s="1" t="n">
        <v>45895</v>
      </c>
      <c r="D192" t="inlineStr">
        <is>
          <t>NORRBOTTENS LÄN</t>
        </is>
      </c>
      <c r="E192" t="inlineStr">
        <is>
          <t>ÖVERTORNEÅ</t>
        </is>
      </c>
      <c r="G192" t="n">
        <v>22.9</v>
      </c>
      <c r="H192" t="n">
        <v>2</v>
      </c>
      <c r="I192" t="n">
        <v>1</v>
      </c>
      <c r="J192" t="n">
        <v>4</v>
      </c>
      <c r="K192" t="n">
        <v>0</v>
      </c>
      <c r="L192" t="n">
        <v>0</v>
      </c>
      <c r="M192" t="n">
        <v>0</v>
      </c>
      <c r="N192" t="n">
        <v>0</v>
      </c>
      <c r="O192" t="n">
        <v>4</v>
      </c>
      <c r="P192" t="n">
        <v>0</v>
      </c>
      <c r="Q192" t="n">
        <v>5</v>
      </c>
      <c r="R192" s="2" t="inlineStr">
        <is>
          <t>Garnlav
Spillkråka
Tretåig hackspett
Violmussling
Vedticka</t>
        </is>
      </c>
      <c r="S192">
        <f>HYPERLINK("https://klasma.github.io/Logging_2518/artfynd/A 22380-2024 artfynd.xlsx", "A 22380-2024")</f>
        <v/>
      </c>
      <c r="T192">
        <f>HYPERLINK("https://klasma.github.io/Logging_2518/kartor/A 22380-2024 karta.png", "A 22380-2024")</f>
        <v/>
      </c>
      <c r="V192">
        <f>HYPERLINK("https://klasma.github.io/Logging_2518/klagomål/A 22380-2024 FSC-klagomål.docx", "A 22380-2024")</f>
        <v/>
      </c>
      <c r="W192">
        <f>HYPERLINK("https://klasma.github.io/Logging_2518/klagomålsmail/A 22380-2024 FSC-klagomål mail.docx", "A 22380-2024")</f>
        <v/>
      </c>
      <c r="X192">
        <f>HYPERLINK("https://klasma.github.io/Logging_2518/tillsyn/A 22380-2024 tillsynsbegäran.docx", "A 22380-2024")</f>
        <v/>
      </c>
      <c r="Y192">
        <f>HYPERLINK("https://klasma.github.io/Logging_2518/tillsynsmail/A 22380-2024 tillsynsbegäran mail.docx", "A 22380-2024")</f>
        <v/>
      </c>
      <c r="Z192">
        <f>HYPERLINK("https://klasma.github.io/Logging_2518/fåglar/A 22380-2024 prioriterade fågelarter.docx", "A 22380-2024")</f>
        <v/>
      </c>
    </row>
    <row r="193" ht="15" customHeight="1">
      <c r="A193" t="inlineStr">
        <is>
          <t>A 20570-2025</t>
        </is>
      </c>
      <c r="B193" s="1" t="n">
        <v>45775</v>
      </c>
      <c r="C193" s="1" t="n">
        <v>45895</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29873-2022</t>
        </is>
      </c>
      <c r="B194" s="1" t="n">
        <v>44755</v>
      </c>
      <c r="C194" s="1" t="n">
        <v>45895</v>
      </c>
      <c r="D194" t="inlineStr">
        <is>
          <t>NORRBOTTENS LÄN</t>
        </is>
      </c>
      <c r="E194" t="inlineStr">
        <is>
          <t>PAJALA</t>
        </is>
      </c>
      <c r="G194" t="n">
        <v>3.6</v>
      </c>
      <c r="H194" t="n">
        <v>1</v>
      </c>
      <c r="I194" t="n">
        <v>0</v>
      </c>
      <c r="J194" t="n">
        <v>4</v>
      </c>
      <c r="K194" t="n">
        <v>0</v>
      </c>
      <c r="L194" t="n">
        <v>0</v>
      </c>
      <c r="M194" t="n">
        <v>0</v>
      </c>
      <c r="N194" t="n">
        <v>0</v>
      </c>
      <c r="O194" t="n">
        <v>4</v>
      </c>
      <c r="P194" t="n">
        <v>0</v>
      </c>
      <c r="Q194" t="n">
        <v>5</v>
      </c>
      <c r="R194" s="2" t="inlineStr">
        <is>
          <t>Granticka
Rosenticka
Röd trolldruva
Ullticka
Fläcknycklar</t>
        </is>
      </c>
      <c r="S194">
        <f>HYPERLINK("https://klasma.github.io/Logging_2521/artfynd/A 29873-2022 artfynd.xlsx", "A 29873-2022")</f>
        <v/>
      </c>
      <c r="T194">
        <f>HYPERLINK("https://klasma.github.io/Logging_2521/kartor/A 29873-2022 karta.png", "A 29873-2022")</f>
        <v/>
      </c>
      <c r="V194">
        <f>HYPERLINK("https://klasma.github.io/Logging_2521/klagomål/A 29873-2022 FSC-klagomål.docx", "A 29873-2022")</f>
        <v/>
      </c>
      <c r="W194">
        <f>HYPERLINK("https://klasma.github.io/Logging_2521/klagomålsmail/A 29873-2022 FSC-klagomål mail.docx", "A 29873-2022")</f>
        <v/>
      </c>
      <c r="X194">
        <f>HYPERLINK("https://klasma.github.io/Logging_2521/tillsyn/A 29873-2022 tillsynsbegäran.docx", "A 29873-2022")</f>
        <v/>
      </c>
      <c r="Y194">
        <f>HYPERLINK("https://klasma.github.io/Logging_2521/tillsynsmail/A 29873-2022 tillsynsbegäran mail.docx", "A 29873-2022")</f>
        <v/>
      </c>
    </row>
    <row r="195" ht="15" customHeight="1">
      <c r="A195" t="inlineStr">
        <is>
          <t>A 28418-2025</t>
        </is>
      </c>
      <c r="B195" s="1" t="n">
        <v>45819</v>
      </c>
      <c r="C195" s="1" t="n">
        <v>45895</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51389-2022</t>
        </is>
      </c>
      <c r="B196" s="1" t="n">
        <v>44869</v>
      </c>
      <c r="C196" s="1" t="n">
        <v>45895</v>
      </c>
      <c r="D196" t="inlineStr">
        <is>
          <t>NORRBOTTENS LÄN</t>
        </is>
      </c>
      <c r="E196" t="inlineStr">
        <is>
          <t>BODEN</t>
        </is>
      </c>
      <c r="F196" t="inlineStr">
        <is>
          <t>Övriga statliga verk och myndigheter</t>
        </is>
      </c>
      <c r="G196" t="n">
        <v>15.6</v>
      </c>
      <c r="H196" t="n">
        <v>5</v>
      </c>
      <c r="I196" t="n">
        <v>0</v>
      </c>
      <c r="J196" t="n">
        <v>3</v>
      </c>
      <c r="K196" t="n">
        <v>1</v>
      </c>
      <c r="L196" t="n">
        <v>0</v>
      </c>
      <c r="M196" t="n">
        <v>0</v>
      </c>
      <c r="N196" t="n">
        <v>0</v>
      </c>
      <c r="O196" t="n">
        <v>4</v>
      </c>
      <c r="P196" t="n">
        <v>1</v>
      </c>
      <c r="Q196" t="n">
        <v>5</v>
      </c>
      <c r="R196" s="2" t="inlineStr">
        <is>
          <t>Tallbit
Grönsångare
Järpe
Talltita
Orre</t>
        </is>
      </c>
      <c r="S196">
        <f>HYPERLINK("https://klasma.github.io/Logging_2582/artfynd/A 51389-2022 artfynd.xlsx", "A 51389-2022")</f>
        <v/>
      </c>
      <c r="T196">
        <f>HYPERLINK("https://klasma.github.io/Logging_2582/kartor/A 51389-2022 karta.png", "A 51389-2022")</f>
        <v/>
      </c>
      <c r="V196">
        <f>HYPERLINK("https://klasma.github.io/Logging_2582/klagomål/A 51389-2022 FSC-klagomål.docx", "A 51389-2022")</f>
        <v/>
      </c>
      <c r="W196">
        <f>HYPERLINK("https://klasma.github.io/Logging_2582/klagomålsmail/A 51389-2022 FSC-klagomål mail.docx", "A 51389-2022")</f>
        <v/>
      </c>
      <c r="X196">
        <f>HYPERLINK("https://klasma.github.io/Logging_2582/tillsyn/A 51389-2022 tillsynsbegäran.docx", "A 51389-2022")</f>
        <v/>
      </c>
      <c r="Y196">
        <f>HYPERLINK("https://klasma.github.io/Logging_2582/tillsynsmail/A 51389-2022 tillsynsbegäran mail.docx", "A 51389-2022")</f>
        <v/>
      </c>
      <c r="Z196">
        <f>HYPERLINK("https://klasma.github.io/Logging_2582/fåglar/A 51389-2022 prioriterade fågelarter.docx", "A 51389-2022")</f>
        <v/>
      </c>
    </row>
    <row r="197" ht="15" customHeight="1">
      <c r="A197" t="inlineStr">
        <is>
          <t>A 36298-2025</t>
        </is>
      </c>
      <c r="B197" s="1" t="n">
        <v>45867.68763888889</v>
      </c>
      <c r="C197" s="1" t="n">
        <v>45895</v>
      </c>
      <c r="D197" t="inlineStr">
        <is>
          <t>NORRBOTTENS LÄN</t>
        </is>
      </c>
      <c r="E197" t="inlineStr">
        <is>
          <t>GÄLLIVARE</t>
        </is>
      </c>
      <c r="F197" t="inlineStr">
        <is>
          <t>Sveaskog</t>
        </is>
      </c>
      <c r="G197" t="n">
        <v>18.1</v>
      </c>
      <c r="H197" t="n">
        <v>1</v>
      </c>
      <c r="I197" t="n">
        <v>3</v>
      </c>
      <c r="J197" t="n">
        <v>2</v>
      </c>
      <c r="K197" t="n">
        <v>0</v>
      </c>
      <c r="L197" t="n">
        <v>0</v>
      </c>
      <c r="M197" t="n">
        <v>0</v>
      </c>
      <c r="N197" t="n">
        <v>0</v>
      </c>
      <c r="O197" t="n">
        <v>2</v>
      </c>
      <c r="P197" t="n">
        <v>0</v>
      </c>
      <c r="Q197" t="n">
        <v>5</v>
      </c>
      <c r="R197" s="2" t="inlineStr">
        <is>
          <t>Knottrig blåslav
Orange taggsvamp
Bårdlav
Dropptaggsvamp
Plattlummer</t>
        </is>
      </c>
      <c r="S197">
        <f>HYPERLINK("https://klasma.github.io/Logging_2523/artfynd/A 36298-2025 artfynd.xlsx", "A 36298-2025")</f>
        <v/>
      </c>
      <c r="T197">
        <f>HYPERLINK("https://klasma.github.io/Logging_2523/kartor/A 36298-2025 karta.png", "A 36298-2025")</f>
        <v/>
      </c>
      <c r="V197">
        <f>HYPERLINK("https://klasma.github.io/Logging_2523/klagomål/A 36298-2025 FSC-klagomål.docx", "A 36298-2025")</f>
        <v/>
      </c>
      <c r="W197">
        <f>HYPERLINK("https://klasma.github.io/Logging_2523/klagomålsmail/A 36298-2025 FSC-klagomål mail.docx", "A 36298-2025")</f>
        <v/>
      </c>
      <c r="X197">
        <f>HYPERLINK("https://klasma.github.io/Logging_2523/tillsyn/A 36298-2025 tillsynsbegäran.docx", "A 36298-2025")</f>
        <v/>
      </c>
      <c r="Y197">
        <f>HYPERLINK("https://klasma.github.io/Logging_2523/tillsynsmail/A 36298-2025 tillsynsbegäran mail.docx", "A 36298-2025")</f>
        <v/>
      </c>
    </row>
    <row r="198" ht="15" customHeight="1">
      <c r="A198" t="inlineStr">
        <is>
          <t>A 31030-2025</t>
        </is>
      </c>
      <c r="B198" s="1" t="n">
        <v>45832.53813657408</v>
      </c>
      <c r="C198" s="1" t="n">
        <v>45895</v>
      </c>
      <c r="D198" t="inlineStr">
        <is>
          <t>NORRBOTTENS LÄN</t>
        </is>
      </c>
      <c r="E198" t="inlineStr">
        <is>
          <t>BODEN</t>
        </is>
      </c>
      <c r="F198" t="inlineStr">
        <is>
          <t>Sveaskog</t>
        </is>
      </c>
      <c r="G198" t="n">
        <v>11.1</v>
      </c>
      <c r="H198" t="n">
        <v>3</v>
      </c>
      <c r="I198" t="n">
        <v>2</v>
      </c>
      <c r="J198" t="n">
        <v>1</v>
      </c>
      <c r="K198" t="n">
        <v>1</v>
      </c>
      <c r="L198" t="n">
        <v>0</v>
      </c>
      <c r="M198" t="n">
        <v>0</v>
      </c>
      <c r="N198" t="n">
        <v>0</v>
      </c>
      <c r="O198" t="n">
        <v>2</v>
      </c>
      <c r="P198" t="n">
        <v>1</v>
      </c>
      <c r="Q198" t="n">
        <v>5</v>
      </c>
      <c r="R198" s="2" t="inlineStr">
        <is>
          <t>Knärot
Lunglav
Spindelblomster
Stuplav
Fläcknycklar</t>
        </is>
      </c>
      <c r="S198">
        <f>HYPERLINK("https://klasma.github.io/Logging_2582/artfynd/A 31030-2025 artfynd.xlsx", "A 31030-2025")</f>
        <v/>
      </c>
      <c r="T198">
        <f>HYPERLINK("https://klasma.github.io/Logging_2582/kartor/A 31030-2025 karta.png", "A 31030-2025")</f>
        <v/>
      </c>
      <c r="U198">
        <f>HYPERLINK("https://klasma.github.io/Logging_2582/knärot/A 31030-2025 karta knärot.png", "A 31030-2025")</f>
        <v/>
      </c>
      <c r="V198">
        <f>HYPERLINK("https://klasma.github.io/Logging_2582/klagomål/A 31030-2025 FSC-klagomål.docx", "A 31030-2025")</f>
        <v/>
      </c>
      <c r="W198">
        <f>HYPERLINK("https://klasma.github.io/Logging_2582/klagomålsmail/A 31030-2025 FSC-klagomål mail.docx", "A 31030-2025")</f>
        <v/>
      </c>
      <c r="X198">
        <f>HYPERLINK("https://klasma.github.io/Logging_2582/tillsyn/A 31030-2025 tillsynsbegäran.docx", "A 31030-2025")</f>
        <v/>
      </c>
      <c r="Y198">
        <f>HYPERLINK("https://klasma.github.io/Logging_2582/tillsynsmail/A 31030-2025 tillsynsbegäran mail.docx", "A 31030-2025")</f>
        <v/>
      </c>
    </row>
    <row r="199" ht="15" customHeight="1">
      <c r="A199" t="inlineStr">
        <is>
          <t>A 31305-2021</t>
        </is>
      </c>
      <c r="B199" s="1" t="n">
        <v>44368</v>
      </c>
      <c r="C199" s="1" t="n">
        <v>45895</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33178-2025</t>
        </is>
      </c>
      <c r="B200" s="1" t="n">
        <v>45840.58945601852</v>
      </c>
      <c r="C200" s="1" t="n">
        <v>45895</v>
      </c>
      <c r="D200" t="inlineStr">
        <is>
          <t>NORRBOTTENS LÄN</t>
        </is>
      </c>
      <c r="E200" t="inlineStr">
        <is>
          <t>ARVIDSJAUR</t>
        </is>
      </c>
      <c r="F200" t="inlineStr">
        <is>
          <t>Sveaskog</t>
        </is>
      </c>
      <c r="G200" t="n">
        <v>10.9</v>
      </c>
      <c r="H200" t="n">
        <v>0</v>
      </c>
      <c r="I200" t="n">
        <v>2</v>
      </c>
      <c r="J200" t="n">
        <v>2</v>
      </c>
      <c r="K200" t="n">
        <v>1</v>
      </c>
      <c r="L200" t="n">
        <v>0</v>
      </c>
      <c r="M200" t="n">
        <v>0</v>
      </c>
      <c r="N200" t="n">
        <v>0</v>
      </c>
      <c r="O200" t="n">
        <v>3</v>
      </c>
      <c r="P200" t="n">
        <v>1</v>
      </c>
      <c r="Q200" t="n">
        <v>5</v>
      </c>
      <c r="R200" s="2" t="inlineStr">
        <is>
          <t>Blackticka
Granticka
Lunglav
Strutbräken
Tibast</t>
        </is>
      </c>
      <c r="S200">
        <f>HYPERLINK("https://klasma.github.io/Logging_2505/artfynd/A 33178-2025 artfynd.xlsx", "A 33178-2025")</f>
        <v/>
      </c>
      <c r="T200">
        <f>HYPERLINK("https://klasma.github.io/Logging_2505/kartor/A 33178-2025 karta.png", "A 33178-2025")</f>
        <v/>
      </c>
      <c r="V200">
        <f>HYPERLINK("https://klasma.github.io/Logging_2505/klagomål/A 33178-2025 FSC-klagomål.docx", "A 33178-2025")</f>
        <v/>
      </c>
      <c r="W200">
        <f>HYPERLINK("https://klasma.github.io/Logging_2505/klagomålsmail/A 33178-2025 FSC-klagomål mail.docx", "A 33178-2025")</f>
        <v/>
      </c>
      <c r="X200">
        <f>HYPERLINK("https://klasma.github.io/Logging_2505/tillsyn/A 33178-2025 tillsynsbegäran.docx", "A 33178-2025")</f>
        <v/>
      </c>
      <c r="Y200">
        <f>HYPERLINK("https://klasma.github.io/Logging_2505/tillsynsmail/A 33178-2025 tillsynsbegäran mail.docx", "A 33178-2025")</f>
        <v/>
      </c>
    </row>
    <row r="201" ht="15" customHeight="1">
      <c r="A201" t="inlineStr">
        <is>
          <t>A 39293-2022</t>
        </is>
      </c>
      <c r="B201" s="1" t="n">
        <v>44817</v>
      </c>
      <c r="C201" s="1" t="n">
        <v>45895</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33671-2025</t>
        </is>
      </c>
      <c r="B202" s="1" t="n">
        <v>45841</v>
      </c>
      <c r="C202" s="1" t="n">
        <v>45895</v>
      </c>
      <c r="D202" t="inlineStr">
        <is>
          <t>NORRBOTTENS LÄN</t>
        </is>
      </c>
      <c r="E202" t="inlineStr">
        <is>
          <t>PAJALA</t>
        </is>
      </c>
      <c r="F202" t="inlineStr">
        <is>
          <t>Allmännings- och besparingsskogar</t>
        </is>
      </c>
      <c r="G202" t="n">
        <v>21.5</v>
      </c>
      <c r="H202" t="n">
        <v>5</v>
      </c>
      <c r="I202" t="n">
        <v>2</v>
      </c>
      <c r="J202" t="n">
        <v>1</v>
      </c>
      <c r="K202" t="n">
        <v>1</v>
      </c>
      <c r="L202" t="n">
        <v>0</v>
      </c>
      <c r="M202" t="n">
        <v>0</v>
      </c>
      <c r="N202" t="n">
        <v>0</v>
      </c>
      <c r="O202" t="n">
        <v>2</v>
      </c>
      <c r="P202" t="n">
        <v>1</v>
      </c>
      <c r="Q202" t="n">
        <v>5</v>
      </c>
      <c r="R202" s="2" t="inlineStr">
        <is>
          <t>Knärot
Spillkråka
Plattlummer
Spindelblomster
Fläcknycklar</t>
        </is>
      </c>
      <c r="S202">
        <f>HYPERLINK("https://klasma.github.io/Logging_2521/artfynd/A 33671-2025 artfynd.xlsx", "A 33671-2025")</f>
        <v/>
      </c>
      <c r="T202">
        <f>HYPERLINK("https://klasma.github.io/Logging_2521/kartor/A 33671-2025 karta.png", "A 33671-2025")</f>
        <v/>
      </c>
      <c r="U202">
        <f>HYPERLINK("https://klasma.github.io/Logging_2521/knärot/A 33671-2025 karta knärot.png", "A 33671-2025")</f>
        <v/>
      </c>
      <c r="V202">
        <f>HYPERLINK("https://klasma.github.io/Logging_2521/klagomål/A 33671-2025 FSC-klagomål.docx", "A 33671-2025")</f>
        <v/>
      </c>
      <c r="W202">
        <f>HYPERLINK("https://klasma.github.io/Logging_2521/klagomålsmail/A 33671-2025 FSC-klagomål mail.docx", "A 33671-2025")</f>
        <v/>
      </c>
      <c r="X202">
        <f>HYPERLINK("https://klasma.github.io/Logging_2521/tillsyn/A 33671-2025 tillsynsbegäran.docx", "A 33671-2025")</f>
        <v/>
      </c>
      <c r="Y202">
        <f>HYPERLINK("https://klasma.github.io/Logging_2521/tillsynsmail/A 33671-2025 tillsynsbegäran mail.docx", "A 33671-2025")</f>
        <v/>
      </c>
      <c r="Z202">
        <f>HYPERLINK("https://klasma.github.io/Logging_2521/fåglar/A 33671-2025 prioriterade fågelarter.docx", "A 33671-2025")</f>
        <v/>
      </c>
    </row>
    <row r="203" ht="15" customHeight="1">
      <c r="A203" t="inlineStr">
        <is>
          <t>A 33343-2025</t>
        </is>
      </c>
      <c r="B203" s="1" t="n">
        <v>45841.36481481481</v>
      </c>
      <c r="C203" s="1" t="n">
        <v>45895</v>
      </c>
      <c r="D203" t="inlineStr">
        <is>
          <t>NORRBOTTENS LÄN</t>
        </is>
      </c>
      <c r="E203" t="inlineStr">
        <is>
          <t>JOKKMOKK</t>
        </is>
      </c>
      <c r="F203" t="inlineStr">
        <is>
          <t>Sveaskog</t>
        </is>
      </c>
      <c r="G203" t="n">
        <v>5.2</v>
      </c>
      <c r="H203" t="n">
        <v>0</v>
      </c>
      <c r="I203" t="n">
        <v>1</v>
      </c>
      <c r="J203" t="n">
        <v>4</v>
      </c>
      <c r="K203" t="n">
        <v>0</v>
      </c>
      <c r="L203" t="n">
        <v>0</v>
      </c>
      <c r="M203" t="n">
        <v>0</v>
      </c>
      <c r="N203" t="n">
        <v>0</v>
      </c>
      <c r="O203" t="n">
        <v>4</v>
      </c>
      <c r="P203" t="n">
        <v>0</v>
      </c>
      <c r="Q203" t="n">
        <v>5</v>
      </c>
      <c r="R203" s="2" t="inlineStr">
        <is>
          <t>Blå taggsvamp
Kolflarnlav
Orange taggsvamp
Svart taggsvamp
Dropptaggsvamp</t>
        </is>
      </c>
      <c r="S203">
        <f>HYPERLINK("https://klasma.github.io/Logging_2510/artfynd/A 33343-2025 artfynd.xlsx", "A 33343-2025")</f>
        <v/>
      </c>
      <c r="T203">
        <f>HYPERLINK("https://klasma.github.io/Logging_2510/kartor/A 33343-2025 karta.png", "A 33343-2025")</f>
        <v/>
      </c>
      <c r="V203">
        <f>HYPERLINK("https://klasma.github.io/Logging_2510/klagomål/A 33343-2025 FSC-klagomål.docx", "A 33343-2025")</f>
        <v/>
      </c>
      <c r="W203">
        <f>HYPERLINK("https://klasma.github.io/Logging_2510/klagomålsmail/A 33343-2025 FSC-klagomål mail.docx", "A 33343-2025")</f>
        <v/>
      </c>
      <c r="X203">
        <f>HYPERLINK("https://klasma.github.io/Logging_2510/tillsyn/A 33343-2025 tillsynsbegäran.docx", "A 33343-2025")</f>
        <v/>
      </c>
      <c r="Y203">
        <f>HYPERLINK("https://klasma.github.io/Logging_2510/tillsynsmail/A 33343-2025 tillsynsbegäran mail.docx", "A 33343-2025")</f>
        <v/>
      </c>
    </row>
    <row r="204" ht="15" customHeight="1">
      <c r="A204" t="inlineStr">
        <is>
          <t>A 18760-2023</t>
        </is>
      </c>
      <c r="B204" s="1" t="n">
        <v>45043</v>
      </c>
      <c r="C204" s="1" t="n">
        <v>45895</v>
      </c>
      <c r="D204" t="inlineStr">
        <is>
          <t>NORRBOTTENS LÄN</t>
        </is>
      </c>
      <c r="E204" t="inlineStr">
        <is>
          <t>LULEÅ</t>
        </is>
      </c>
      <c r="G204" t="n">
        <v>10.3</v>
      </c>
      <c r="H204" t="n">
        <v>1</v>
      </c>
      <c r="I204" t="n">
        <v>2</v>
      </c>
      <c r="J204" t="n">
        <v>3</v>
      </c>
      <c r="K204" t="n">
        <v>0</v>
      </c>
      <c r="L204" t="n">
        <v>0</v>
      </c>
      <c r="M204" t="n">
        <v>0</v>
      </c>
      <c r="N204" t="n">
        <v>0</v>
      </c>
      <c r="O204" t="n">
        <v>3</v>
      </c>
      <c r="P204" t="n">
        <v>0</v>
      </c>
      <c r="Q204" t="n">
        <v>5</v>
      </c>
      <c r="R204" s="2" t="inlineStr">
        <is>
          <t>Granticka
Harticka
Tretåig hackspett
Skinnlav
Vedticka</t>
        </is>
      </c>
      <c r="S204">
        <f>HYPERLINK("https://klasma.github.io/Logging_2580/artfynd/A 18760-2023 artfynd.xlsx", "A 18760-2023")</f>
        <v/>
      </c>
      <c r="T204">
        <f>HYPERLINK("https://klasma.github.io/Logging_2580/kartor/A 18760-2023 karta.png", "A 18760-2023")</f>
        <v/>
      </c>
      <c r="V204">
        <f>HYPERLINK("https://klasma.github.io/Logging_2580/klagomål/A 18760-2023 FSC-klagomål.docx", "A 18760-2023")</f>
        <v/>
      </c>
      <c r="W204">
        <f>HYPERLINK("https://klasma.github.io/Logging_2580/klagomålsmail/A 18760-2023 FSC-klagomål mail.docx", "A 18760-2023")</f>
        <v/>
      </c>
      <c r="X204">
        <f>HYPERLINK("https://klasma.github.io/Logging_2580/tillsyn/A 18760-2023 tillsynsbegäran.docx", "A 18760-2023")</f>
        <v/>
      </c>
      <c r="Y204">
        <f>HYPERLINK("https://klasma.github.io/Logging_2580/tillsynsmail/A 18760-2023 tillsynsbegäran mail.docx", "A 18760-2023")</f>
        <v/>
      </c>
      <c r="Z204">
        <f>HYPERLINK("https://klasma.github.io/Logging_2580/fåglar/A 18760-2023 prioriterade fågelarter.docx", "A 18760-2023")</f>
        <v/>
      </c>
    </row>
    <row r="205" ht="15" customHeight="1">
      <c r="A205" t="inlineStr">
        <is>
          <t>A 36293-2025</t>
        </is>
      </c>
      <c r="B205" s="1" t="n">
        <v>45867</v>
      </c>
      <c r="C205" s="1" t="n">
        <v>45895</v>
      </c>
      <c r="D205" t="inlineStr">
        <is>
          <t>NORRBOTTENS LÄN</t>
        </is>
      </c>
      <c r="E205" t="inlineStr">
        <is>
          <t>GÄLLIVARE</t>
        </is>
      </c>
      <c r="F205" t="inlineStr">
        <is>
          <t>Sveaskog</t>
        </is>
      </c>
      <c r="G205" t="n">
        <v>13.3</v>
      </c>
      <c r="H205" t="n">
        <v>0</v>
      </c>
      <c r="I205" t="n">
        <v>0</v>
      </c>
      <c r="J205" t="n">
        <v>4</v>
      </c>
      <c r="K205" t="n">
        <v>1</v>
      </c>
      <c r="L205" t="n">
        <v>0</v>
      </c>
      <c r="M205" t="n">
        <v>0</v>
      </c>
      <c r="N205" t="n">
        <v>0</v>
      </c>
      <c r="O205" t="n">
        <v>5</v>
      </c>
      <c r="P205" t="n">
        <v>1</v>
      </c>
      <c r="Q205" t="n">
        <v>5</v>
      </c>
      <c r="R205" s="2" t="inlineStr">
        <is>
          <t>Fläckporing
Motaggsvamp
Mörk kolflarnlav
Vaddporing
Vedskivlav</t>
        </is>
      </c>
      <c r="S205">
        <f>HYPERLINK("https://klasma.github.io/Logging_2523/artfynd/A 36293-2025 artfynd.xlsx", "A 36293-2025")</f>
        <v/>
      </c>
      <c r="T205">
        <f>HYPERLINK("https://klasma.github.io/Logging_2523/kartor/A 36293-2025 karta.png", "A 36293-2025")</f>
        <v/>
      </c>
      <c r="V205">
        <f>HYPERLINK("https://klasma.github.io/Logging_2523/klagomål/A 36293-2025 FSC-klagomål.docx", "A 36293-2025")</f>
        <v/>
      </c>
      <c r="W205">
        <f>HYPERLINK("https://klasma.github.io/Logging_2523/klagomålsmail/A 36293-2025 FSC-klagomål mail.docx", "A 36293-2025")</f>
        <v/>
      </c>
      <c r="X205">
        <f>HYPERLINK("https://klasma.github.io/Logging_2523/tillsyn/A 36293-2025 tillsynsbegäran.docx", "A 36293-2025")</f>
        <v/>
      </c>
      <c r="Y205">
        <f>HYPERLINK("https://klasma.github.io/Logging_2523/tillsynsmail/A 36293-2025 tillsynsbegäran mail.docx", "A 36293-2025")</f>
        <v/>
      </c>
    </row>
    <row r="206" ht="15" customHeight="1">
      <c r="A206" t="inlineStr">
        <is>
          <t>A 54960-2021</t>
        </is>
      </c>
      <c r="B206" s="1" t="n">
        <v>44474</v>
      </c>
      <c r="C206" s="1" t="n">
        <v>45895</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40202-2025</t>
        </is>
      </c>
      <c r="B207" s="1" t="n">
        <v>45894.67243055555</v>
      </c>
      <c r="C207" s="1" t="n">
        <v>45895</v>
      </c>
      <c r="D207" t="inlineStr">
        <is>
          <t>NORRBOTTENS LÄN</t>
        </is>
      </c>
      <c r="E207" t="inlineStr">
        <is>
          <t>PITEÅ</t>
        </is>
      </c>
      <c r="F207" t="inlineStr">
        <is>
          <t>Sveaskog</t>
        </is>
      </c>
      <c r="G207" t="n">
        <v>8.1</v>
      </c>
      <c r="H207" t="n">
        <v>2</v>
      </c>
      <c r="I207" t="n">
        <v>0</v>
      </c>
      <c r="J207" t="n">
        <v>4</v>
      </c>
      <c r="K207" t="n">
        <v>0</v>
      </c>
      <c r="L207" t="n">
        <v>0</v>
      </c>
      <c r="M207" t="n">
        <v>0</v>
      </c>
      <c r="N207" t="n">
        <v>0</v>
      </c>
      <c r="O207" t="n">
        <v>4</v>
      </c>
      <c r="P207" t="n">
        <v>0</v>
      </c>
      <c r="Q207" t="n">
        <v>5</v>
      </c>
      <c r="R207" s="2" t="inlineStr">
        <is>
          <t>Gammelgransskål
Knottrig blåslav
Spillkråka
Violettgrå tagellav
Revlummer</t>
        </is>
      </c>
      <c r="S207">
        <f>HYPERLINK("https://klasma.github.io/Logging_2581/artfynd/A 40202-2025 artfynd.xlsx", "A 40202-2025")</f>
        <v/>
      </c>
      <c r="T207">
        <f>HYPERLINK("https://klasma.github.io/Logging_2581/kartor/A 40202-2025 karta.png", "A 40202-2025")</f>
        <v/>
      </c>
      <c r="V207">
        <f>HYPERLINK("https://klasma.github.io/Logging_2581/klagomål/A 40202-2025 FSC-klagomål.docx", "A 40202-2025")</f>
        <v/>
      </c>
      <c r="W207">
        <f>HYPERLINK("https://klasma.github.io/Logging_2581/klagomålsmail/A 40202-2025 FSC-klagomål mail.docx", "A 40202-2025")</f>
        <v/>
      </c>
      <c r="X207">
        <f>HYPERLINK("https://klasma.github.io/Logging_2581/tillsyn/A 40202-2025 tillsynsbegäran.docx", "A 40202-2025")</f>
        <v/>
      </c>
      <c r="Y207">
        <f>HYPERLINK("https://klasma.github.io/Logging_2581/tillsynsmail/A 40202-2025 tillsynsbegäran mail.docx", "A 40202-2025")</f>
        <v/>
      </c>
      <c r="Z207">
        <f>HYPERLINK("https://klasma.github.io/Logging_2581/fåglar/A 40202-2025 prioriterade fågelarter.docx", "A 40202-2025")</f>
        <v/>
      </c>
    </row>
    <row r="208" ht="15" customHeight="1">
      <c r="A208" t="inlineStr">
        <is>
          <t>A 54504-2022</t>
        </is>
      </c>
      <c r="B208" s="1" t="n">
        <v>44880</v>
      </c>
      <c r="C208" s="1" t="n">
        <v>45895</v>
      </c>
      <c r="D208" t="inlineStr">
        <is>
          <t>NORRBOTTENS LÄN</t>
        </is>
      </c>
      <c r="E208" t="inlineStr">
        <is>
          <t>ÖVERTORNEÅ</t>
        </is>
      </c>
      <c r="F208" t="inlineStr">
        <is>
          <t>Sveaskog</t>
        </is>
      </c>
      <c r="G208" t="n">
        <v>2.6</v>
      </c>
      <c r="H208" t="n">
        <v>2</v>
      </c>
      <c r="I208" t="n">
        <v>2</v>
      </c>
      <c r="J208" t="n">
        <v>2</v>
      </c>
      <c r="K208" t="n">
        <v>0</v>
      </c>
      <c r="L208" t="n">
        <v>0</v>
      </c>
      <c r="M208" t="n">
        <v>0</v>
      </c>
      <c r="N208" t="n">
        <v>0</v>
      </c>
      <c r="O208" t="n">
        <v>2</v>
      </c>
      <c r="P208" t="n">
        <v>0</v>
      </c>
      <c r="Q208" t="n">
        <v>5</v>
      </c>
      <c r="R208" s="2" t="inlineStr">
        <is>
          <t>Garnlav
Spillkråka
Barkticka
Norrlandslav
Revlummer</t>
        </is>
      </c>
      <c r="S208">
        <f>HYPERLINK("https://klasma.github.io/Logging_2518/artfynd/A 54504-2022 artfynd.xlsx", "A 54504-2022")</f>
        <v/>
      </c>
      <c r="T208">
        <f>HYPERLINK("https://klasma.github.io/Logging_2518/kartor/A 54504-2022 karta.png", "A 54504-2022")</f>
        <v/>
      </c>
      <c r="V208">
        <f>HYPERLINK("https://klasma.github.io/Logging_2518/klagomål/A 54504-2022 FSC-klagomål.docx", "A 54504-2022")</f>
        <v/>
      </c>
      <c r="W208">
        <f>HYPERLINK("https://klasma.github.io/Logging_2518/klagomålsmail/A 54504-2022 FSC-klagomål mail.docx", "A 54504-2022")</f>
        <v/>
      </c>
      <c r="X208">
        <f>HYPERLINK("https://klasma.github.io/Logging_2518/tillsyn/A 54504-2022 tillsynsbegäran.docx", "A 54504-2022")</f>
        <v/>
      </c>
      <c r="Y208">
        <f>HYPERLINK("https://klasma.github.io/Logging_2518/tillsynsmail/A 54504-2022 tillsynsbegäran mail.docx", "A 54504-2022")</f>
        <v/>
      </c>
      <c r="Z208">
        <f>HYPERLINK("https://klasma.github.io/Logging_2518/fåglar/A 54504-2022 prioriterade fågelarter.docx", "A 54504-2022")</f>
        <v/>
      </c>
    </row>
    <row r="209" ht="15" customHeight="1">
      <c r="A209" t="inlineStr">
        <is>
          <t>A 2344-2024</t>
        </is>
      </c>
      <c r="B209" s="1" t="n">
        <v>45310</v>
      </c>
      <c r="C209" s="1" t="n">
        <v>45895</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15202-2023</t>
        </is>
      </c>
      <c r="B210" s="1" t="n">
        <v>45017</v>
      </c>
      <c r="C210" s="1" t="n">
        <v>45895</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45895</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32325-2024</t>
        </is>
      </c>
      <c r="B212" s="1" t="n">
        <v>45512</v>
      </c>
      <c r="C212" s="1" t="n">
        <v>45895</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14856-2021</t>
        </is>
      </c>
      <c r="B213" s="1" t="n">
        <v>44280.93891203704</v>
      </c>
      <c r="C213" s="1" t="n">
        <v>45895</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45895</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45895</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45895</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59298-2021</t>
        </is>
      </c>
      <c r="B217" s="1" t="n">
        <v>44490</v>
      </c>
      <c r="C217" s="1" t="n">
        <v>45895</v>
      </c>
      <c r="D217" t="inlineStr">
        <is>
          <t>NORRBOTTENS LÄN</t>
        </is>
      </c>
      <c r="E217" t="inlineStr">
        <is>
          <t>LULEÅ</t>
        </is>
      </c>
      <c r="G217" t="n">
        <v>9.199999999999999</v>
      </c>
      <c r="H217" t="n">
        <v>0</v>
      </c>
      <c r="I217" t="n">
        <v>1</v>
      </c>
      <c r="J217" t="n">
        <v>3</v>
      </c>
      <c r="K217" t="n">
        <v>0</v>
      </c>
      <c r="L217" t="n">
        <v>0</v>
      </c>
      <c r="M217" t="n">
        <v>0</v>
      </c>
      <c r="N217" t="n">
        <v>0</v>
      </c>
      <c r="O217" t="n">
        <v>3</v>
      </c>
      <c r="P217" t="n">
        <v>0</v>
      </c>
      <c r="Q217" t="n">
        <v>4</v>
      </c>
      <c r="R217" s="2" t="inlineStr">
        <is>
          <t>Garnlav
Granticka
Stiftgelélav
Skinnlav</t>
        </is>
      </c>
      <c r="S217">
        <f>HYPERLINK("https://klasma.github.io/Logging_2580/artfynd/A 59298-2021 artfynd.xlsx", "A 59298-2021")</f>
        <v/>
      </c>
      <c r="T217">
        <f>HYPERLINK("https://klasma.github.io/Logging_2580/kartor/A 59298-2021 karta.png", "A 59298-2021")</f>
        <v/>
      </c>
      <c r="V217">
        <f>HYPERLINK("https://klasma.github.io/Logging_2580/klagomål/A 59298-2021 FSC-klagomål.docx", "A 59298-2021")</f>
        <v/>
      </c>
      <c r="W217">
        <f>HYPERLINK("https://klasma.github.io/Logging_2580/klagomålsmail/A 59298-2021 FSC-klagomål mail.docx", "A 59298-2021")</f>
        <v/>
      </c>
      <c r="X217">
        <f>HYPERLINK("https://klasma.github.io/Logging_2580/tillsyn/A 59298-2021 tillsynsbegäran.docx", "A 59298-2021")</f>
        <v/>
      </c>
      <c r="Y217">
        <f>HYPERLINK("https://klasma.github.io/Logging_2580/tillsynsmail/A 59298-2021 tillsynsbegäran mail.docx", "A 59298-2021")</f>
        <v/>
      </c>
    </row>
    <row r="218" ht="15" customHeight="1">
      <c r="A218" t="inlineStr">
        <is>
          <t>A 21352-2024</t>
        </is>
      </c>
      <c r="B218" s="1" t="n">
        <v>45440</v>
      </c>
      <c r="C218" s="1" t="n">
        <v>45895</v>
      </c>
      <c r="D218" t="inlineStr">
        <is>
          <t>NORRBOTTENS LÄN</t>
        </is>
      </c>
      <c r="E218" t="inlineStr">
        <is>
          <t>JOKKMOKK</t>
        </is>
      </c>
      <c r="F218" t="inlineStr">
        <is>
          <t>SCA</t>
        </is>
      </c>
      <c r="G218" t="n">
        <v>2.7</v>
      </c>
      <c r="H218" t="n">
        <v>2</v>
      </c>
      <c r="I218" t="n">
        <v>0</v>
      </c>
      <c r="J218" t="n">
        <v>3</v>
      </c>
      <c r="K218" t="n">
        <v>0</v>
      </c>
      <c r="L218" t="n">
        <v>0</v>
      </c>
      <c r="M218" t="n">
        <v>0</v>
      </c>
      <c r="N218" t="n">
        <v>0</v>
      </c>
      <c r="O218" t="n">
        <v>3</v>
      </c>
      <c r="P218" t="n">
        <v>0</v>
      </c>
      <c r="Q218" t="n">
        <v>4</v>
      </c>
      <c r="R218" s="2" t="inlineStr">
        <is>
          <t>Gammelgransskål
Stjärntagging
Tretåig hackspett
Fläcknycklar</t>
        </is>
      </c>
      <c r="S218">
        <f>HYPERLINK("https://klasma.github.io/Logging_2510/artfynd/A 21352-2024 artfynd.xlsx", "A 21352-2024")</f>
        <v/>
      </c>
      <c r="T218">
        <f>HYPERLINK("https://klasma.github.io/Logging_2510/kartor/A 21352-2024 karta.png", "A 21352-2024")</f>
        <v/>
      </c>
      <c r="V218">
        <f>HYPERLINK("https://klasma.github.io/Logging_2510/klagomål/A 21352-2024 FSC-klagomål.docx", "A 21352-2024")</f>
        <v/>
      </c>
      <c r="W218">
        <f>HYPERLINK("https://klasma.github.io/Logging_2510/klagomålsmail/A 21352-2024 FSC-klagomål mail.docx", "A 21352-2024")</f>
        <v/>
      </c>
      <c r="X218">
        <f>HYPERLINK("https://klasma.github.io/Logging_2510/tillsyn/A 21352-2024 tillsynsbegäran.docx", "A 21352-2024")</f>
        <v/>
      </c>
      <c r="Y218">
        <f>HYPERLINK("https://klasma.github.io/Logging_2510/tillsynsmail/A 21352-2024 tillsynsbegäran mail.docx", "A 21352-2024")</f>
        <v/>
      </c>
      <c r="Z218">
        <f>HYPERLINK("https://klasma.github.io/Logging_2510/fåglar/A 21352-2024 prioriterade fågelarter.docx", "A 21352-2024")</f>
        <v/>
      </c>
    </row>
    <row r="219" ht="15" customHeight="1">
      <c r="A219" t="inlineStr">
        <is>
          <t>A 22474-2024</t>
        </is>
      </c>
      <c r="B219" s="1" t="n">
        <v>45446.95140046296</v>
      </c>
      <c r="C219" s="1" t="n">
        <v>45895</v>
      </c>
      <c r="D219" t="inlineStr">
        <is>
          <t>NORRBOTTENS LÄN</t>
        </is>
      </c>
      <c r="E219" t="inlineStr">
        <is>
          <t>PITEÅ</t>
        </is>
      </c>
      <c r="F219" t="inlineStr">
        <is>
          <t>SCA</t>
        </is>
      </c>
      <c r="G219" t="n">
        <v>6.5</v>
      </c>
      <c r="H219" t="n">
        <v>1</v>
      </c>
      <c r="I219" t="n">
        <v>1</v>
      </c>
      <c r="J219" t="n">
        <v>3</v>
      </c>
      <c r="K219" t="n">
        <v>0</v>
      </c>
      <c r="L219" t="n">
        <v>0</v>
      </c>
      <c r="M219" t="n">
        <v>0</v>
      </c>
      <c r="N219" t="n">
        <v>0</v>
      </c>
      <c r="O219" t="n">
        <v>3</v>
      </c>
      <c r="P219" t="n">
        <v>0</v>
      </c>
      <c r="Q219" t="n">
        <v>4</v>
      </c>
      <c r="R219" s="2" t="inlineStr">
        <is>
          <t>Gammelgransskål
Granticka
Spillkråka
Tibast</t>
        </is>
      </c>
      <c r="S219">
        <f>HYPERLINK("https://klasma.github.io/Logging_2581/artfynd/A 22474-2024 artfynd.xlsx", "A 22474-2024")</f>
        <v/>
      </c>
      <c r="T219">
        <f>HYPERLINK("https://klasma.github.io/Logging_2581/kartor/A 22474-2024 karta.png", "A 22474-2024")</f>
        <v/>
      </c>
      <c r="V219">
        <f>HYPERLINK("https://klasma.github.io/Logging_2581/klagomål/A 22474-2024 FSC-klagomål.docx", "A 22474-2024")</f>
        <v/>
      </c>
      <c r="W219">
        <f>HYPERLINK("https://klasma.github.io/Logging_2581/klagomålsmail/A 22474-2024 FSC-klagomål mail.docx", "A 22474-2024")</f>
        <v/>
      </c>
      <c r="X219">
        <f>HYPERLINK("https://klasma.github.io/Logging_2581/tillsyn/A 22474-2024 tillsynsbegäran.docx", "A 22474-2024")</f>
        <v/>
      </c>
      <c r="Y219">
        <f>HYPERLINK("https://klasma.github.io/Logging_2581/tillsynsmail/A 22474-2024 tillsynsbegäran mail.docx", "A 22474-2024")</f>
        <v/>
      </c>
      <c r="Z219">
        <f>HYPERLINK("https://klasma.github.io/Logging_2581/fåglar/A 22474-2024 prioriterade fågelarter.docx", "A 22474-2024")</f>
        <v/>
      </c>
    </row>
    <row r="220" ht="15" customHeight="1">
      <c r="A220" t="inlineStr">
        <is>
          <t>A 32155-2023</t>
        </is>
      </c>
      <c r="B220" s="1" t="n">
        <v>45119</v>
      </c>
      <c r="C220" s="1" t="n">
        <v>45895</v>
      </c>
      <c r="D220" t="inlineStr">
        <is>
          <t>NORRBOTTENS LÄN</t>
        </is>
      </c>
      <c r="E220" t="inlineStr">
        <is>
          <t>PITEÅ</t>
        </is>
      </c>
      <c r="F220" t="inlineStr">
        <is>
          <t>Sveaskog</t>
        </is>
      </c>
      <c r="G220" t="n">
        <v>4</v>
      </c>
      <c r="H220" t="n">
        <v>0</v>
      </c>
      <c r="I220" t="n">
        <v>0</v>
      </c>
      <c r="J220" t="n">
        <v>4</v>
      </c>
      <c r="K220" t="n">
        <v>0</v>
      </c>
      <c r="L220" t="n">
        <v>0</v>
      </c>
      <c r="M220" t="n">
        <v>0</v>
      </c>
      <c r="N220" t="n">
        <v>0</v>
      </c>
      <c r="O220" t="n">
        <v>4</v>
      </c>
      <c r="P220" t="n">
        <v>0</v>
      </c>
      <c r="Q220" t="n">
        <v>4</v>
      </c>
      <c r="R220" s="2" t="inlineStr">
        <is>
          <t>Harticka
Kolflarnlav
Tallticka
Violmussling</t>
        </is>
      </c>
      <c r="S220">
        <f>HYPERLINK("https://klasma.github.io/Logging_2581/artfynd/A 32155-2023 artfynd.xlsx", "A 32155-2023")</f>
        <v/>
      </c>
      <c r="T220">
        <f>HYPERLINK("https://klasma.github.io/Logging_2581/kartor/A 32155-2023 karta.png", "A 32155-2023")</f>
        <v/>
      </c>
      <c r="V220">
        <f>HYPERLINK("https://klasma.github.io/Logging_2581/klagomål/A 32155-2023 FSC-klagomål.docx", "A 32155-2023")</f>
        <v/>
      </c>
      <c r="W220">
        <f>HYPERLINK("https://klasma.github.io/Logging_2581/klagomålsmail/A 32155-2023 FSC-klagomål mail.docx", "A 32155-2023")</f>
        <v/>
      </c>
      <c r="X220">
        <f>HYPERLINK("https://klasma.github.io/Logging_2581/tillsyn/A 32155-2023 tillsynsbegäran.docx", "A 32155-2023")</f>
        <v/>
      </c>
      <c r="Y220">
        <f>HYPERLINK("https://klasma.github.io/Logging_2581/tillsynsmail/A 32155-2023 tillsynsbegäran mail.docx", "A 32155-2023")</f>
        <v/>
      </c>
    </row>
    <row r="221" ht="15" customHeight="1">
      <c r="A221" t="inlineStr">
        <is>
          <t>A 32990-2023</t>
        </is>
      </c>
      <c r="B221" s="1" t="n">
        <v>45113</v>
      </c>
      <c r="C221" s="1" t="n">
        <v>45895</v>
      </c>
      <c r="D221" t="inlineStr">
        <is>
          <t>NORRBOTTENS LÄN</t>
        </is>
      </c>
      <c r="E221" t="inlineStr">
        <is>
          <t>JOKKMOKK</t>
        </is>
      </c>
      <c r="F221" t="inlineStr">
        <is>
          <t>Övriga statliga verk och myndigheter</t>
        </is>
      </c>
      <c r="G221" t="n">
        <v>22.7</v>
      </c>
      <c r="H221" t="n">
        <v>0</v>
      </c>
      <c r="I221" t="n">
        <v>0</v>
      </c>
      <c r="J221" t="n">
        <v>3</v>
      </c>
      <c r="K221" t="n">
        <v>0</v>
      </c>
      <c r="L221" t="n">
        <v>1</v>
      </c>
      <c r="M221" t="n">
        <v>0</v>
      </c>
      <c r="N221" t="n">
        <v>0</v>
      </c>
      <c r="O221" t="n">
        <v>4</v>
      </c>
      <c r="P221" t="n">
        <v>1</v>
      </c>
      <c r="Q221" t="n">
        <v>4</v>
      </c>
      <c r="R221" s="2" t="inlineStr">
        <is>
          <t>Urskogsporing
Dvärgbägarlav
Vedflamlav
Vedskivlav</t>
        </is>
      </c>
      <c r="S221">
        <f>HYPERLINK("https://klasma.github.io/Logging_2510/artfynd/A 32990-2023 artfynd.xlsx", "A 32990-2023")</f>
        <v/>
      </c>
      <c r="T221">
        <f>HYPERLINK("https://klasma.github.io/Logging_2510/kartor/A 32990-2023 karta.png", "A 32990-2023")</f>
        <v/>
      </c>
      <c r="V221">
        <f>HYPERLINK("https://klasma.github.io/Logging_2510/klagomål/A 32990-2023 FSC-klagomål.docx", "A 32990-2023")</f>
        <v/>
      </c>
      <c r="W221">
        <f>HYPERLINK("https://klasma.github.io/Logging_2510/klagomålsmail/A 32990-2023 FSC-klagomål mail.docx", "A 32990-2023")</f>
        <v/>
      </c>
      <c r="X221">
        <f>HYPERLINK("https://klasma.github.io/Logging_2510/tillsyn/A 32990-2023 tillsynsbegäran.docx", "A 32990-2023")</f>
        <v/>
      </c>
      <c r="Y221">
        <f>HYPERLINK("https://klasma.github.io/Logging_2510/tillsynsmail/A 32990-2023 tillsynsbegäran mail.docx", "A 32990-2023")</f>
        <v/>
      </c>
    </row>
    <row r="222" ht="15" customHeight="1">
      <c r="A222" t="inlineStr">
        <is>
          <t>A 55870-2024</t>
        </is>
      </c>
      <c r="B222" s="1" t="n">
        <v>45622</v>
      </c>
      <c r="C222" s="1" t="n">
        <v>45895</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22862-2025</t>
        </is>
      </c>
      <c r="B223" s="1" t="n">
        <v>45790.3622337963</v>
      </c>
      <c r="C223" s="1" t="n">
        <v>45895</v>
      </c>
      <c r="D223" t="inlineStr">
        <is>
          <t>NORRBOTTENS LÄN</t>
        </is>
      </c>
      <c r="E223" t="inlineStr">
        <is>
          <t>ÄLVSBYN</t>
        </is>
      </c>
      <c r="F223" t="inlineStr">
        <is>
          <t>Sveaskog</t>
        </is>
      </c>
      <c r="G223" t="n">
        <v>18.7</v>
      </c>
      <c r="H223" t="n">
        <v>0</v>
      </c>
      <c r="I223" t="n">
        <v>2</v>
      </c>
      <c r="J223" t="n">
        <v>2</v>
      </c>
      <c r="K223" t="n">
        <v>0</v>
      </c>
      <c r="L223" t="n">
        <v>0</v>
      </c>
      <c r="M223" t="n">
        <v>0</v>
      </c>
      <c r="N223" t="n">
        <v>0</v>
      </c>
      <c r="O223" t="n">
        <v>2</v>
      </c>
      <c r="P223" t="n">
        <v>0</v>
      </c>
      <c r="Q223" t="n">
        <v>4</v>
      </c>
      <c r="R223" s="2" t="inlineStr">
        <is>
          <t>Kolflarnlav
Orange taggsvamp
Dropptaggsvamp
Skarp dropptaggsvamp</t>
        </is>
      </c>
      <c r="S223">
        <f>HYPERLINK("https://klasma.github.io/Logging_2560/artfynd/A 22862-2025 artfynd.xlsx", "A 22862-2025")</f>
        <v/>
      </c>
      <c r="T223">
        <f>HYPERLINK("https://klasma.github.io/Logging_2560/kartor/A 22862-2025 karta.png", "A 22862-2025")</f>
        <v/>
      </c>
      <c r="V223">
        <f>HYPERLINK("https://klasma.github.io/Logging_2560/klagomål/A 22862-2025 FSC-klagomål.docx", "A 22862-2025")</f>
        <v/>
      </c>
      <c r="W223">
        <f>HYPERLINK("https://klasma.github.io/Logging_2560/klagomålsmail/A 22862-2025 FSC-klagomål mail.docx", "A 22862-2025")</f>
        <v/>
      </c>
      <c r="X223">
        <f>HYPERLINK("https://klasma.github.io/Logging_2560/tillsyn/A 22862-2025 tillsynsbegäran.docx", "A 22862-2025")</f>
        <v/>
      </c>
      <c r="Y223">
        <f>HYPERLINK("https://klasma.github.io/Logging_2560/tillsynsmail/A 22862-2025 tillsynsbegäran mail.docx", "A 22862-2025")</f>
        <v/>
      </c>
    </row>
    <row r="224" ht="15" customHeight="1">
      <c r="A224" t="inlineStr">
        <is>
          <t>A 24185-2025</t>
        </is>
      </c>
      <c r="B224" s="1" t="n">
        <v>45796</v>
      </c>
      <c r="C224" s="1" t="n">
        <v>45895</v>
      </c>
      <c r="D224" t="inlineStr">
        <is>
          <t>NORRBOTTENS LÄN</t>
        </is>
      </c>
      <c r="E224" t="inlineStr">
        <is>
          <t>GÄLLIVARE</t>
        </is>
      </c>
      <c r="F224" t="inlineStr">
        <is>
          <t>Allmännings- och besparingsskogar</t>
        </is>
      </c>
      <c r="G224" t="n">
        <v>10.6</v>
      </c>
      <c r="H224" t="n">
        <v>1</v>
      </c>
      <c r="I224" t="n">
        <v>2</v>
      </c>
      <c r="J224" t="n">
        <v>1</v>
      </c>
      <c r="K224" t="n">
        <v>0</v>
      </c>
      <c r="L224" t="n">
        <v>0</v>
      </c>
      <c r="M224" t="n">
        <v>0</v>
      </c>
      <c r="N224" t="n">
        <v>0</v>
      </c>
      <c r="O224" t="n">
        <v>1</v>
      </c>
      <c r="P224" t="n">
        <v>0</v>
      </c>
      <c r="Q224" t="n">
        <v>4</v>
      </c>
      <c r="R224" s="2" t="inlineStr">
        <is>
          <t>Garnlav
Grönpyrola
Nästlav
Revlummer</t>
        </is>
      </c>
      <c r="S224">
        <f>HYPERLINK("https://klasma.github.io/Logging_2523/artfynd/A 24185-2025 artfynd.xlsx", "A 24185-2025")</f>
        <v/>
      </c>
      <c r="T224">
        <f>HYPERLINK("https://klasma.github.io/Logging_2523/kartor/A 24185-2025 karta.png", "A 24185-2025")</f>
        <v/>
      </c>
      <c r="V224">
        <f>HYPERLINK("https://klasma.github.io/Logging_2523/klagomål/A 24185-2025 FSC-klagomål.docx", "A 24185-2025")</f>
        <v/>
      </c>
      <c r="W224">
        <f>HYPERLINK("https://klasma.github.io/Logging_2523/klagomålsmail/A 24185-2025 FSC-klagomål mail.docx", "A 24185-2025")</f>
        <v/>
      </c>
      <c r="X224">
        <f>HYPERLINK("https://klasma.github.io/Logging_2523/tillsyn/A 24185-2025 tillsynsbegäran.docx", "A 24185-2025")</f>
        <v/>
      </c>
      <c r="Y224">
        <f>HYPERLINK("https://klasma.github.io/Logging_2523/tillsynsmail/A 24185-2025 tillsynsbegäran mail.docx", "A 24185-2025")</f>
        <v/>
      </c>
    </row>
    <row r="225" ht="15" customHeight="1">
      <c r="A225" t="inlineStr">
        <is>
          <t>A 31708-2021</t>
        </is>
      </c>
      <c r="B225" s="1" t="n">
        <v>44369</v>
      </c>
      <c r="C225" s="1" t="n">
        <v>45895</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7955-2022</t>
        </is>
      </c>
      <c r="B226" s="1" t="n">
        <v>44608.93818287037</v>
      </c>
      <c r="C226" s="1" t="n">
        <v>45895</v>
      </c>
      <c r="D226" t="inlineStr">
        <is>
          <t>NORRBOTTENS LÄN</t>
        </is>
      </c>
      <c r="E226" t="inlineStr">
        <is>
          <t>PAJALA</t>
        </is>
      </c>
      <c r="F226" t="inlineStr">
        <is>
          <t>SCA</t>
        </is>
      </c>
      <c r="G226" t="n">
        <v>4.8</v>
      </c>
      <c r="H226" t="n">
        <v>0</v>
      </c>
      <c r="I226" t="n">
        <v>0</v>
      </c>
      <c r="J226" t="n">
        <v>4</v>
      </c>
      <c r="K226" t="n">
        <v>0</v>
      </c>
      <c r="L226" t="n">
        <v>0</v>
      </c>
      <c r="M226" t="n">
        <v>0</v>
      </c>
      <c r="N226" t="n">
        <v>0</v>
      </c>
      <c r="O226" t="n">
        <v>4</v>
      </c>
      <c r="P226" t="n">
        <v>0</v>
      </c>
      <c r="Q226" t="n">
        <v>4</v>
      </c>
      <c r="R226" s="2" t="inlineStr">
        <is>
          <t>Gammelgransskål
Granticka
Rosenticka
Ullticka</t>
        </is>
      </c>
      <c r="S226">
        <f>HYPERLINK("https://klasma.github.io/Logging_2521/artfynd/A 7955-2022 artfynd.xlsx", "A 7955-2022")</f>
        <v/>
      </c>
      <c r="T226">
        <f>HYPERLINK("https://klasma.github.io/Logging_2521/kartor/A 7955-2022 karta.png", "A 7955-2022")</f>
        <v/>
      </c>
      <c r="V226">
        <f>HYPERLINK("https://klasma.github.io/Logging_2521/klagomål/A 7955-2022 FSC-klagomål.docx", "A 7955-2022")</f>
        <v/>
      </c>
      <c r="W226">
        <f>HYPERLINK("https://klasma.github.io/Logging_2521/klagomålsmail/A 7955-2022 FSC-klagomål mail.docx", "A 7955-2022")</f>
        <v/>
      </c>
      <c r="X226">
        <f>HYPERLINK("https://klasma.github.io/Logging_2521/tillsyn/A 7955-2022 tillsynsbegäran.docx", "A 7955-2022")</f>
        <v/>
      </c>
      <c r="Y226">
        <f>HYPERLINK("https://klasma.github.io/Logging_2521/tillsynsmail/A 7955-2022 tillsynsbegäran mail.docx", "A 7955-2022")</f>
        <v/>
      </c>
    </row>
    <row r="227" ht="15" customHeight="1">
      <c r="A227" t="inlineStr">
        <is>
          <t>A 11851-2024</t>
        </is>
      </c>
      <c r="B227" s="1" t="n">
        <v>45376</v>
      </c>
      <c r="C227" s="1" t="n">
        <v>45895</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16456-2024</t>
        </is>
      </c>
      <c r="B228" s="1" t="n">
        <v>45407</v>
      </c>
      <c r="C228" s="1" t="n">
        <v>45895</v>
      </c>
      <c r="D228" t="inlineStr">
        <is>
          <t>NORRBOTTENS LÄN</t>
        </is>
      </c>
      <c r="E228" t="inlineStr">
        <is>
          <t>ÖVERTORNEÅ</t>
        </is>
      </c>
      <c r="G228" t="n">
        <v>11.3</v>
      </c>
      <c r="H228" t="n">
        <v>3</v>
      </c>
      <c r="I228" t="n">
        <v>0</v>
      </c>
      <c r="J228" t="n">
        <v>3</v>
      </c>
      <c r="K228" t="n">
        <v>0</v>
      </c>
      <c r="L228" t="n">
        <v>0</v>
      </c>
      <c r="M228" t="n">
        <v>0</v>
      </c>
      <c r="N228" t="n">
        <v>0</v>
      </c>
      <c r="O228" t="n">
        <v>3</v>
      </c>
      <c r="P228" t="n">
        <v>0</v>
      </c>
      <c r="Q228" t="n">
        <v>4</v>
      </c>
      <c r="R228" s="2" t="inlineStr">
        <is>
          <t>Garnlav
Spillkråka
Tretåig hackspett
Revlummer</t>
        </is>
      </c>
      <c r="S228">
        <f>HYPERLINK("https://klasma.github.io/Logging_2518/artfynd/A 16456-2024 artfynd.xlsx", "A 16456-2024")</f>
        <v/>
      </c>
      <c r="T228">
        <f>HYPERLINK("https://klasma.github.io/Logging_2518/kartor/A 16456-2024 karta.png", "A 16456-2024")</f>
        <v/>
      </c>
      <c r="V228">
        <f>HYPERLINK("https://klasma.github.io/Logging_2518/klagomål/A 16456-2024 FSC-klagomål.docx", "A 16456-2024")</f>
        <v/>
      </c>
      <c r="W228">
        <f>HYPERLINK("https://klasma.github.io/Logging_2518/klagomålsmail/A 16456-2024 FSC-klagomål mail.docx", "A 16456-2024")</f>
        <v/>
      </c>
      <c r="X228">
        <f>HYPERLINK("https://klasma.github.io/Logging_2518/tillsyn/A 16456-2024 tillsynsbegäran.docx", "A 16456-2024")</f>
        <v/>
      </c>
      <c r="Y228">
        <f>HYPERLINK("https://klasma.github.io/Logging_2518/tillsynsmail/A 16456-2024 tillsynsbegäran mail.docx", "A 16456-2024")</f>
        <v/>
      </c>
      <c r="Z228">
        <f>HYPERLINK("https://klasma.github.io/Logging_2518/fåglar/A 16456-2024 prioriterade fågelarter.docx", "A 16456-2024")</f>
        <v/>
      </c>
    </row>
    <row r="229" ht="15" customHeight="1">
      <c r="A229" t="inlineStr">
        <is>
          <t>A 5288-2023</t>
        </is>
      </c>
      <c r="B229" s="1" t="n">
        <v>44959</v>
      </c>
      <c r="C229" s="1" t="n">
        <v>45895</v>
      </c>
      <c r="D229" t="inlineStr">
        <is>
          <t>NORRBOTTENS LÄN</t>
        </is>
      </c>
      <c r="E229" t="inlineStr">
        <is>
          <t>GÄLLIVARE</t>
        </is>
      </c>
      <c r="F229" t="inlineStr">
        <is>
          <t>SCA</t>
        </is>
      </c>
      <c r="G229" t="n">
        <v>12.2</v>
      </c>
      <c r="H229" t="n">
        <v>1</v>
      </c>
      <c r="I229" t="n">
        <v>1</v>
      </c>
      <c r="J229" t="n">
        <v>0</v>
      </c>
      <c r="K229" t="n">
        <v>2</v>
      </c>
      <c r="L229" t="n">
        <v>0</v>
      </c>
      <c r="M229" t="n">
        <v>0</v>
      </c>
      <c r="N229" t="n">
        <v>0</v>
      </c>
      <c r="O229" t="n">
        <v>2</v>
      </c>
      <c r="P229" t="n">
        <v>2</v>
      </c>
      <c r="Q229" t="n">
        <v>4</v>
      </c>
      <c r="R229" s="2" t="inlineStr">
        <is>
          <t>Smultronkantarell
Tallstocksticka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1879-2024</t>
        </is>
      </c>
      <c r="B230" s="1" t="n">
        <v>45307</v>
      </c>
      <c r="C230" s="1" t="n">
        <v>45895</v>
      </c>
      <c r="D230" t="inlineStr">
        <is>
          <t>NORRBOTTENS LÄN</t>
        </is>
      </c>
      <c r="E230" t="inlineStr">
        <is>
          <t>BODEN</t>
        </is>
      </c>
      <c r="F230" t="inlineStr">
        <is>
          <t>SCA</t>
        </is>
      </c>
      <c r="G230" t="n">
        <v>4.5</v>
      </c>
      <c r="H230" t="n">
        <v>0</v>
      </c>
      <c r="I230" t="n">
        <v>1</v>
      </c>
      <c r="J230" t="n">
        <v>2</v>
      </c>
      <c r="K230" t="n">
        <v>1</v>
      </c>
      <c r="L230" t="n">
        <v>0</v>
      </c>
      <c r="M230" t="n">
        <v>0</v>
      </c>
      <c r="N230" t="n">
        <v>0</v>
      </c>
      <c r="O230" t="n">
        <v>3</v>
      </c>
      <c r="P230" t="n">
        <v>1</v>
      </c>
      <c r="Q230" t="n">
        <v>4</v>
      </c>
      <c r="R230" s="2" t="inlineStr">
        <is>
          <t>Ringlav
Garnlav
Skogshare
Bårdlav</t>
        </is>
      </c>
      <c r="S230">
        <f>HYPERLINK("https://klasma.github.io/Logging_2582/artfynd/A 1879-2024 artfynd.xlsx", "A 1879-2024")</f>
        <v/>
      </c>
      <c r="T230">
        <f>HYPERLINK("https://klasma.github.io/Logging_2582/kartor/A 1879-2024 karta.png", "A 1879-2024")</f>
        <v/>
      </c>
      <c r="V230">
        <f>HYPERLINK("https://klasma.github.io/Logging_2582/klagomål/A 1879-2024 FSC-klagomål.docx", "A 1879-2024")</f>
        <v/>
      </c>
      <c r="W230">
        <f>HYPERLINK("https://klasma.github.io/Logging_2582/klagomålsmail/A 1879-2024 FSC-klagomål mail.docx", "A 1879-2024")</f>
        <v/>
      </c>
      <c r="X230">
        <f>HYPERLINK("https://klasma.github.io/Logging_2582/tillsyn/A 1879-2024 tillsynsbegäran.docx", "A 1879-2024")</f>
        <v/>
      </c>
      <c r="Y230">
        <f>HYPERLINK("https://klasma.github.io/Logging_2582/tillsynsmail/A 1879-2024 tillsynsbegäran mail.docx", "A 1879-2024")</f>
        <v/>
      </c>
    </row>
    <row r="231" ht="15" customHeight="1">
      <c r="A231" t="inlineStr">
        <is>
          <t>A 64803-2023</t>
        </is>
      </c>
      <c r="B231" s="1" t="n">
        <v>45281</v>
      </c>
      <c r="C231" s="1" t="n">
        <v>45895</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36753-2022</t>
        </is>
      </c>
      <c r="B232" s="1" t="n">
        <v>44805</v>
      </c>
      <c r="C232" s="1" t="n">
        <v>45895</v>
      </c>
      <c r="D232" t="inlineStr">
        <is>
          <t>NORRBOTTENS LÄN</t>
        </is>
      </c>
      <c r="E232" t="inlineStr">
        <is>
          <t>KALIX</t>
        </is>
      </c>
      <c r="G232" t="n">
        <v>5</v>
      </c>
      <c r="H232" t="n">
        <v>2</v>
      </c>
      <c r="I232" t="n">
        <v>2</v>
      </c>
      <c r="J232" t="n">
        <v>0</v>
      </c>
      <c r="K232" t="n">
        <v>2</v>
      </c>
      <c r="L232" t="n">
        <v>0</v>
      </c>
      <c r="M232" t="n">
        <v>0</v>
      </c>
      <c r="N232" t="n">
        <v>0</v>
      </c>
      <c r="O232" t="n">
        <v>2</v>
      </c>
      <c r="P232" t="n">
        <v>2</v>
      </c>
      <c r="Q232" t="n">
        <v>4</v>
      </c>
      <c r="R232" s="2" t="inlineStr">
        <is>
          <t>Knärot
Liten aspgelélav
Guckusko
Svart trolldruva</t>
        </is>
      </c>
      <c r="S232">
        <f>HYPERLINK("https://klasma.github.io/Logging_2514/artfynd/A 36753-2022 artfynd.xlsx", "A 36753-2022")</f>
        <v/>
      </c>
      <c r="T232">
        <f>HYPERLINK("https://klasma.github.io/Logging_2514/kartor/A 36753-2022 karta.png", "A 36753-2022")</f>
        <v/>
      </c>
      <c r="U232">
        <f>HYPERLINK("https://klasma.github.io/Logging_2514/knärot/A 36753-2022 karta knärot.png", "A 36753-2022")</f>
        <v/>
      </c>
      <c r="V232">
        <f>HYPERLINK("https://klasma.github.io/Logging_2514/klagomål/A 36753-2022 FSC-klagomål.docx", "A 36753-2022")</f>
        <v/>
      </c>
      <c r="W232">
        <f>HYPERLINK("https://klasma.github.io/Logging_2514/klagomålsmail/A 36753-2022 FSC-klagomål mail.docx", "A 36753-2022")</f>
        <v/>
      </c>
      <c r="X232">
        <f>HYPERLINK("https://klasma.github.io/Logging_2514/tillsyn/A 36753-2022 tillsynsbegäran.docx", "A 36753-2022")</f>
        <v/>
      </c>
      <c r="Y232">
        <f>HYPERLINK("https://klasma.github.io/Logging_2514/tillsynsmail/A 36753-2022 tillsynsbegäran mail.docx", "A 36753-2022")</f>
        <v/>
      </c>
    </row>
    <row r="233" ht="15" customHeight="1">
      <c r="A233" t="inlineStr">
        <is>
          <t>A 28582-2025</t>
        </is>
      </c>
      <c r="B233" s="1" t="n">
        <v>45819</v>
      </c>
      <c r="C233" s="1" t="n">
        <v>45895</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25922-2024</t>
        </is>
      </c>
      <c r="B234" s="1" t="n">
        <v>45467.60636574074</v>
      </c>
      <c r="C234" s="1" t="n">
        <v>45895</v>
      </c>
      <c r="D234" t="inlineStr">
        <is>
          <t>NORRBOTTENS LÄN</t>
        </is>
      </c>
      <c r="E234" t="inlineStr">
        <is>
          <t>GÄLLIVARE</t>
        </is>
      </c>
      <c r="G234" t="n">
        <v>9.300000000000001</v>
      </c>
      <c r="H234" t="n">
        <v>4</v>
      </c>
      <c r="I234" t="n">
        <v>0</v>
      </c>
      <c r="J234" t="n">
        <v>2</v>
      </c>
      <c r="K234" t="n">
        <v>1</v>
      </c>
      <c r="L234" t="n">
        <v>0</v>
      </c>
      <c r="M234" t="n">
        <v>0</v>
      </c>
      <c r="N234" t="n">
        <v>0</v>
      </c>
      <c r="O234" t="n">
        <v>3</v>
      </c>
      <c r="P234" t="n">
        <v>1</v>
      </c>
      <c r="Q234" t="n">
        <v>4</v>
      </c>
      <c r="R234" s="2" t="inlineStr">
        <is>
          <t>Kricka
Buskskvätta
Svartsnäppa
Huggorm</t>
        </is>
      </c>
      <c r="S234">
        <f>HYPERLINK("https://klasma.github.io/Logging_2523/artfynd/A 25922-2024 artfynd.xlsx", "A 25922-2024")</f>
        <v/>
      </c>
      <c r="T234">
        <f>HYPERLINK("https://klasma.github.io/Logging_2523/kartor/A 25922-2024 karta.png", "A 25922-2024")</f>
        <v/>
      </c>
      <c r="V234">
        <f>HYPERLINK("https://klasma.github.io/Logging_2523/klagomål/A 25922-2024 FSC-klagomål.docx", "A 25922-2024")</f>
        <v/>
      </c>
      <c r="W234">
        <f>HYPERLINK("https://klasma.github.io/Logging_2523/klagomålsmail/A 25922-2024 FSC-klagomål mail.docx", "A 25922-2024")</f>
        <v/>
      </c>
      <c r="X234">
        <f>HYPERLINK("https://klasma.github.io/Logging_2523/tillsyn/A 25922-2024 tillsynsbegäran.docx", "A 25922-2024")</f>
        <v/>
      </c>
      <c r="Y234">
        <f>HYPERLINK("https://klasma.github.io/Logging_2523/tillsynsmail/A 25922-2024 tillsynsbegäran mail.docx", "A 25922-2024")</f>
        <v/>
      </c>
      <c r="Z234">
        <f>HYPERLINK("https://klasma.github.io/Logging_2523/fåglar/A 25922-2024 prioriterade fågelarter.docx", "A 25922-2024")</f>
        <v/>
      </c>
    </row>
    <row r="235" ht="15" customHeight="1">
      <c r="A235" t="inlineStr">
        <is>
          <t>A 11630-2025</t>
        </is>
      </c>
      <c r="B235" s="1" t="n">
        <v>45726</v>
      </c>
      <c r="C235" s="1" t="n">
        <v>45895</v>
      </c>
      <c r="D235" t="inlineStr">
        <is>
          <t>NORRBOTTENS LÄN</t>
        </is>
      </c>
      <c r="E235" t="inlineStr">
        <is>
          <t>ARVIDSJAUR</t>
        </is>
      </c>
      <c r="F235" t="inlineStr">
        <is>
          <t>Allmännings- och besparingsskogar</t>
        </is>
      </c>
      <c r="G235" t="n">
        <v>7.7</v>
      </c>
      <c r="H235" t="n">
        <v>0</v>
      </c>
      <c r="I235" t="n">
        <v>1</v>
      </c>
      <c r="J235" t="n">
        <v>2</v>
      </c>
      <c r="K235" t="n">
        <v>1</v>
      </c>
      <c r="L235" t="n">
        <v>0</v>
      </c>
      <c r="M235" t="n">
        <v>0</v>
      </c>
      <c r="N235" t="n">
        <v>0</v>
      </c>
      <c r="O235" t="n">
        <v>3</v>
      </c>
      <c r="P235" t="n">
        <v>1</v>
      </c>
      <c r="Q235" t="n">
        <v>4</v>
      </c>
      <c r="R235" s="2" t="inlineStr">
        <is>
          <t>Smalfotad taggsvamp
Blanksvart spiklav
Svart taggsvamp
Dropptaggsvamp</t>
        </is>
      </c>
      <c r="S235">
        <f>HYPERLINK("https://klasma.github.io/Logging_2505/artfynd/A 11630-2025 artfynd.xlsx", "A 11630-2025")</f>
        <v/>
      </c>
      <c r="T235">
        <f>HYPERLINK("https://klasma.github.io/Logging_2505/kartor/A 11630-2025 karta.png", "A 11630-2025")</f>
        <v/>
      </c>
      <c r="V235">
        <f>HYPERLINK("https://klasma.github.io/Logging_2505/klagomål/A 11630-2025 FSC-klagomål.docx", "A 11630-2025")</f>
        <v/>
      </c>
      <c r="W235">
        <f>HYPERLINK("https://klasma.github.io/Logging_2505/klagomålsmail/A 11630-2025 FSC-klagomål mail.docx", "A 11630-2025")</f>
        <v/>
      </c>
      <c r="X235">
        <f>HYPERLINK("https://klasma.github.io/Logging_2505/tillsyn/A 11630-2025 tillsynsbegäran.docx", "A 11630-2025")</f>
        <v/>
      </c>
      <c r="Y235">
        <f>HYPERLINK("https://klasma.github.io/Logging_2505/tillsynsmail/A 11630-2025 tillsynsbegäran mail.docx", "A 11630-2025")</f>
        <v/>
      </c>
    </row>
    <row r="236" ht="15" customHeight="1">
      <c r="A236" t="inlineStr">
        <is>
          <t>A 64290-2021</t>
        </is>
      </c>
      <c r="B236" s="1" t="n">
        <v>44510</v>
      </c>
      <c r="C236" s="1" t="n">
        <v>45895</v>
      </c>
      <c r="D236" t="inlineStr">
        <is>
          <t>NORRBOTTENS LÄN</t>
        </is>
      </c>
      <c r="E236" t="inlineStr">
        <is>
          <t>KALIX</t>
        </is>
      </c>
      <c r="F236" t="inlineStr">
        <is>
          <t>Sveaskog</t>
        </is>
      </c>
      <c r="G236" t="n">
        <v>52.9</v>
      </c>
      <c r="H236" t="n">
        <v>3</v>
      </c>
      <c r="I236" t="n">
        <v>0</v>
      </c>
      <c r="J236" t="n">
        <v>2</v>
      </c>
      <c r="K236" t="n">
        <v>0</v>
      </c>
      <c r="L236" t="n">
        <v>0</v>
      </c>
      <c r="M236" t="n">
        <v>0</v>
      </c>
      <c r="N236" t="n">
        <v>0</v>
      </c>
      <c r="O236" t="n">
        <v>2</v>
      </c>
      <c r="P236" t="n">
        <v>0</v>
      </c>
      <c r="Q236" t="n">
        <v>4</v>
      </c>
      <c r="R236" s="2" t="inlineStr">
        <is>
          <t>Blek fingersvamp
Spillkråka
Strandviva
Dactylorhiza incarnata subsp. incarnata</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36983-2025</t>
        </is>
      </c>
      <c r="B237" s="1" t="n">
        <v>45874.64776620371</v>
      </c>
      <c r="C237" s="1" t="n">
        <v>45895</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6118-2025</t>
        </is>
      </c>
      <c r="B238" s="1" t="n">
        <v>45698.34423611111</v>
      </c>
      <c r="C238" s="1" t="n">
        <v>45895</v>
      </c>
      <c r="D238" t="inlineStr">
        <is>
          <t>NORRBOTTENS LÄN</t>
        </is>
      </c>
      <c r="E238" t="inlineStr">
        <is>
          <t>BODEN</t>
        </is>
      </c>
      <c r="F238" t="inlineStr">
        <is>
          <t>SCA</t>
        </is>
      </c>
      <c r="G238" t="n">
        <v>3.7</v>
      </c>
      <c r="H238" t="n">
        <v>2</v>
      </c>
      <c r="I238" t="n">
        <v>0</v>
      </c>
      <c r="J238" t="n">
        <v>4</v>
      </c>
      <c r="K238" t="n">
        <v>0</v>
      </c>
      <c r="L238" t="n">
        <v>0</v>
      </c>
      <c r="M238" t="n">
        <v>0</v>
      </c>
      <c r="N238" t="n">
        <v>0</v>
      </c>
      <c r="O238" t="n">
        <v>4</v>
      </c>
      <c r="P238" t="n">
        <v>0</v>
      </c>
      <c r="Q238" t="n">
        <v>4</v>
      </c>
      <c r="R238" s="2" t="inlineStr">
        <is>
          <t>Garnlav
Granticka
Spillkråka
Tretåig hackspett</t>
        </is>
      </c>
      <c r="S238">
        <f>HYPERLINK("https://klasma.github.io/Logging_2582/artfynd/A 6118-2025 artfynd.xlsx", "A 6118-2025")</f>
        <v/>
      </c>
      <c r="T238">
        <f>HYPERLINK("https://klasma.github.io/Logging_2582/kartor/A 6118-2025 karta.png", "A 6118-2025")</f>
        <v/>
      </c>
      <c r="V238">
        <f>HYPERLINK("https://klasma.github.io/Logging_2582/klagomål/A 6118-2025 FSC-klagomål.docx", "A 6118-2025")</f>
        <v/>
      </c>
      <c r="W238">
        <f>HYPERLINK("https://klasma.github.io/Logging_2582/klagomålsmail/A 6118-2025 FSC-klagomål mail.docx", "A 6118-2025")</f>
        <v/>
      </c>
      <c r="X238">
        <f>HYPERLINK("https://klasma.github.io/Logging_2582/tillsyn/A 6118-2025 tillsynsbegäran.docx", "A 6118-2025")</f>
        <v/>
      </c>
      <c r="Y238">
        <f>HYPERLINK("https://klasma.github.io/Logging_2582/tillsynsmail/A 6118-2025 tillsynsbegäran mail.docx", "A 6118-2025")</f>
        <v/>
      </c>
      <c r="Z238">
        <f>HYPERLINK("https://klasma.github.io/Logging_2582/fåglar/A 6118-2025 prioriterade fågelarter.docx", "A 6118-2025")</f>
        <v/>
      </c>
    </row>
    <row r="239" ht="15" customHeight="1">
      <c r="A239" t="inlineStr">
        <is>
          <t>A 62075-2020</t>
        </is>
      </c>
      <c r="B239" s="1" t="n">
        <v>44158</v>
      </c>
      <c r="C239" s="1" t="n">
        <v>45895</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30615-2025</t>
        </is>
      </c>
      <c r="B240" s="1" t="n">
        <v>45831</v>
      </c>
      <c r="C240" s="1" t="n">
        <v>45895</v>
      </c>
      <c r="D240" t="inlineStr">
        <is>
          <t>NORRBOTTENS LÄN</t>
        </is>
      </c>
      <c r="E240" t="inlineStr">
        <is>
          <t>LULEÅ</t>
        </is>
      </c>
      <c r="G240" t="n">
        <v>31.6</v>
      </c>
      <c r="H240" t="n">
        <v>2</v>
      </c>
      <c r="I240" t="n">
        <v>2</v>
      </c>
      <c r="J240" t="n">
        <v>0</v>
      </c>
      <c r="K240" t="n">
        <v>1</v>
      </c>
      <c r="L240" t="n">
        <v>0</v>
      </c>
      <c r="M240" t="n">
        <v>0</v>
      </c>
      <c r="N240" t="n">
        <v>0</v>
      </c>
      <c r="O240" t="n">
        <v>1</v>
      </c>
      <c r="P240" t="n">
        <v>1</v>
      </c>
      <c r="Q240" t="n">
        <v>4</v>
      </c>
      <c r="R240" s="2" t="inlineStr">
        <is>
          <t>Knärot
Grönpyrola
Ögonpyrola
Nattviol</t>
        </is>
      </c>
      <c r="S240">
        <f>HYPERLINK("https://klasma.github.io/Logging_2580/artfynd/A 30615-2025 artfynd.xlsx", "A 30615-2025")</f>
        <v/>
      </c>
      <c r="T240">
        <f>HYPERLINK("https://klasma.github.io/Logging_2580/kartor/A 30615-2025 karta.png", "A 30615-2025")</f>
        <v/>
      </c>
      <c r="U240">
        <f>HYPERLINK("https://klasma.github.io/Logging_2580/knärot/A 30615-2025 karta knärot.png", "A 30615-2025")</f>
        <v/>
      </c>
      <c r="V240">
        <f>HYPERLINK("https://klasma.github.io/Logging_2580/klagomål/A 30615-2025 FSC-klagomål.docx", "A 30615-2025")</f>
        <v/>
      </c>
      <c r="W240">
        <f>HYPERLINK("https://klasma.github.io/Logging_2580/klagomålsmail/A 30615-2025 FSC-klagomål mail.docx", "A 30615-2025")</f>
        <v/>
      </c>
      <c r="X240">
        <f>HYPERLINK("https://klasma.github.io/Logging_2580/tillsyn/A 30615-2025 tillsynsbegäran.docx", "A 30615-2025")</f>
        <v/>
      </c>
      <c r="Y240">
        <f>HYPERLINK("https://klasma.github.io/Logging_2580/tillsynsmail/A 30615-2025 tillsynsbegäran mail.docx", "A 30615-2025")</f>
        <v/>
      </c>
    </row>
    <row r="241" ht="15" customHeight="1">
      <c r="A241" t="inlineStr">
        <is>
          <t>A 15152-2025</t>
        </is>
      </c>
      <c r="B241" s="1" t="n">
        <v>45744</v>
      </c>
      <c r="C241" s="1" t="n">
        <v>45895</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46019-2021</t>
        </is>
      </c>
      <c r="B242" s="1" t="n">
        <v>44441</v>
      </c>
      <c r="C242" s="1" t="n">
        <v>45895</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45895</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45895</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44419-2020</t>
        </is>
      </c>
      <c r="B245" s="1" t="n">
        <v>44084</v>
      </c>
      <c r="C245" s="1" t="n">
        <v>45895</v>
      </c>
      <c r="D245" t="inlineStr">
        <is>
          <t>NORRBOTTENS LÄN</t>
        </is>
      </c>
      <c r="E245" t="inlineStr">
        <is>
          <t>BODEN</t>
        </is>
      </c>
      <c r="F245" t="inlineStr">
        <is>
          <t>Sveaskog</t>
        </is>
      </c>
      <c r="G245" t="n">
        <v>3.1</v>
      </c>
      <c r="H245" t="n">
        <v>1</v>
      </c>
      <c r="I245" t="n">
        <v>0</v>
      </c>
      <c r="J245" t="n">
        <v>3</v>
      </c>
      <c r="K245" t="n">
        <v>0</v>
      </c>
      <c r="L245" t="n">
        <v>0</v>
      </c>
      <c r="M245" t="n">
        <v>0</v>
      </c>
      <c r="N245" t="n">
        <v>0</v>
      </c>
      <c r="O245" t="n">
        <v>3</v>
      </c>
      <c r="P245" t="n">
        <v>0</v>
      </c>
      <c r="Q245" t="n">
        <v>3</v>
      </c>
      <c r="R245" s="2" t="inlineStr">
        <is>
          <t>Garnlav
Tretåig hackspett
Vedskivlav</t>
        </is>
      </c>
      <c r="S245">
        <f>HYPERLINK("https://klasma.github.io/Logging_2582/artfynd/A 44419-2020 artfynd.xlsx", "A 44419-2020")</f>
        <v/>
      </c>
      <c r="T245">
        <f>HYPERLINK("https://klasma.github.io/Logging_2582/kartor/A 44419-2020 karta.png", "A 44419-2020")</f>
        <v/>
      </c>
      <c r="V245">
        <f>HYPERLINK("https://klasma.github.io/Logging_2582/klagomål/A 44419-2020 FSC-klagomål.docx", "A 44419-2020")</f>
        <v/>
      </c>
      <c r="W245">
        <f>HYPERLINK("https://klasma.github.io/Logging_2582/klagomålsmail/A 44419-2020 FSC-klagomål mail.docx", "A 44419-2020")</f>
        <v/>
      </c>
      <c r="X245">
        <f>HYPERLINK("https://klasma.github.io/Logging_2582/tillsyn/A 44419-2020 tillsynsbegäran.docx", "A 44419-2020")</f>
        <v/>
      </c>
      <c r="Y245">
        <f>HYPERLINK("https://klasma.github.io/Logging_2582/tillsynsmail/A 44419-2020 tillsynsbegäran mail.docx", "A 44419-2020")</f>
        <v/>
      </c>
      <c r="Z245">
        <f>HYPERLINK("https://klasma.github.io/Logging_2582/fåglar/A 44419-2020 prioriterade fågelarter.docx", "A 44419-2020")</f>
        <v/>
      </c>
    </row>
    <row r="246" ht="15" customHeight="1">
      <c r="A246" t="inlineStr">
        <is>
          <t>A 42509-2020</t>
        </is>
      </c>
      <c r="B246" s="1" t="n">
        <v>44074</v>
      </c>
      <c r="C246" s="1" t="n">
        <v>45895</v>
      </c>
      <c r="D246" t="inlineStr">
        <is>
          <t>NORRBOTTENS LÄN</t>
        </is>
      </c>
      <c r="E246" t="inlineStr">
        <is>
          <t>KIRUNA</t>
        </is>
      </c>
      <c r="F246" t="inlineStr">
        <is>
          <t>Sveaskog</t>
        </is>
      </c>
      <c r="G246" t="n">
        <v>25.3</v>
      </c>
      <c r="H246" t="n">
        <v>0</v>
      </c>
      <c r="I246" t="n">
        <v>0</v>
      </c>
      <c r="J246" t="n">
        <v>3</v>
      </c>
      <c r="K246" t="n">
        <v>0</v>
      </c>
      <c r="L246" t="n">
        <v>0</v>
      </c>
      <c r="M246" t="n">
        <v>0</v>
      </c>
      <c r="N246" t="n">
        <v>0</v>
      </c>
      <c r="O246" t="n">
        <v>3</v>
      </c>
      <c r="P246" t="n">
        <v>0</v>
      </c>
      <c r="Q246" t="n">
        <v>3</v>
      </c>
      <c r="R246" s="2" t="inlineStr">
        <is>
          <t>Granticka
Harticka
Knottrig blåslav</t>
        </is>
      </c>
      <c r="S246">
        <f>HYPERLINK("https://klasma.github.io/Logging_2584/artfynd/A 42509-2020 artfynd.xlsx", "A 42509-2020")</f>
        <v/>
      </c>
      <c r="T246">
        <f>HYPERLINK("https://klasma.github.io/Logging_2584/kartor/A 42509-2020 karta.png", "A 42509-2020")</f>
        <v/>
      </c>
      <c r="V246">
        <f>HYPERLINK("https://klasma.github.io/Logging_2584/klagomål/A 42509-2020 FSC-klagomål.docx", "A 42509-2020")</f>
        <v/>
      </c>
      <c r="W246">
        <f>HYPERLINK("https://klasma.github.io/Logging_2584/klagomålsmail/A 42509-2020 FSC-klagomål mail.docx", "A 42509-2020")</f>
        <v/>
      </c>
      <c r="X246">
        <f>HYPERLINK("https://klasma.github.io/Logging_2584/tillsyn/A 42509-2020 tillsynsbegäran.docx", "A 42509-2020")</f>
        <v/>
      </c>
      <c r="Y246">
        <f>HYPERLINK("https://klasma.github.io/Logging_2584/tillsynsmail/A 42509-2020 tillsynsbegäran mail.docx", "A 42509-2020")</f>
        <v/>
      </c>
    </row>
    <row r="247" ht="15" customHeight="1">
      <c r="A247" t="inlineStr">
        <is>
          <t>A 30324-2022</t>
        </is>
      </c>
      <c r="B247" s="1" t="n">
        <v>44760</v>
      </c>
      <c r="C247" s="1" t="n">
        <v>45895</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45895</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72477-2021</t>
        </is>
      </c>
      <c r="B249" s="1" t="n">
        <v>44545</v>
      </c>
      <c r="C249" s="1" t="n">
        <v>45895</v>
      </c>
      <c r="D249" t="inlineStr">
        <is>
          <t>NORRBOTTENS LÄN</t>
        </is>
      </c>
      <c r="E249" t="inlineStr">
        <is>
          <t>JOKKMOKK</t>
        </is>
      </c>
      <c r="G249" t="n">
        <v>18.1</v>
      </c>
      <c r="H249" t="n">
        <v>0</v>
      </c>
      <c r="I249" t="n">
        <v>0</v>
      </c>
      <c r="J249" t="n">
        <v>2</v>
      </c>
      <c r="K249" t="n">
        <v>1</v>
      </c>
      <c r="L249" t="n">
        <v>0</v>
      </c>
      <c r="M249" t="n">
        <v>0</v>
      </c>
      <c r="N249" t="n">
        <v>0</v>
      </c>
      <c r="O249" t="n">
        <v>3</v>
      </c>
      <c r="P249" t="n">
        <v>1</v>
      </c>
      <c r="Q249" t="n">
        <v>3</v>
      </c>
      <c r="R249" s="2" t="inlineStr">
        <is>
          <t>Gräddporing
Blågrå svartspik
Ladlav</t>
        </is>
      </c>
      <c r="S249">
        <f>HYPERLINK("https://klasma.github.io/Logging_2510/artfynd/A 72477-2021 artfynd.xlsx", "A 72477-2021")</f>
        <v/>
      </c>
      <c r="T249">
        <f>HYPERLINK("https://klasma.github.io/Logging_2510/kartor/A 72477-2021 karta.png", "A 72477-2021")</f>
        <v/>
      </c>
      <c r="V249">
        <f>HYPERLINK("https://klasma.github.io/Logging_2510/klagomål/A 72477-2021 FSC-klagomål.docx", "A 72477-2021")</f>
        <v/>
      </c>
      <c r="W249">
        <f>HYPERLINK("https://klasma.github.io/Logging_2510/klagomålsmail/A 72477-2021 FSC-klagomål mail.docx", "A 72477-2021")</f>
        <v/>
      </c>
      <c r="X249">
        <f>HYPERLINK("https://klasma.github.io/Logging_2510/tillsyn/A 72477-2021 tillsynsbegäran.docx", "A 72477-2021")</f>
        <v/>
      </c>
      <c r="Y249">
        <f>HYPERLINK("https://klasma.github.io/Logging_2510/tillsynsmail/A 72477-2021 tillsynsbegäran mail.docx", "A 72477-2021")</f>
        <v/>
      </c>
    </row>
    <row r="250" ht="15" customHeight="1">
      <c r="A250" t="inlineStr">
        <is>
          <t>A 1827-2025</t>
        </is>
      </c>
      <c r="B250" s="1" t="n">
        <v>45671</v>
      </c>
      <c r="C250" s="1" t="n">
        <v>45895</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17705-2023</t>
        </is>
      </c>
      <c r="B251" s="1" t="n">
        <v>45035</v>
      </c>
      <c r="C251" s="1" t="n">
        <v>45895</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20780-2025</t>
        </is>
      </c>
      <c r="B252" s="1" t="n">
        <v>45776</v>
      </c>
      <c r="C252" s="1" t="n">
        <v>45895</v>
      </c>
      <c r="D252" t="inlineStr">
        <is>
          <t>NORRBOTTENS LÄN</t>
        </is>
      </c>
      <c r="E252" t="inlineStr">
        <is>
          <t>KIRUNA</t>
        </is>
      </c>
      <c r="F252" t="inlineStr">
        <is>
          <t>Sveaskog</t>
        </is>
      </c>
      <c r="G252" t="n">
        <v>5.7</v>
      </c>
      <c r="H252" t="n">
        <v>1</v>
      </c>
      <c r="I252" t="n">
        <v>2</v>
      </c>
      <c r="J252" t="n">
        <v>1</v>
      </c>
      <c r="K252" t="n">
        <v>0</v>
      </c>
      <c r="L252" t="n">
        <v>0</v>
      </c>
      <c r="M252" t="n">
        <v>0</v>
      </c>
      <c r="N252" t="n">
        <v>0</v>
      </c>
      <c r="O252" t="n">
        <v>1</v>
      </c>
      <c r="P252" t="n">
        <v>0</v>
      </c>
      <c r="Q252" t="n">
        <v>3</v>
      </c>
      <c r="R252" s="2" t="inlineStr">
        <is>
          <t>Garnlav
Lappranunkel
Stuplav</t>
        </is>
      </c>
      <c r="S252">
        <f>HYPERLINK("https://klasma.github.io/Logging_2584/artfynd/A 20780-2025 artfynd.xlsx", "A 20780-2025")</f>
        <v/>
      </c>
      <c r="T252">
        <f>HYPERLINK("https://klasma.github.io/Logging_2584/kartor/A 20780-2025 karta.png", "A 20780-2025")</f>
        <v/>
      </c>
      <c r="V252">
        <f>HYPERLINK("https://klasma.github.io/Logging_2584/klagomål/A 20780-2025 FSC-klagomål.docx", "A 20780-2025")</f>
        <v/>
      </c>
      <c r="W252">
        <f>HYPERLINK("https://klasma.github.io/Logging_2584/klagomålsmail/A 20780-2025 FSC-klagomål mail.docx", "A 20780-2025")</f>
        <v/>
      </c>
      <c r="X252">
        <f>HYPERLINK("https://klasma.github.io/Logging_2584/tillsyn/A 20780-2025 tillsynsbegäran.docx", "A 20780-2025")</f>
        <v/>
      </c>
      <c r="Y252">
        <f>HYPERLINK("https://klasma.github.io/Logging_2584/tillsynsmail/A 20780-2025 tillsynsbegäran mail.docx", "A 20780-2025")</f>
        <v/>
      </c>
    </row>
    <row r="253" ht="15" customHeight="1">
      <c r="A253" t="inlineStr">
        <is>
          <t>A 59358-2022</t>
        </is>
      </c>
      <c r="B253" s="1" t="n">
        <v>44904</v>
      </c>
      <c r="C253" s="1" t="n">
        <v>45895</v>
      </c>
      <c r="D253" t="inlineStr">
        <is>
          <t>NORRBOTTENS LÄN</t>
        </is>
      </c>
      <c r="E253" t="inlineStr">
        <is>
          <t>BODEN</t>
        </is>
      </c>
      <c r="G253" t="n">
        <v>1.5</v>
      </c>
      <c r="H253" t="n">
        <v>2</v>
      </c>
      <c r="I253" t="n">
        <v>1</v>
      </c>
      <c r="J253" t="n">
        <v>1</v>
      </c>
      <c r="K253" t="n">
        <v>1</v>
      </c>
      <c r="L253" t="n">
        <v>0</v>
      </c>
      <c r="M253" t="n">
        <v>0</v>
      </c>
      <c r="N253" t="n">
        <v>0</v>
      </c>
      <c r="O253" t="n">
        <v>2</v>
      </c>
      <c r="P253" t="n">
        <v>1</v>
      </c>
      <c r="Q253" t="n">
        <v>3</v>
      </c>
      <c r="R253" s="2" t="inlineStr">
        <is>
          <t>Stare
Rosenfink
Rävticka</t>
        </is>
      </c>
      <c r="S253">
        <f>HYPERLINK("https://klasma.github.io/Logging_2582/artfynd/A 59358-2022 artfynd.xlsx", "A 59358-2022")</f>
        <v/>
      </c>
      <c r="T253">
        <f>HYPERLINK("https://klasma.github.io/Logging_2582/kartor/A 59358-2022 karta.png", "A 59358-2022")</f>
        <v/>
      </c>
      <c r="V253">
        <f>HYPERLINK("https://klasma.github.io/Logging_2582/klagomål/A 59358-2022 FSC-klagomål.docx", "A 59358-2022")</f>
        <v/>
      </c>
      <c r="W253">
        <f>HYPERLINK("https://klasma.github.io/Logging_2582/klagomålsmail/A 59358-2022 FSC-klagomål mail.docx", "A 59358-2022")</f>
        <v/>
      </c>
      <c r="X253">
        <f>HYPERLINK("https://klasma.github.io/Logging_2582/tillsyn/A 59358-2022 tillsynsbegäran.docx", "A 59358-2022")</f>
        <v/>
      </c>
      <c r="Y253">
        <f>HYPERLINK("https://klasma.github.io/Logging_2582/tillsynsmail/A 59358-2022 tillsynsbegäran mail.docx", "A 59358-2022")</f>
        <v/>
      </c>
      <c r="Z253">
        <f>HYPERLINK("https://klasma.github.io/Logging_2582/fåglar/A 59358-2022 prioriterade fågelarter.docx", "A 59358-2022")</f>
        <v/>
      </c>
    </row>
    <row r="254" ht="15" customHeight="1">
      <c r="A254" t="inlineStr">
        <is>
          <t>A 19133-2023</t>
        </is>
      </c>
      <c r="B254" s="1" t="n">
        <v>45044</v>
      </c>
      <c r="C254" s="1" t="n">
        <v>45895</v>
      </c>
      <c r="D254" t="inlineStr">
        <is>
          <t>NORRBOTTENS LÄN</t>
        </is>
      </c>
      <c r="E254" t="inlineStr">
        <is>
          <t>ÖVERTORNEÅ</t>
        </is>
      </c>
      <c r="G254" t="n">
        <v>11.4</v>
      </c>
      <c r="H254" t="n">
        <v>2</v>
      </c>
      <c r="I254" t="n">
        <v>0</v>
      </c>
      <c r="J254" t="n">
        <v>3</v>
      </c>
      <c r="K254" t="n">
        <v>0</v>
      </c>
      <c r="L254" t="n">
        <v>0</v>
      </c>
      <c r="M254" t="n">
        <v>0</v>
      </c>
      <c r="N254" t="n">
        <v>0</v>
      </c>
      <c r="O254" t="n">
        <v>3</v>
      </c>
      <c r="P254" t="n">
        <v>0</v>
      </c>
      <c r="Q254" t="n">
        <v>3</v>
      </c>
      <c r="R254" s="2" t="inlineStr">
        <is>
          <t>Garnlav
Järpe
Spillkråka</t>
        </is>
      </c>
      <c r="S254">
        <f>HYPERLINK("https://klasma.github.io/Logging_2518/artfynd/A 19133-2023 artfynd.xlsx", "A 19133-2023")</f>
        <v/>
      </c>
      <c r="T254">
        <f>HYPERLINK("https://klasma.github.io/Logging_2518/kartor/A 19133-2023 karta.png", "A 19133-2023")</f>
        <v/>
      </c>
      <c r="V254">
        <f>HYPERLINK("https://klasma.github.io/Logging_2518/klagomål/A 19133-2023 FSC-klagomål.docx", "A 19133-2023")</f>
        <v/>
      </c>
      <c r="W254">
        <f>HYPERLINK("https://klasma.github.io/Logging_2518/klagomålsmail/A 19133-2023 FSC-klagomål mail.docx", "A 19133-2023")</f>
        <v/>
      </c>
      <c r="X254">
        <f>HYPERLINK("https://klasma.github.io/Logging_2518/tillsyn/A 19133-2023 tillsynsbegäran.docx", "A 19133-2023")</f>
        <v/>
      </c>
      <c r="Y254">
        <f>HYPERLINK("https://klasma.github.io/Logging_2518/tillsynsmail/A 19133-2023 tillsynsbegäran mail.docx", "A 19133-2023")</f>
        <v/>
      </c>
      <c r="Z254">
        <f>HYPERLINK("https://klasma.github.io/Logging_2518/fåglar/A 19133-2023 prioriterade fågelarter.docx", "A 19133-2023")</f>
        <v/>
      </c>
    </row>
    <row r="255" ht="15" customHeight="1">
      <c r="A255" t="inlineStr">
        <is>
          <t>A 26143-2024</t>
        </is>
      </c>
      <c r="B255" s="1" t="n">
        <v>45467</v>
      </c>
      <c r="C255" s="1" t="n">
        <v>45895</v>
      </c>
      <c r="D255" t="inlineStr">
        <is>
          <t>NORRBOTTENS LÄN</t>
        </is>
      </c>
      <c r="E255" t="inlineStr">
        <is>
          <t>ARJEPLOG</t>
        </is>
      </c>
      <c r="G255" t="n">
        <v>8.1</v>
      </c>
      <c r="H255" t="n">
        <v>0</v>
      </c>
      <c r="I255" t="n">
        <v>1</v>
      </c>
      <c r="J255" t="n">
        <v>2</v>
      </c>
      <c r="K255" t="n">
        <v>0</v>
      </c>
      <c r="L255" t="n">
        <v>0</v>
      </c>
      <c r="M255" t="n">
        <v>0</v>
      </c>
      <c r="N255" t="n">
        <v>0</v>
      </c>
      <c r="O255" t="n">
        <v>2</v>
      </c>
      <c r="P255" t="n">
        <v>0</v>
      </c>
      <c r="Q255" t="n">
        <v>3</v>
      </c>
      <c r="R255" s="2" t="inlineStr">
        <is>
          <t>Blanksvart spiklav
Knottrig blåslav
Vedticka</t>
        </is>
      </c>
      <c r="S255">
        <f>HYPERLINK("https://klasma.github.io/Logging_2506/artfynd/A 26143-2024 artfynd.xlsx", "A 26143-2024")</f>
        <v/>
      </c>
      <c r="T255">
        <f>HYPERLINK("https://klasma.github.io/Logging_2506/kartor/A 26143-2024 karta.png", "A 26143-2024")</f>
        <v/>
      </c>
      <c r="V255">
        <f>HYPERLINK("https://klasma.github.io/Logging_2506/klagomål/A 26143-2024 FSC-klagomål.docx", "A 26143-2024")</f>
        <v/>
      </c>
      <c r="W255">
        <f>HYPERLINK("https://klasma.github.io/Logging_2506/klagomålsmail/A 26143-2024 FSC-klagomål mail.docx", "A 26143-2024")</f>
        <v/>
      </c>
      <c r="X255">
        <f>HYPERLINK("https://klasma.github.io/Logging_2506/tillsyn/A 26143-2024 tillsynsbegäran.docx", "A 26143-2024")</f>
        <v/>
      </c>
      <c r="Y255">
        <f>HYPERLINK("https://klasma.github.io/Logging_2506/tillsynsmail/A 26143-2024 tillsynsbegäran mail.docx", "A 26143-2024")</f>
        <v/>
      </c>
    </row>
    <row r="256" ht="15" customHeight="1">
      <c r="A256" t="inlineStr">
        <is>
          <t>A 32913-2023</t>
        </is>
      </c>
      <c r="B256" s="1" t="n">
        <v>45124</v>
      </c>
      <c r="C256" s="1" t="n">
        <v>45895</v>
      </c>
      <c r="D256" t="inlineStr">
        <is>
          <t>NORRBOTTENS LÄN</t>
        </is>
      </c>
      <c r="E256" t="inlineStr">
        <is>
          <t>JOKKMOKK</t>
        </is>
      </c>
      <c r="F256" t="inlineStr">
        <is>
          <t>SCA</t>
        </is>
      </c>
      <c r="G256" t="n">
        <v>3.2</v>
      </c>
      <c r="H256" t="n">
        <v>0</v>
      </c>
      <c r="I256" t="n">
        <v>1</v>
      </c>
      <c r="J256" t="n">
        <v>2</v>
      </c>
      <c r="K256" t="n">
        <v>0</v>
      </c>
      <c r="L256" t="n">
        <v>0</v>
      </c>
      <c r="M256" t="n">
        <v>0</v>
      </c>
      <c r="N256" t="n">
        <v>0</v>
      </c>
      <c r="O256" t="n">
        <v>2</v>
      </c>
      <c r="P256" t="n">
        <v>0</v>
      </c>
      <c r="Q256" t="n">
        <v>3</v>
      </c>
      <c r="R256" s="2" t="inlineStr">
        <is>
          <t>Blå taggsvamp
Orange taggsvamp
Dropptaggsvamp</t>
        </is>
      </c>
      <c r="S256">
        <f>HYPERLINK("https://klasma.github.io/Logging_2510/artfynd/A 32913-2023 artfynd.xlsx", "A 32913-2023")</f>
        <v/>
      </c>
      <c r="T256">
        <f>HYPERLINK("https://klasma.github.io/Logging_2510/kartor/A 32913-2023 karta.png", "A 32913-2023")</f>
        <v/>
      </c>
      <c r="V256">
        <f>HYPERLINK("https://klasma.github.io/Logging_2510/klagomål/A 32913-2023 FSC-klagomål.docx", "A 32913-2023")</f>
        <v/>
      </c>
      <c r="W256">
        <f>HYPERLINK("https://klasma.github.io/Logging_2510/klagomålsmail/A 32913-2023 FSC-klagomål mail.docx", "A 32913-2023")</f>
        <v/>
      </c>
      <c r="X256">
        <f>HYPERLINK("https://klasma.github.io/Logging_2510/tillsyn/A 32913-2023 tillsynsbegäran.docx", "A 32913-2023")</f>
        <v/>
      </c>
      <c r="Y256">
        <f>HYPERLINK("https://klasma.github.io/Logging_2510/tillsynsmail/A 32913-2023 tillsynsbegäran mail.docx", "A 32913-2023")</f>
        <v/>
      </c>
    </row>
    <row r="257" ht="15" customHeight="1">
      <c r="A257" t="inlineStr">
        <is>
          <t>A 44523-2024</t>
        </is>
      </c>
      <c r="B257" s="1" t="n">
        <v>45574.4407175926</v>
      </c>
      <c r="C257" s="1" t="n">
        <v>45895</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45316-2024</t>
        </is>
      </c>
      <c r="B258" s="1" t="n">
        <v>45576</v>
      </c>
      <c r="C258" s="1" t="n">
        <v>45895</v>
      </c>
      <c r="D258" t="inlineStr">
        <is>
          <t>NORRBOTTENS LÄN</t>
        </is>
      </c>
      <c r="E258" t="inlineStr">
        <is>
          <t>ÄLVSBYN</t>
        </is>
      </c>
      <c r="F258" t="inlineStr">
        <is>
          <t>Sveaskog</t>
        </is>
      </c>
      <c r="G258" t="n">
        <v>12.2</v>
      </c>
      <c r="H258" t="n">
        <v>0</v>
      </c>
      <c r="I258" t="n">
        <v>2</v>
      </c>
      <c r="J258" t="n">
        <v>1</v>
      </c>
      <c r="K258" t="n">
        <v>0</v>
      </c>
      <c r="L258" t="n">
        <v>0</v>
      </c>
      <c r="M258" t="n">
        <v>0</v>
      </c>
      <c r="N258" t="n">
        <v>0</v>
      </c>
      <c r="O258" t="n">
        <v>1</v>
      </c>
      <c r="P258" t="n">
        <v>0</v>
      </c>
      <c r="Q258" t="n">
        <v>3</v>
      </c>
      <c r="R258" s="2" t="inlineStr">
        <is>
          <t>Lunglav
Dropptaggsvamp
Stuplav</t>
        </is>
      </c>
      <c r="S258">
        <f>HYPERLINK("https://klasma.github.io/Logging_2560/artfynd/A 45316-2024 artfynd.xlsx", "A 45316-2024")</f>
        <v/>
      </c>
      <c r="T258">
        <f>HYPERLINK("https://klasma.github.io/Logging_2560/kartor/A 45316-2024 karta.png", "A 45316-2024")</f>
        <v/>
      </c>
      <c r="V258">
        <f>HYPERLINK("https://klasma.github.io/Logging_2560/klagomål/A 45316-2024 FSC-klagomål.docx", "A 45316-2024")</f>
        <v/>
      </c>
      <c r="W258">
        <f>HYPERLINK("https://klasma.github.io/Logging_2560/klagomålsmail/A 45316-2024 FSC-klagomål mail.docx", "A 45316-2024")</f>
        <v/>
      </c>
      <c r="X258">
        <f>HYPERLINK("https://klasma.github.io/Logging_2560/tillsyn/A 45316-2024 tillsynsbegäran.docx", "A 45316-2024")</f>
        <v/>
      </c>
      <c r="Y258">
        <f>HYPERLINK("https://klasma.github.io/Logging_2560/tillsynsmail/A 45316-2024 tillsynsbegäran mail.docx", "A 45316-2024")</f>
        <v/>
      </c>
    </row>
    <row r="259" ht="15" customHeight="1">
      <c r="A259" t="inlineStr">
        <is>
          <t>A 22747-2025</t>
        </is>
      </c>
      <c r="B259" s="1" t="n">
        <v>45789.60505787037</v>
      </c>
      <c r="C259" s="1" t="n">
        <v>45895</v>
      </c>
      <c r="D259" t="inlineStr">
        <is>
          <t>NORRBOTTENS LÄN</t>
        </is>
      </c>
      <c r="E259" t="inlineStr">
        <is>
          <t>JOKKMOKK</t>
        </is>
      </c>
      <c r="F259" t="inlineStr">
        <is>
          <t>Sveaskog</t>
        </is>
      </c>
      <c r="G259" t="n">
        <v>2.3</v>
      </c>
      <c r="H259" t="n">
        <v>0</v>
      </c>
      <c r="I259" t="n">
        <v>0</v>
      </c>
      <c r="J259" t="n">
        <v>1</v>
      </c>
      <c r="K259" t="n">
        <v>2</v>
      </c>
      <c r="L259" t="n">
        <v>0</v>
      </c>
      <c r="M259" t="n">
        <v>0</v>
      </c>
      <c r="N259" t="n">
        <v>0</v>
      </c>
      <c r="O259" t="n">
        <v>3</v>
      </c>
      <c r="P259" t="n">
        <v>2</v>
      </c>
      <c r="Q259" t="n">
        <v>3</v>
      </c>
      <c r="R259" s="2" t="inlineStr">
        <is>
          <t>Smalfotad taggsvamp
Tajgataggsvamp
Orange taggsvamp</t>
        </is>
      </c>
      <c r="S259">
        <f>HYPERLINK("https://klasma.github.io/Logging_2510/artfynd/A 22747-2025 artfynd.xlsx", "A 22747-2025")</f>
        <v/>
      </c>
      <c r="T259">
        <f>HYPERLINK("https://klasma.github.io/Logging_2510/kartor/A 22747-2025 karta.png", "A 22747-2025")</f>
        <v/>
      </c>
      <c r="V259">
        <f>HYPERLINK("https://klasma.github.io/Logging_2510/klagomål/A 22747-2025 FSC-klagomål.docx", "A 22747-2025")</f>
        <v/>
      </c>
      <c r="W259">
        <f>HYPERLINK("https://klasma.github.io/Logging_2510/klagomålsmail/A 22747-2025 FSC-klagomål mail.docx", "A 22747-2025")</f>
        <v/>
      </c>
      <c r="X259">
        <f>HYPERLINK("https://klasma.github.io/Logging_2510/tillsyn/A 22747-2025 tillsynsbegäran.docx", "A 22747-2025")</f>
        <v/>
      </c>
      <c r="Y259">
        <f>HYPERLINK("https://klasma.github.io/Logging_2510/tillsynsmail/A 22747-2025 tillsynsbegäran mail.docx", "A 22747-2025")</f>
        <v/>
      </c>
    </row>
    <row r="260" ht="15" customHeight="1">
      <c r="A260" t="inlineStr">
        <is>
          <t>A 7505-2025</t>
        </is>
      </c>
      <c r="B260" s="1" t="n">
        <v>45705</v>
      </c>
      <c r="C260" s="1" t="n">
        <v>45895</v>
      </c>
      <c r="D260" t="inlineStr">
        <is>
          <t>NORRBOTTENS LÄN</t>
        </is>
      </c>
      <c r="E260" t="inlineStr">
        <is>
          <t>ÖVERTORNEÅ</t>
        </is>
      </c>
      <c r="G260" t="n">
        <v>8.6</v>
      </c>
      <c r="H260" t="n">
        <v>0</v>
      </c>
      <c r="I260" t="n">
        <v>1</v>
      </c>
      <c r="J260" t="n">
        <v>2</v>
      </c>
      <c r="K260" t="n">
        <v>0</v>
      </c>
      <c r="L260" t="n">
        <v>0</v>
      </c>
      <c r="M260" t="n">
        <v>0</v>
      </c>
      <c r="N260" t="n">
        <v>0</v>
      </c>
      <c r="O260" t="n">
        <v>2</v>
      </c>
      <c r="P260" t="n">
        <v>0</v>
      </c>
      <c r="Q260" t="n">
        <v>3</v>
      </c>
      <c r="R260" s="2" t="inlineStr">
        <is>
          <t>Finnmyrten
Älvstarr
Ögonpyrola</t>
        </is>
      </c>
      <c r="S260">
        <f>HYPERLINK("https://klasma.github.io/Logging_2518/artfynd/A 7505-2025 artfynd.xlsx", "A 7505-2025")</f>
        <v/>
      </c>
      <c r="T260">
        <f>HYPERLINK("https://klasma.github.io/Logging_2518/kartor/A 7505-2025 karta.png", "A 7505-2025")</f>
        <v/>
      </c>
      <c r="V260">
        <f>HYPERLINK("https://klasma.github.io/Logging_2518/klagomål/A 7505-2025 FSC-klagomål.docx", "A 7505-2025")</f>
        <v/>
      </c>
      <c r="W260">
        <f>HYPERLINK("https://klasma.github.io/Logging_2518/klagomålsmail/A 7505-2025 FSC-klagomål mail.docx", "A 7505-2025")</f>
        <v/>
      </c>
      <c r="X260">
        <f>HYPERLINK("https://klasma.github.io/Logging_2518/tillsyn/A 7505-2025 tillsynsbegäran.docx", "A 7505-2025")</f>
        <v/>
      </c>
      <c r="Y260">
        <f>HYPERLINK("https://klasma.github.io/Logging_2518/tillsynsmail/A 7505-2025 tillsynsbegäran mail.docx", "A 7505-2025")</f>
        <v/>
      </c>
    </row>
    <row r="261" ht="15" customHeight="1">
      <c r="A261" t="inlineStr">
        <is>
          <t>A 73971-2021</t>
        </is>
      </c>
      <c r="B261" s="1" t="n">
        <v>44553</v>
      </c>
      <c r="C261" s="1" t="n">
        <v>45895</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29762-2024</t>
        </is>
      </c>
      <c r="B262" s="1" t="n">
        <v>45485</v>
      </c>
      <c r="C262" s="1" t="n">
        <v>45895</v>
      </c>
      <c r="D262" t="inlineStr">
        <is>
          <t>NORRBOTTENS LÄN</t>
        </is>
      </c>
      <c r="E262" t="inlineStr">
        <is>
          <t>GÄLLIVARE</t>
        </is>
      </c>
      <c r="F262" t="inlineStr">
        <is>
          <t>Sveaskog</t>
        </is>
      </c>
      <c r="G262" t="n">
        <v>27</v>
      </c>
      <c r="H262" t="n">
        <v>0</v>
      </c>
      <c r="I262" t="n">
        <v>1</v>
      </c>
      <c r="J262" t="n">
        <v>2</v>
      </c>
      <c r="K262" t="n">
        <v>0</v>
      </c>
      <c r="L262" t="n">
        <v>0</v>
      </c>
      <c r="M262" t="n">
        <v>0</v>
      </c>
      <c r="N262" t="n">
        <v>0</v>
      </c>
      <c r="O262" t="n">
        <v>2</v>
      </c>
      <c r="P262" t="n">
        <v>0</v>
      </c>
      <c r="Q262" t="n">
        <v>3</v>
      </c>
      <c r="R262" s="2" t="inlineStr">
        <is>
          <t>Blå taggsvamp
Svart taggsvamp
Skarp dropptaggsvamp</t>
        </is>
      </c>
      <c r="S262">
        <f>HYPERLINK("https://klasma.github.io/Logging_2523/artfynd/A 29762-2024 artfynd.xlsx", "A 29762-2024")</f>
        <v/>
      </c>
      <c r="T262">
        <f>HYPERLINK("https://klasma.github.io/Logging_2523/kartor/A 29762-2024 karta.png", "A 29762-2024")</f>
        <v/>
      </c>
      <c r="V262">
        <f>HYPERLINK("https://klasma.github.io/Logging_2523/klagomål/A 29762-2024 FSC-klagomål.docx", "A 29762-2024")</f>
        <v/>
      </c>
      <c r="W262">
        <f>HYPERLINK("https://klasma.github.io/Logging_2523/klagomålsmail/A 29762-2024 FSC-klagomål mail.docx", "A 29762-2024")</f>
        <v/>
      </c>
      <c r="X262">
        <f>HYPERLINK("https://klasma.github.io/Logging_2523/tillsyn/A 29762-2024 tillsynsbegäran.docx", "A 29762-2024")</f>
        <v/>
      </c>
      <c r="Y262">
        <f>HYPERLINK("https://klasma.github.io/Logging_2523/tillsynsmail/A 29762-2024 tillsynsbegäran mail.docx", "A 29762-2024")</f>
        <v/>
      </c>
    </row>
    <row r="263" ht="15" customHeight="1">
      <c r="A263" t="inlineStr">
        <is>
          <t>A 7959-2022</t>
        </is>
      </c>
      <c r="B263" s="1" t="n">
        <v>44608.93849537037</v>
      </c>
      <c r="C263" s="1" t="n">
        <v>45895</v>
      </c>
      <c r="D263" t="inlineStr">
        <is>
          <t>NORRBOTTENS LÄN</t>
        </is>
      </c>
      <c r="E263" t="inlineStr">
        <is>
          <t>PAJALA</t>
        </is>
      </c>
      <c r="F263" t="inlineStr">
        <is>
          <t>SCA</t>
        </is>
      </c>
      <c r="G263" t="n">
        <v>3</v>
      </c>
      <c r="H263" t="n">
        <v>0</v>
      </c>
      <c r="I263" t="n">
        <v>0</v>
      </c>
      <c r="J263" t="n">
        <v>3</v>
      </c>
      <c r="K263" t="n">
        <v>0</v>
      </c>
      <c r="L263" t="n">
        <v>0</v>
      </c>
      <c r="M263" t="n">
        <v>0</v>
      </c>
      <c r="N263" t="n">
        <v>0</v>
      </c>
      <c r="O263" t="n">
        <v>3</v>
      </c>
      <c r="P263" t="n">
        <v>0</v>
      </c>
      <c r="Q263" t="n">
        <v>3</v>
      </c>
      <c r="R263" s="2" t="inlineStr">
        <is>
          <t>Knottrig blåslav
Svartvit taggsvamp
Talltaggsvamp</t>
        </is>
      </c>
      <c r="S263">
        <f>HYPERLINK("https://klasma.github.io/Logging_2521/artfynd/A 7959-2022 artfynd.xlsx", "A 7959-2022")</f>
        <v/>
      </c>
      <c r="T263">
        <f>HYPERLINK("https://klasma.github.io/Logging_2521/kartor/A 7959-2022 karta.png", "A 7959-2022")</f>
        <v/>
      </c>
      <c r="V263">
        <f>HYPERLINK("https://klasma.github.io/Logging_2521/klagomål/A 7959-2022 FSC-klagomål.docx", "A 7959-2022")</f>
        <v/>
      </c>
      <c r="W263">
        <f>HYPERLINK("https://klasma.github.io/Logging_2521/klagomålsmail/A 7959-2022 FSC-klagomål mail.docx", "A 7959-2022")</f>
        <v/>
      </c>
      <c r="X263">
        <f>HYPERLINK("https://klasma.github.io/Logging_2521/tillsyn/A 7959-2022 tillsynsbegäran.docx", "A 7959-2022")</f>
        <v/>
      </c>
      <c r="Y263">
        <f>HYPERLINK("https://klasma.github.io/Logging_2521/tillsynsmail/A 7959-2022 tillsynsbegäran mail.docx", "A 7959-2022")</f>
        <v/>
      </c>
    </row>
    <row r="264" ht="15" customHeight="1">
      <c r="A264" t="inlineStr">
        <is>
          <t>A 24737-2025</t>
        </is>
      </c>
      <c r="B264" s="1" t="n">
        <v>45799.34494212963</v>
      </c>
      <c r="C264" s="1" t="n">
        <v>45895</v>
      </c>
      <c r="D264" t="inlineStr">
        <is>
          <t>NORRBOTTENS LÄN</t>
        </is>
      </c>
      <c r="E264" t="inlineStr">
        <is>
          <t>JOKKMOKK</t>
        </is>
      </c>
      <c r="F264" t="inlineStr">
        <is>
          <t>SCA</t>
        </is>
      </c>
      <c r="G264" t="n">
        <v>12.3</v>
      </c>
      <c r="H264" t="n">
        <v>2</v>
      </c>
      <c r="I264" t="n">
        <v>0</v>
      </c>
      <c r="J264" t="n">
        <v>1</v>
      </c>
      <c r="K264" t="n">
        <v>0</v>
      </c>
      <c r="L264" t="n">
        <v>0</v>
      </c>
      <c r="M264" t="n">
        <v>0</v>
      </c>
      <c r="N264" t="n">
        <v>0</v>
      </c>
      <c r="O264" t="n">
        <v>1</v>
      </c>
      <c r="P264" t="n">
        <v>0</v>
      </c>
      <c r="Q264" t="n">
        <v>3</v>
      </c>
      <c r="R264" s="2" t="inlineStr">
        <is>
          <t>Tallticka
Vanlig groda
Vanlig padda</t>
        </is>
      </c>
      <c r="S264">
        <f>HYPERLINK("https://klasma.github.io/Logging_2510/artfynd/A 24737-2025 artfynd.xlsx", "A 24737-2025")</f>
        <v/>
      </c>
      <c r="T264">
        <f>HYPERLINK("https://klasma.github.io/Logging_2510/kartor/A 24737-2025 karta.png", "A 24737-2025")</f>
        <v/>
      </c>
      <c r="V264">
        <f>HYPERLINK("https://klasma.github.io/Logging_2510/klagomål/A 24737-2025 FSC-klagomål.docx", "A 24737-2025")</f>
        <v/>
      </c>
      <c r="W264">
        <f>HYPERLINK("https://klasma.github.io/Logging_2510/klagomålsmail/A 24737-2025 FSC-klagomål mail.docx", "A 24737-2025")</f>
        <v/>
      </c>
      <c r="X264">
        <f>HYPERLINK("https://klasma.github.io/Logging_2510/tillsyn/A 24737-2025 tillsynsbegäran.docx", "A 24737-2025")</f>
        <v/>
      </c>
      <c r="Y264">
        <f>HYPERLINK("https://klasma.github.io/Logging_2510/tillsynsmail/A 24737-2025 tillsynsbegäran mail.docx", "A 24737-2025")</f>
        <v/>
      </c>
    </row>
    <row r="265" ht="15" customHeight="1">
      <c r="A265" t="inlineStr">
        <is>
          <t>A 44733-2024</t>
        </is>
      </c>
      <c r="B265" s="1" t="n">
        <v>45574</v>
      </c>
      <c r="C265" s="1" t="n">
        <v>45895</v>
      </c>
      <c r="D265" t="inlineStr">
        <is>
          <t>NORRBOTTENS LÄN</t>
        </is>
      </c>
      <c r="E265" t="inlineStr">
        <is>
          <t>ÄLVSBYN</t>
        </is>
      </c>
      <c r="F265" t="inlineStr">
        <is>
          <t>Sveaskog</t>
        </is>
      </c>
      <c r="G265" t="n">
        <v>2.9</v>
      </c>
      <c r="H265" t="n">
        <v>1</v>
      </c>
      <c r="I265" t="n">
        <v>1</v>
      </c>
      <c r="J265" t="n">
        <v>1</v>
      </c>
      <c r="K265" t="n">
        <v>1</v>
      </c>
      <c r="L265" t="n">
        <v>0</v>
      </c>
      <c r="M265" t="n">
        <v>0</v>
      </c>
      <c r="N265" t="n">
        <v>0</v>
      </c>
      <c r="O265" t="n">
        <v>2</v>
      </c>
      <c r="P265" t="n">
        <v>1</v>
      </c>
      <c r="Q265" t="n">
        <v>3</v>
      </c>
      <c r="R265" s="2" t="inlineStr">
        <is>
          <t>Doftticka
Rosenticka
Dropptaggsvamp</t>
        </is>
      </c>
      <c r="S265">
        <f>HYPERLINK("https://klasma.github.io/Logging_2560/artfynd/A 44733-2024 artfynd.xlsx", "A 44733-2024")</f>
        <v/>
      </c>
      <c r="T265">
        <f>HYPERLINK("https://klasma.github.io/Logging_2560/kartor/A 44733-2024 karta.png", "A 44733-2024")</f>
        <v/>
      </c>
      <c r="V265">
        <f>HYPERLINK("https://klasma.github.io/Logging_2560/klagomål/A 44733-2024 FSC-klagomål.docx", "A 44733-2024")</f>
        <v/>
      </c>
      <c r="W265">
        <f>HYPERLINK("https://klasma.github.io/Logging_2560/klagomålsmail/A 44733-2024 FSC-klagomål mail.docx", "A 44733-2024")</f>
        <v/>
      </c>
      <c r="X265">
        <f>HYPERLINK("https://klasma.github.io/Logging_2560/tillsyn/A 44733-2024 tillsynsbegäran.docx", "A 44733-2024")</f>
        <v/>
      </c>
      <c r="Y265">
        <f>HYPERLINK("https://klasma.github.io/Logging_2560/tillsynsmail/A 44733-2024 tillsynsbegäran mail.docx", "A 44733-2024")</f>
        <v/>
      </c>
    </row>
    <row r="266" ht="15" customHeight="1">
      <c r="A266" t="inlineStr">
        <is>
          <t>A 33139-2023</t>
        </is>
      </c>
      <c r="B266" s="1" t="n">
        <v>45114</v>
      </c>
      <c r="C266" s="1" t="n">
        <v>45895</v>
      </c>
      <c r="D266" t="inlineStr">
        <is>
          <t>NORRBOTTENS LÄN</t>
        </is>
      </c>
      <c r="E266" t="inlineStr">
        <is>
          <t>JOKKMOKK</t>
        </is>
      </c>
      <c r="F266" t="inlineStr">
        <is>
          <t>Övriga statliga verk och myndigheter</t>
        </is>
      </c>
      <c r="G266" t="n">
        <v>8.6</v>
      </c>
      <c r="H266" t="n">
        <v>0</v>
      </c>
      <c r="I266" t="n">
        <v>1</v>
      </c>
      <c r="J266" t="n">
        <v>2</v>
      </c>
      <c r="K266" t="n">
        <v>0</v>
      </c>
      <c r="L266" t="n">
        <v>0</v>
      </c>
      <c r="M266" t="n">
        <v>0</v>
      </c>
      <c r="N266" t="n">
        <v>0</v>
      </c>
      <c r="O266" t="n">
        <v>2</v>
      </c>
      <c r="P266" t="n">
        <v>0</v>
      </c>
      <c r="Q266" t="n">
        <v>3</v>
      </c>
      <c r="R266" s="2" t="inlineStr">
        <is>
          <t>Skrovellav
Tallriska
Stuplav</t>
        </is>
      </c>
      <c r="S266">
        <f>HYPERLINK("https://klasma.github.io/Logging_2510/artfynd/A 33139-2023 artfynd.xlsx", "A 33139-2023")</f>
        <v/>
      </c>
      <c r="T266">
        <f>HYPERLINK("https://klasma.github.io/Logging_2510/kartor/A 33139-2023 karta.png", "A 33139-2023")</f>
        <v/>
      </c>
      <c r="V266">
        <f>HYPERLINK("https://klasma.github.io/Logging_2510/klagomål/A 33139-2023 FSC-klagomål.docx", "A 33139-2023")</f>
        <v/>
      </c>
      <c r="W266">
        <f>HYPERLINK("https://klasma.github.io/Logging_2510/klagomålsmail/A 33139-2023 FSC-klagomål mail.docx", "A 33139-2023")</f>
        <v/>
      </c>
      <c r="X266">
        <f>HYPERLINK("https://klasma.github.io/Logging_2510/tillsyn/A 33139-2023 tillsynsbegäran.docx", "A 33139-2023")</f>
        <v/>
      </c>
      <c r="Y266">
        <f>HYPERLINK("https://klasma.github.io/Logging_2510/tillsynsmail/A 33139-2023 tillsynsbegäran mail.docx", "A 33139-2023")</f>
        <v/>
      </c>
    </row>
    <row r="267" ht="15" customHeight="1">
      <c r="A267" t="inlineStr">
        <is>
          <t>A 19324-2024</t>
        </is>
      </c>
      <c r="B267" s="1" t="n">
        <v>45428</v>
      </c>
      <c r="C267" s="1" t="n">
        <v>45895</v>
      </c>
      <c r="D267" t="inlineStr">
        <is>
          <t>NORRBOTTENS LÄN</t>
        </is>
      </c>
      <c r="E267" t="inlineStr">
        <is>
          <t>BODEN</t>
        </is>
      </c>
      <c r="G267" t="n">
        <v>3.8</v>
      </c>
      <c r="H267" t="n">
        <v>2</v>
      </c>
      <c r="I267" t="n">
        <v>1</v>
      </c>
      <c r="J267" t="n">
        <v>0</v>
      </c>
      <c r="K267" t="n">
        <v>2</v>
      </c>
      <c r="L267" t="n">
        <v>0</v>
      </c>
      <c r="M267" t="n">
        <v>0</v>
      </c>
      <c r="N267" t="n">
        <v>0</v>
      </c>
      <c r="O267" t="n">
        <v>2</v>
      </c>
      <c r="P267" t="n">
        <v>2</v>
      </c>
      <c r="Q267" t="n">
        <v>3</v>
      </c>
      <c r="R267" s="2" t="inlineStr">
        <is>
          <t>Knärot
Norna
Ögonpyrola</t>
        </is>
      </c>
      <c r="S267">
        <f>HYPERLINK("https://klasma.github.io/Logging_2582/artfynd/A 19324-2024 artfynd.xlsx", "A 19324-2024")</f>
        <v/>
      </c>
      <c r="T267">
        <f>HYPERLINK("https://klasma.github.io/Logging_2582/kartor/A 19324-2024 karta.png", "A 19324-2024")</f>
        <v/>
      </c>
      <c r="U267">
        <f>HYPERLINK("https://klasma.github.io/Logging_2582/knärot/A 19324-2024 karta knärot.png", "A 19324-2024")</f>
        <v/>
      </c>
      <c r="V267">
        <f>HYPERLINK("https://klasma.github.io/Logging_2582/klagomål/A 19324-2024 FSC-klagomål.docx", "A 19324-2024")</f>
        <v/>
      </c>
      <c r="W267">
        <f>HYPERLINK("https://klasma.github.io/Logging_2582/klagomålsmail/A 19324-2024 FSC-klagomål mail.docx", "A 19324-2024")</f>
        <v/>
      </c>
      <c r="X267">
        <f>HYPERLINK("https://klasma.github.io/Logging_2582/tillsyn/A 19324-2024 tillsynsbegäran.docx", "A 19324-2024")</f>
        <v/>
      </c>
      <c r="Y267">
        <f>HYPERLINK("https://klasma.github.io/Logging_2582/tillsynsmail/A 19324-2024 tillsynsbegäran mail.docx", "A 19324-2024")</f>
        <v/>
      </c>
    </row>
    <row r="268" ht="15" customHeight="1">
      <c r="A268" t="inlineStr">
        <is>
          <t>A 3458-2021</t>
        </is>
      </c>
      <c r="B268" s="1" t="n">
        <v>44216</v>
      </c>
      <c r="C268" s="1" t="n">
        <v>45895</v>
      </c>
      <c r="D268" t="inlineStr">
        <is>
          <t>NORRBOTTENS LÄN</t>
        </is>
      </c>
      <c r="E268" t="inlineStr">
        <is>
          <t>ÖVERTORNEÅ</t>
        </is>
      </c>
      <c r="G268" t="n">
        <v>3</v>
      </c>
      <c r="H268" t="n">
        <v>1</v>
      </c>
      <c r="I268" t="n">
        <v>1</v>
      </c>
      <c r="J268" t="n">
        <v>1</v>
      </c>
      <c r="K268" t="n">
        <v>1</v>
      </c>
      <c r="L268" t="n">
        <v>0</v>
      </c>
      <c r="M268" t="n">
        <v>0</v>
      </c>
      <c r="N268" t="n">
        <v>0</v>
      </c>
      <c r="O268" t="n">
        <v>2</v>
      </c>
      <c r="P268" t="n">
        <v>1</v>
      </c>
      <c r="Q268" t="n">
        <v>3</v>
      </c>
      <c r="R268" s="2" t="inlineStr">
        <is>
          <t>Knärot
Doftskinn
Gulnål</t>
        </is>
      </c>
      <c r="S268">
        <f>HYPERLINK("https://klasma.github.io/Logging_2518/artfynd/A 3458-2021 artfynd.xlsx", "A 3458-2021")</f>
        <v/>
      </c>
      <c r="T268">
        <f>HYPERLINK("https://klasma.github.io/Logging_2518/kartor/A 3458-2021 karta.png", "A 3458-2021")</f>
        <v/>
      </c>
      <c r="U268">
        <f>HYPERLINK("https://klasma.github.io/Logging_2518/knärot/A 3458-2021 karta knärot.png", "A 3458-2021")</f>
        <v/>
      </c>
      <c r="V268">
        <f>HYPERLINK("https://klasma.github.io/Logging_2518/klagomål/A 3458-2021 FSC-klagomål.docx", "A 3458-2021")</f>
        <v/>
      </c>
      <c r="W268">
        <f>HYPERLINK("https://klasma.github.io/Logging_2518/klagomålsmail/A 3458-2021 FSC-klagomål mail.docx", "A 3458-2021")</f>
        <v/>
      </c>
      <c r="X268">
        <f>HYPERLINK("https://klasma.github.io/Logging_2518/tillsyn/A 3458-2021 tillsynsbegäran.docx", "A 3458-2021")</f>
        <v/>
      </c>
      <c r="Y268">
        <f>HYPERLINK("https://klasma.github.io/Logging_2518/tillsynsmail/A 3458-2021 tillsynsbegäran mail.docx", "A 3458-2021")</f>
        <v/>
      </c>
    </row>
    <row r="269" ht="15" customHeight="1">
      <c r="A269" t="inlineStr">
        <is>
          <t>A 47126-2023</t>
        </is>
      </c>
      <c r="B269" s="1" t="n">
        <v>45196</v>
      </c>
      <c r="C269" s="1" t="n">
        <v>45895</v>
      </c>
      <c r="D269" t="inlineStr">
        <is>
          <t>NORRBOTTENS LÄN</t>
        </is>
      </c>
      <c r="E269" t="inlineStr">
        <is>
          <t>PAJALA</t>
        </is>
      </c>
      <c r="G269" t="n">
        <v>6.8</v>
      </c>
      <c r="H269" t="n">
        <v>2</v>
      </c>
      <c r="I269" t="n">
        <v>0</v>
      </c>
      <c r="J269" t="n">
        <v>2</v>
      </c>
      <c r="K269" t="n">
        <v>0</v>
      </c>
      <c r="L269" t="n">
        <v>0</v>
      </c>
      <c r="M269" t="n">
        <v>0</v>
      </c>
      <c r="N269" t="n">
        <v>0</v>
      </c>
      <c r="O269" t="n">
        <v>2</v>
      </c>
      <c r="P269" t="n">
        <v>0</v>
      </c>
      <c r="Q269" t="n">
        <v>3</v>
      </c>
      <c r="R269" s="2" t="inlineStr">
        <is>
          <t>Garnlav
Spillkråka
Revlummer</t>
        </is>
      </c>
      <c r="S269">
        <f>HYPERLINK("https://klasma.github.io/Logging_2521/artfynd/A 47126-2023 artfynd.xlsx", "A 47126-2023")</f>
        <v/>
      </c>
      <c r="T269">
        <f>HYPERLINK("https://klasma.github.io/Logging_2521/kartor/A 47126-2023 karta.png", "A 47126-2023")</f>
        <v/>
      </c>
      <c r="V269">
        <f>HYPERLINK("https://klasma.github.io/Logging_2521/klagomål/A 47126-2023 FSC-klagomål.docx", "A 47126-2023")</f>
        <v/>
      </c>
      <c r="W269">
        <f>HYPERLINK("https://klasma.github.io/Logging_2521/klagomålsmail/A 47126-2023 FSC-klagomål mail.docx", "A 47126-2023")</f>
        <v/>
      </c>
      <c r="X269">
        <f>HYPERLINK("https://klasma.github.io/Logging_2521/tillsyn/A 47126-2023 tillsynsbegäran.docx", "A 47126-2023")</f>
        <v/>
      </c>
      <c r="Y269">
        <f>HYPERLINK("https://klasma.github.io/Logging_2521/tillsynsmail/A 47126-2023 tillsynsbegäran mail.docx", "A 47126-2023")</f>
        <v/>
      </c>
      <c r="Z269">
        <f>HYPERLINK("https://klasma.github.io/Logging_2521/fåglar/A 47126-2023 prioriterade fågelarter.docx", "A 47126-2023")</f>
        <v/>
      </c>
    </row>
    <row r="270" ht="15" customHeight="1">
      <c r="A270" t="inlineStr">
        <is>
          <t>A 47132-2023</t>
        </is>
      </c>
      <c r="B270" s="1" t="n">
        <v>45201</v>
      </c>
      <c r="C270" s="1" t="n">
        <v>45895</v>
      </c>
      <c r="D270" t="inlineStr">
        <is>
          <t>NORRBOTTENS LÄN</t>
        </is>
      </c>
      <c r="E270" t="inlineStr">
        <is>
          <t>ÄLVSBYN</t>
        </is>
      </c>
      <c r="F270" t="inlineStr">
        <is>
          <t>Sveaskog</t>
        </is>
      </c>
      <c r="G270" t="n">
        <v>4.1</v>
      </c>
      <c r="H270" t="n">
        <v>0</v>
      </c>
      <c r="I270" t="n">
        <v>0</v>
      </c>
      <c r="J270" t="n">
        <v>3</v>
      </c>
      <c r="K270" t="n">
        <v>0</v>
      </c>
      <c r="L270" t="n">
        <v>0</v>
      </c>
      <c r="M270" t="n">
        <v>0</v>
      </c>
      <c r="N270" t="n">
        <v>0</v>
      </c>
      <c r="O270" t="n">
        <v>3</v>
      </c>
      <c r="P270" t="n">
        <v>0</v>
      </c>
      <c r="Q270" t="n">
        <v>3</v>
      </c>
      <c r="R270" s="2" t="inlineStr">
        <is>
          <t>Motaggsvamp
Skrovlig taggsvamp
Tallriska</t>
        </is>
      </c>
      <c r="S270">
        <f>HYPERLINK("https://klasma.github.io/Logging_2560/artfynd/A 47132-2023 artfynd.xlsx", "A 47132-2023")</f>
        <v/>
      </c>
      <c r="T270">
        <f>HYPERLINK("https://klasma.github.io/Logging_2560/kartor/A 47132-2023 karta.png", "A 47132-2023")</f>
        <v/>
      </c>
      <c r="V270">
        <f>HYPERLINK("https://klasma.github.io/Logging_2560/klagomål/A 47132-2023 FSC-klagomål.docx", "A 47132-2023")</f>
        <v/>
      </c>
      <c r="W270">
        <f>HYPERLINK("https://klasma.github.io/Logging_2560/klagomålsmail/A 47132-2023 FSC-klagomål mail.docx", "A 47132-2023")</f>
        <v/>
      </c>
      <c r="X270">
        <f>HYPERLINK("https://klasma.github.io/Logging_2560/tillsyn/A 47132-2023 tillsynsbegäran.docx", "A 47132-2023")</f>
        <v/>
      </c>
      <c r="Y270">
        <f>HYPERLINK("https://klasma.github.io/Logging_2560/tillsynsmail/A 47132-2023 tillsynsbegäran mail.docx", "A 47132-2023")</f>
        <v/>
      </c>
    </row>
    <row r="271" ht="15" customHeight="1">
      <c r="A271" t="inlineStr">
        <is>
          <t>A 881-2025</t>
        </is>
      </c>
      <c r="B271" s="1" t="n">
        <v>45664</v>
      </c>
      <c r="C271" s="1" t="n">
        <v>45895</v>
      </c>
      <c r="D271" t="inlineStr">
        <is>
          <t>NORRBOTTENS LÄN</t>
        </is>
      </c>
      <c r="E271" t="inlineStr">
        <is>
          <t>LULEÅ</t>
        </is>
      </c>
      <c r="G271" t="n">
        <v>13.2</v>
      </c>
      <c r="H271" t="n">
        <v>1</v>
      </c>
      <c r="I271" t="n">
        <v>0</v>
      </c>
      <c r="J271" t="n">
        <v>2</v>
      </c>
      <c r="K271" t="n">
        <v>0</v>
      </c>
      <c r="L271" t="n">
        <v>0</v>
      </c>
      <c r="M271" t="n">
        <v>0</v>
      </c>
      <c r="N271" t="n">
        <v>0</v>
      </c>
      <c r="O271" t="n">
        <v>2</v>
      </c>
      <c r="P271" t="n">
        <v>0</v>
      </c>
      <c r="Q271" t="n">
        <v>3</v>
      </c>
      <c r="R271" s="2" t="inlineStr">
        <is>
          <t>Granticka
Lunglav
Tjäder</t>
        </is>
      </c>
      <c r="S271">
        <f>HYPERLINK("https://klasma.github.io/Logging_2580/artfynd/A 881-2025 artfynd.xlsx", "A 881-2025")</f>
        <v/>
      </c>
      <c r="T271">
        <f>HYPERLINK("https://klasma.github.io/Logging_2580/kartor/A 881-2025 karta.png", "A 881-2025")</f>
        <v/>
      </c>
      <c r="V271">
        <f>HYPERLINK("https://klasma.github.io/Logging_2580/klagomål/A 881-2025 FSC-klagomål.docx", "A 881-2025")</f>
        <v/>
      </c>
      <c r="W271">
        <f>HYPERLINK("https://klasma.github.io/Logging_2580/klagomålsmail/A 881-2025 FSC-klagomål mail.docx", "A 881-2025")</f>
        <v/>
      </c>
      <c r="X271">
        <f>HYPERLINK("https://klasma.github.io/Logging_2580/tillsyn/A 881-2025 tillsynsbegäran.docx", "A 881-2025")</f>
        <v/>
      </c>
      <c r="Y271">
        <f>HYPERLINK("https://klasma.github.io/Logging_2580/tillsynsmail/A 881-2025 tillsynsbegäran mail.docx", "A 881-2025")</f>
        <v/>
      </c>
      <c r="Z271">
        <f>HYPERLINK("https://klasma.github.io/Logging_2580/fåglar/A 881-2025 prioriterade fågelarter.docx", "A 881-2025")</f>
        <v/>
      </c>
    </row>
    <row r="272" ht="15" customHeight="1">
      <c r="A272" t="inlineStr">
        <is>
          <t>A 26837-2025</t>
        </is>
      </c>
      <c r="B272" s="1" t="n">
        <v>45810</v>
      </c>
      <c r="C272" s="1" t="n">
        <v>45895</v>
      </c>
      <c r="D272" t="inlineStr">
        <is>
          <t>NORRBOTTENS LÄN</t>
        </is>
      </c>
      <c r="E272" t="inlineStr">
        <is>
          <t>JOKKMOKK</t>
        </is>
      </c>
      <c r="G272" t="n">
        <v>23.1</v>
      </c>
      <c r="H272" t="n">
        <v>0</v>
      </c>
      <c r="I272" t="n">
        <v>0</v>
      </c>
      <c r="J272" t="n">
        <v>2</v>
      </c>
      <c r="K272" t="n">
        <v>1</v>
      </c>
      <c r="L272" t="n">
        <v>0</v>
      </c>
      <c r="M272" t="n">
        <v>0</v>
      </c>
      <c r="N272" t="n">
        <v>0</v>
      </c>
      <c r="O272" t="n">
        <v>3</v>
      </c>
      <c r="P272" t="n">
        <v>1</v>
      </c>
      <c r="Q272" t="n">
        <v>3</v>
      </c>
      <c r="R272" s="2" t="inlineStr">
        <is>
          <t>Gräddporing
Dvärgbägarlav
Nordtagging</t>
        </is>
      </c>
      <c r="S272">
        <f>HYPERLINK("https://klasma.github.io/Logging_2510/artfynd/A 26837-2025 artfynd.xlsx", "A 26837-2025")</f>
        <v/>
      </c>
      <c r="T272">
        <f>HYPERLINK("https://klasma.github.io/Logging_2510/kartor/A 26837-2025 karta.png", "A 26837-2025")</f>
        <v/>
      </c>
      <c r="V272">
        <f>HYPERLINK("https://klasma.github.io/Logging_2510/klagomål/A 26837-2025 FSC-klagomål.docx", "A 26837-2025")</f>
        <v/>
      </c>
      <c r="W272">
        <f>HYPERLINK("https://klasma.github.io/Logging_2510/klagomålsmail/A 26837-2025 FSC-klagomål mail.docx", "A 26837-2025")</f>
        <v/>
      </c>
      <c r="X272">
        <f>HYPERLINK("https://klasma.github.io/Logging_2510/tillsyn/A 26837-2025 tillsynsbegäran.docx", "A 26837-2025")</f>
        <v/>
      </c>
      <c r="Y272">
        <f>HYPERLINK("https://klasma.github.io/Logging_2510/tillsynsmail/A 26837-2025 tillsynsbegäran mail.docx", "A 26837-2025")</f>
        <v/>
      </c>
    </row>
    <row r="273" ht="15" customHeight="1">
      <c r="A273" t="inlineStr">
        <is>
          <t>A 2948-2023</t>
        </is>
      </c>
      <c r="B273" s="1" t="n">
        <v>44945</v>
      </c>
      <c r="C273" s="1" t="n">
        <v>45895</v>
      </c>
      <c r="D273" t="inlineStr">
        <is>
          <t>NORRBOTTENS LÄN</t>
        </is>
      </c>
      <c r="E273" t="inlineStr">
        <is>
          <t>PAJALA</t>
        </is>
      </c>
      <c r="G273" t="n">
        <v>13</v>
      </c>
      <c r="H273" t="n">
        <v>2</v>
      </c>
      <c r="I273" t="n">
        <v>1</v>
      </c>
      <c r="J273" t="n">
        <v>2</v>
      </c>
      <c r="K273" t="n">
        <v>0</v>
      </c>
      <c r="L273" t="n">
        <v>0</v>
      </c>
      <c r="M273" t="n">
        <v>0</v>
      </c>
      <c r="N273" t="n">
        <v>0</v>
      </c>
      <c r="O273" t="n">
        <v>2</v>
      </c>
      <c r="P273" t="n">
        <v>0</v>
      </c>
      <c r="Q273" t="n">
        <v>3</v>
      </c>
      <c r="R273" s="2" t="inlineStr">
        <is>
          <t>Garnlav
Talltita
Spindelblomster</t>
        </is>
      </c>
      <c r="S273">
        <f>HYPERLINK("https://klasma.github.io/Logging_2521/artfynd/A 2948-2023 artfynd.xlsx", "A 2948-2023")</f>
        <v/>
      </c>
      <c r="T273">
        <f>HYPERLINK("https://klasma.github.io/Logging_2521/kartor/A 2948-2023 karta.png", "A 2948-2023")</f>
        <v/>
      </c>
      <c r="V273">
        <f>HYPERLINK("https://klasma.github.io/Logging_2521/klagomål/A 2948-2023 FSC-klagomål.docx", "A 2948-2023")</f>
        <v/>
      </c>
      <c r="W273">
        <f>HYPERLINK("https://klasma.github.io/Logging_2521/klagomålsmail/A 2948-2023 FSC-klagomål mail.docx", "A 2948-2023")</f>
        <v/>
      </c>
      <c r="X273">
        <f>HYPERLINK("https://klasma.github.io/Logging_2521/tillsyn/A 2948-2023 tillsynsbegäran.docx", "A 2948-2023")</f>
        <v/>
      </c>
      <c r="Y273">
        <f>HYPERLINK("https://klasma.github.io/Logging_2521/tillsynsmail/A 2948-2023 tillsynsbegäran mail.docx", "A 2948-2023")</f>
        <v/>
      </c>
      <c r="Z273">
        <f>HYPERLINK("https://klasma.github.io/Logging_2521/fåglar/A 2948-2023 prioriterade fågelarter.docx", "A 2948-2023")</f>
        <v/>
      </c>
    </row>
    <row r="274" ht="15" customHeight="1">
      <c r="A274" t="inlineStr">
        <is>
          <t>A 15171-2022</t>
        </is>
      </c>
      <c r="B274" s="1" t="n">
        <v>44658</v>
      </c>
      <c r="C274" s="1" t="n">
        <v>45895</v>
      </c>
      <c r="D274" t="inlineStr">
        <is>
          <t>NORRBOTTENS LÄN</t>
        </is>
      </c>
      <c r="E274" t="inlineStr">
        <is>
          <t>ARJEPLOG</t>
        </is>
      </c>
      <c r="G274" t="n">
        <v>48</v>
      </c>
      <c r="H274" t="n">
        <v>1</v>
      </c>
      <c r="I274" t="n">
        <v>0</v>
      </c>
      <c r="J274" t="n">
        <v>3</v>
      </c>
      <c r="K274" t="n">
        <v>0</v>
      </c>
      <c r="L274" t="n">
        <v>0</v>
      </c>
      <c r="M274" t="n">
        <v>0</v>
      </c>
      <c r="N274" t="n">
        <v>0</v>
      </c>
      <c r="O274" t="n">
        <v>3</v>
      </c>
      <c r="P274" t="n">
        <v>0</v>
      </c>
      <c r="Q274" t="n">
        <v>3</v>
      </c>
      <c r="R274" s="2" t="inlineStr">
        <is>
          <t>Granticka
Lunglav
Tretåig hackspett</t>
        </is>
      </c>
      <c r="S274">
        <f>HYPERLINK("https://klasma.github.io/Logging_2506/artfynd/A 15171-2022 artfynd.xlsx", "A 15171-2022")</f>
        <v/>
      </c>
      <c r="T274">
        <f>HYPERLINK("https://klasma.github.io/Logging_2506/kartor/A 15171-2022 karta.png", "A 15171-2022")</f>
        <v/>
      </c>
      <c r="V274">
        <f>HYPERLINK("https://klasma.github.io/Logging_2506/klagomål/A 15171-2022 FSC-klagomål.docx", "A 15171-2022")</f>
        <v/>
      </c>
      <c r="W274">
        <f>HYPERLINK("https://klasma.github.io/Logging_2506/klagomålsmail/A 15171-2022 FSC-klagomål mail.docx", "A 15171-2022")</f>
        <v/>
      </c>
      <c r="X274">
        <f>HYPERLINK("https://klasma.github.io/Logging_2506/tillsyn/A 15171-2022 tillsynsbegäran.docx", "A 15171-2022")</f>
        <v/>
      </c>
      <c r="Y274">
        <f>HYPERLINK("https://klasma.github.io/Logging_2506/tillsynsmail/A 15171-2022 tillsynsbegäran mail.docx", "A 15171-2022")</f>
        <v/>
      </c>
      <c r="Z274">
        <f>HYPERLINK("https://klasma.github.io/Logging_2506/fåglar/A 15171-2022 prioriterade fågelarter.docx", "A 15171-2022")</f>
        <v/>
      </c>
    </row>
    <row r="275" ht="15" customHeight="1">
      <c r="A275" t="inlineStr">
        <is>
          <t>A 882-2025</t>
        </is>
      </c>
      <c r="B275" s="1" t="n">
        <v>45664</v>
      </c>
      <c r="C275" s="1" t="n">
        <v>45895</v>
      </c>
      <c r="D275" t="inlineStr">
        <is>
          <t>NORRBOTTENS LÄN</t>
        </is>
      </c>
      <c r="E275" t="inlineStr">
        <is>
          <t>LULEÅ</t>
        </is>
      </c>
      <c r="G275" t="n">
        <v>2.2</v>
      </c>
      <c r="H275" t="n">
        <v>1</v>
      </c>
      <c r="I275" t="n">
        <v>0</v>
      </c>
      <c r="J275" t="n">
        <v>2</v>
      </c>
      <c r="K275" t="n">
        <v>1</v>
      </c>
      <c r="L275" t="n">
        <v>0</v>
      </c>
      <c r="M275" t="n">
        <v>0</v>
      </c>
      <c r="N275" t="n">
        <v>0</v>
      </c>
      <c r="O275" t="n">
        <v>3</v>
      </c>
      <c r="P275" t="n">
        <v>1</v>
      </c>
      <c r="Q275" t="n">
        <v>3</v>
      </c>
      <c r="R275" s="2" t="inlineStr">
        <is>
          <t>Rynkskinn
Tretåig hackspett
Ullticka</t>
        </is>
      </c>
      <c r="S275">
        <f>HYPERLINK("https://klasma.github.io/Logging_2580/artfynd/A 882-2025 artfynd.xlsx", "A 882-2025")</f>
        <v/>
      </c>
      <c r="T275">
        <f>HYPERLINK("https://klasma.github.io/Logging_2580/kartor/A 882-2025 karta.png", "A 882-2025")</f>
        <v/>
      </c>
      <c r="V275">
        <f>HYPERLINK("https://klasma.github.io/Logging_2580/klagomål/A 882-2025 FSC-klagomål.docx", "A 882-2025")</f>
        <v/>
      </c>
      <c r="W275">
        <f>HYPERLINK("https://klasma.github.io/Logging_2580/klagomålsmail/A 882-2025 FSC-klagomål mail.docx", "A 882-2025")</f>
        <v/>
      </c>
      <c r="X275">
        <f>HYPERLINK("https://klasma.github.io/Logging_2580/tillsyn/A 882-2025 tillsynsbegäran.docx", "A 882-2025")</f>
        <v/>
      </c>
      <c r="Y275">
        <f>HYPERLINK("https://klasma.github.io/Logging_2580/tillsynsmail/A 882-2025 tillsynsbegäran mail.docx", "A 882-2025")</f>
        <v/>
      </c>
      <c r="Z275">
        <f>HYPERLINK("https://klasma.github.io/Logging_2580/fåglar/A 882-2025 prioriterade fågelarter.docx", "A 882-2025")</f>
        <v/>
      </c>
    </row>
    <row r="276" ht="15" customHeight="1">
      <c r="A276" t="inlineStr">
        <is>
          <t>A 27607-2025</t>
        </is>
      </c>
      <c r="B276" s="1" t="n">
        <v>45813.53356481482</v>
      </c>
      <c r="C276" s="1" t="n">
        <v>45895</v>
      </c>
      <c r="D276" t="inlineStr">
        <is>
          <t>NORRBOTTENS LÄN</t>
        </is>
      </c>
      <c r="E276" t="inlineStr">
        <is>
          <t>KALIX</t>
        </is>
      </c>
      <c r="G276" t="n">
        <v>3.8</v>
      </c>
      <c r="H276" t="n">
        <v>0</v>
      </c>
      <c r="I276" t="n">
        <v>2</v>
      </c>
      <c r="J276" t="n">
        <v>1</v>
      </c>
      <c r="K276" t="n">
        <v>0</v>
      </c>
      <c r="L276" t="n">
        <v>0</v>
      </c>
      <c r="M276" t="n">
        <v>0</v>
      </c>
      <c r="N276" t="n">
        <v>0</v>
      </c>
      <c r="O276" t="n">
        <v>1</v>
      </c>
      <c r="P276" t="n">
        <v>0</v>
      </c>
      <c r="Q276" t="n">
        <v>3</v>
      </c>
      <c r="R276" s="2" t="inlineStr">
        <is>
          <t>Ullticka
Skinnlav
Vedticka</t>
        </is>
      </c>
      <c r="S276">
        <f>HYPERLINK("https://klasma.github.io/Logging_2514/artfynd/A 27607-2025 artfynd.xlsx", "A 27607-2025")</f>
        <v/>
      </c>
      <c r="T276">
        <f>HYPERLINK("https://klasma.github.io/Logging_2514/kartor/A 27607-2025 karta.png", "A 27607-2025")</f>
        <v/>
      </c>
      <c r="V276">
        <f>HYPERLINK("https://klasma.github.io/Logging_2514/klagomål/A 27607-2025 FSC-klagomål.docx", "A 27607-2025")</f>
        <v/>
      </c>
      <c r="W276">
        <f>HYPERLINK("https://klasma.github.io/Logging_2514/klagomålsmail/A 27607-2025 FSC-klagomål mail.docx", "A 27607-2025")</f>
        <v/>
      </c>
      <c r="X276">
        <f>HYPERLINK("https://klasma.github.io/Logging_2514/tillsyn/A 27607-2025 tillsynsbegäran.docx", "A 27607-2025")</f>
        <v/>
      </c>
      <c r="Y276">
        <f>HYPERLINK("https://klasma.github.io/Logging_2514/tillsynsmail/A 27607-2025 tillsynsbegäran mail.docx", "A 27607-2025")</f>
        <v/>
      </c>
    </row>
    <row r="277" ht="15" customHeight="1">
      <c r="A277" t="inlineStr">
        <is>
          <t>A 59618-2023</t>
        </is>
      </c>
      <c r="B277" s="1" t="n">
        <v>45254</v>
      </c>
      <c r="C277" s="1" t="n">
        <v>45895</v>
      </c>
      <c r="D277" t="inlineStr">
        <is>
          <t>NORRBOTTENS LÄN</t>
        </is>
      </c>
      <c r="E277" t="inlineStr">
        <is>
          <t>ÄLVSBYN</t>
        </is>
      </c>
      <c r="F277" t="inlineStr">
        <is>
          <t>Sveaskog</t>
        </is>
      </c>
      <c r="G277" t="n">
        <v>26.3</v>
      </c>
      <c r="H277" t="n">
        <v>0</v>
      </c>
      <c r="I277" t="n">
        <v>1</v>
      </c>
      <c r="J277" t="n">
        <v>2</v>
      </c>
      <c r="K277" t="n">
        <v>0</v>
      </c>
      <c r="L277" t="n">
        <v>0</v>
      </c>
      <c r="M277" t="n">
        <v>0</v>
      </c>
      <c r="N277" t="n">
        <v>0</v>
      </c>
      <c r="O277" t="n">
        <v>2</v>
      </c>
      <c r="P277" t="n">
        <v>0</v>
      </c>
      <c r="Q277" t="n">
        <v>3</v>
      </c>
      <c r="R277" s="2" t="inlineStr">
        <is>
          <t>Kolflarnlav
Svart taggsvamp
Dropptaggsvamp</t>
        </is>
      </c>
      <c r="S277">
        <f>HYPERLINK("https://klasma.github.io/Logging_2560/artfynd/A 59618-2023 artfynd.xlsx", "A 59618-2023")</f>
        <v/>
      </c>
      <c r="T277">
        <f>HYPERLINK("https://klasma.github.io/Logging_2560/kartor/A 59618-2023 karta.png", "A 59618-2023")</f>
        <v/>
      </c>
      <c r="V277">
        <f>HYPERLINK("https://klasma.github.io/Logging_2560/klagomål/A 59618-2023 FSC-klagomål.docx", "A 59618-2023")</f>
        <v/>
      </c>
      <c r="W277">
        <f>HYPERLINK("https://klasma.github.io/Logging_2560/klagomålsmail/A 59618-2023 FSC-klagomål mail.docx", "A 59618-2023")</f>
        <v/>
      </c>
      <c r="X277">
        <f>HYPERLINK("https://klasma.github.io/Logging_2560/tillsyn/A 59618-2023 tillsynsbegäran.docx", "A 59618-2023")</f>
        <v/>
      </c>
      <c r="Y277">
        <f>HYPERLINK("https://klasma.github.io/Logging_2560/tillsynsmail/A 59618-2023 tillsynsbegäran mail.docx", "A 59618-2023")</f>
        <v/>
      </c>
    </row>
    <row r="278" ht="15" customHeight="1">
      <c r="A278" t="inlineStr">
        <is>
          <t>A 65260-2023</t>
        </is>
      </c>
      <c r="B278" s="1" t="n">
        <v>45291</v>
      </c>
      <c r="C278" s="1" t="n">
        <v>45895</v>
      </c>
      <c r="D278" t="inlineStr">
        <is>
          <t>NORRBOTTENS LÄN</t>
        </is>
      </c>
      <c r="E278" t="inlineStr">
        <is>
          <t>ÖVERTORNEÅ</t>
        </is>
      </c>
      <c r="G278" t="n">
        <v>7.7</v>
      </c>
      <c r="H278" t="n">
        <v>1</v>
      </c>
      <c r="I278" t="n">
        <v>1</v>
      </c>
      <c r="J278" t="n">
        <v>2</v>
      </c>
      <c r="K278" t="n">
        <v>0</v>
      </c>
      <c r="L278" t="n">
        <v>0</v>
      </c>
      <c r="M278" t="n">
        <v>0</v>
      </c>
      <c r="N278" t="n">
        <v>0</v>
      </c>
      <c r="O278" t="n">
        <v>2</v>
      </c>
      <c r="P278" t="n">
        <v>0</v>
      </c>
      <c r="Q278" t="n">
        <v>3</v>
      </c>
      <c r="R278" s="2" t="inlineStr">
        <is>
          <t>Garnlav
Spillkråka
Vedticka</t>
        </is>
      </c>
      <c r="S278">
        <f>HYPERLINK("https://klasma.github.io/Logging_2518/artfynd/A 65260-2023 artfynd.xlsx", "A 65260-2023")</f>
        <v/>
      </c>
      <c r="T278">
        <f>HYPERLINK("https://klasma.github.io/Logging_2518/kartor/A 65260-2023 karta.png", "A 65260-2023")</f>
        <v/>
      </c>
      <c r="V278">
        <f>HYPERLINK("https://klasma.github.io/Logging_2518/klagomål/A 65260-2023 FSC-klagomål.docx", "A 65260-2023")</f>
        <v/>
      </c>
      <c r="W278">
        <f>HYPERLINK("https://klasma.github.io/Logging_2518/klagomålsmail/A 65260-2023 FSC-klagomål mail.docx", "A 65260-2023")</f>
        <v/>
      </c>
      <c r="X278">
        <f>HYPERLINK("https://klasma.github.io/Logging_2518/tillsyn/A 65260-2023 tillsynsbegäran.docx", "A 65260-2023")</f>
        <v/>
      </c>
      <c r="Y278">
        <f>HYPERLINK("https://klasma.github.io/Logging_2518/tillsynsmail/A 65260-2023 tillsynsbegäran mail.docx", "A 65260-2023")</f>
        <v/>
      </c>
      <c r="Z278">
        <f>HYPERLINK("https://klasma.github.io/Logging_2518/fåglar/A 65260-2023 prioriterade fågelarter.docx", "A 65260-2023")</f>
        <v/>
      </c>
    </row>
    <row r="279" ht="15" customHeight="1">
      <c r="A279" t="inlineStr">
        <is>
          <t>A 11564-2025</t>
        </is>
      </c>
      <c r="B279" s="1" t="n">
        <v>45726</v>
      </c>
      <c r="C279" s="1" t="n">
        <v>45895</v>
      </c>
      <c r="D279" t="inlineStr">
        <is>
          <t>NORRBOTTENS LÄN</t>
        </is>
      </c>
      <c r="E279" t="inlineStr">
        <is>
          <t>ARVIDSJAUR</t>
        </is>
      </c>
      <c r="F279" t="inlineStr">
        <is>
          <t>Allmännings- och besparingsskogar</t>
        </is>
      </c>
      <c r="G279" t="n">
        <v>38.8</v>
      </c>
      <c r="H279" t="n">
        <v>3</v>
      </c>
      <c r="I279" t="n">
        <v>2</v>
      </c>
      <c r="J279" t="n">
        <v>0</v>
      </c>
      <c r="K279" t="n">
        <v>0</v>
      </c>
      <c r="L279" t="n">
        <v>0</v>
      </c>
      <c r="M279" t="n">
        <v>0</v>
      </c>
      <c r="N279" t="n">
        <v>0</v>
      </c>
      <c r="O279" t="n">
        <v>0</v>
      </c>
      <c r="P279" t="n">
        <v>0</v>
      </c>
      <c r="Q279" t="n">
        <v>3</v>
      </c>
      <c r="R279" s="2" t="inlineStr">
        <is>
          <t>Korallrot
Spindelblomster
Mattlummer</t>
        </is>
      </c>
      <c r="S279">
        <f>HYPERLINK("https://klasma.github.io/Logging_2505/artfynd/A 11564-2025 artfynd.xlsx", "A 11564-2025")</f>
        <v/>
      </c>
      <c r="T279">
        <f>HYPERLINK("https://klasma.github.io/Logging_2505/kartor/A 11564-2025 karta.png", "A 11564-2025")</f>
        <v/>
      </c>
      <c r="V279">
        <f>HYPERLINK("https://klasma.github.io/Logging_2505/klagomål/A 11564-2025 FSC-klagomål.docx", "A 11564-2025")</f>
        <v/>
      </c>
      <c r="W279">
        <f>HYPERLINK("https://klasma.github.io/Logging_2505/klagomålsmail/A 11564-2025 FSC-klagomål mail.docx", "A 11564-2025")</f>
        <v/>
      </c>
      <c r="X279">
        <f>HYPERLINK("https://klasma.github.io/Logging_2505/tillsyn/A 11564-2025 tillsynsbegäran.docx", "A 11564-2025")</f>
        <v/>
      </c>
      <c r="Y279">
        <f>HYPERLINK("https://klasma.github.io/Logging_2505/tillsynsmail/A 11564-2025 tillsynsbegäran mail.docx", "A 11564-2025")</f>
        <v/>
      </c>
    </row>
    <row r="280" ht="15" customHeight="1">
      <c r="A280" t="inlineStr">
        <is>
          <t>A 16752-2022</t>
        </is>
      </c>
      <c r="B280" s="1" t="n">
        <v>44673</v>
      </c>
      <c r="C280" s="1" t="n">
        <v>45895</v>
      </c>
      <c r="D280" t="inlineStr">
        <is>
          <t>NORRBOTTENS LÄN</t>
        </is>
      </c>
      <c r="E280" t="inlineStr">
        <is>
          <t>LULEÅ</t>
        </is>
      </c>
      <c r="G280" t="n">
        <v>14</v>
      </c>
      <c r="H280" t="n">
        <v>1</v>
      </c>
      <c r="I280" t="n">
        <v>1</v>
      </c>
      <c r="J280" t="n">
        <v>1</v>
      </c>
      <c r="K280" t="n">
        <v>0</v>
      </c>
      <c r="L280" t="n">
        <v>0</v>
      </c>
      <c r="M280" t="n">
        <v>0</v>
      </c>
      <c r="N280" t="n">
        <v>0</v>
      </c>
      <c r="O280" t="n">
        <v>1</v>
      </c>
      <c r="P280" t="n">
        <v>0</v>
      </c>
      <c r="Q280" t="n">
        <v>3</v>
      </c>
      <c r="R280" s="2" t="inlineStr">
        <is>
          <t>Vedskivlav
Nästlav
Fläcknycklar</t>
        </is>
      </c>
      <c r="S280">
        <f>HYPERLINK("https://klasma.github.io/Logging_2580/artfynd/A 16752-2022 artfynd.xlsx", "A 16752-2022")</f>
        <v/>
      </c>
      <c r="T280">
        <f>HYPERLINK("https://klasma.github.io/Logging_2580/kartor/A 16752-2022 karta.png", "A 16752-2022")</f>
        <v/>
      </c>
      <c r="V280">
        <f>HYPERLINK("https://klasma.github.io/Logging_2580/klagomål/A 16752-2022 FSC-klagomål.docx", "A 16752-2022")</f>
        <v/>
      </c>
      <c r="W280">
        <f>HYPERLINK("https://klasma.github.io/Logging_2580/klagomålsmail/A 16752-2022 FSC-klagomål mail.docx", "A 16752-2022")</f>
        <v/>
      </c>
      <c r="X280">
        <f>HYPERLINK("https://klasma.github.io/Logging_2580/tillsyn/A 16752-2022 tillsynsbegäran.docx", "A 16752-2022")</f>
        <v/>
      </c>
      <c r="Y280">
        <f>HYPERLINK("https://klasma.github.io/Logging_2580/tillsynsmail/A 16752-2022 tillsynsbegäran mail.docx", "A 16752-2022")</f>
        <v/>
      </c>
    </row>
    <row r="281" ht="15" customHeight="1">
      <c r="A281" t="inlineStr">
        <is>
          <t>A 52078-2021</t>
        </is>
      </c>
      <c r="B281" s="1" t="n">
        <v>44463.40674768519</v>
      </c>
      <c r="C281" s="1" t="n">
        <v>45895</v>
      </c>
      <c r="D281" t="inlineStr">
        <is>
          <t>NORRBOTTENS LÄN</t>
        </is>
      </c>
      <c r="E281" t="inlineStr">
        <is>
          <t>BODEN</t>
        </is>
      </c>
      <c r="F281" t="inlineStr">
        <is>
          <t>Sveaskog</t>
        </is>
      </c>
      <c r="G281" t="n">
        <v>0.5</v>
      </c>
      <c r="H281" t="n">
        <v>1</v>
      </c>
      <c r="I281" t="n">
        <v>0</v>
      </c>
      <c r="J281" t="n">
        <v>2</v>
      </c>
      <c r="K281" t="n">
        <v>1</v>
      </c>
      <c r="L281" t="n">
        <v>0</v>
      </c>
      <c r="M281" t="n">
        <v>0</v>
      </c>
      <c r="N281" t="n">
        <v>0</v>
      </c>
      <c r="O281" t="n">
        <v>3</v>
      </c>
      <c r="P281" t="n">
        <v>1</v>
      </c>
      <c r="Q281" t="n">
        <v>3</v>
      </c>
      <c r="R281" s="2" t="inlineStr">
        <is>
          <t>Knärot
Granticka
Lunglav</t>
        </is>
      </c>
      <c r="S281">
        <f>HYPERLINK("https://klasma.github.io/Logging_2582/artfynd/A 52078-2021 artfynd.xlsx", "A 52078-2021")</f>
        <v/>
      </c>
      <c r="T281">
        <f>HYPERLINK("https://klasma.github.io/Logging_2582/kartor/A 52078-2021 karta.png", "A 52078-2021")</f>
        <v/>
      </c>
      <c r="U281">
        <f>HYPERLINK("https://klasma.github.io/Logging_2582/knärot/A 52078-2021 karta knärot.png", "A 52078-2021")</f>
        <v/>
      </c>
      <c r="V281">
        <f>HYPERLINK("https://klasma.github.io/Logging_2582/klagomål/A 52078-2021 FSC-klagomål.docx", "A 52078-2021")</f>
        <v/>
      </c>
      <c r="W281">
        <f>HYPERLINK("https://klasma.github.io/Logging_2582/klagomålsmail/A 52078-2021 FSC-klagomål mail.docx", "A 52078-2021")</f>
        <v/>
      </c>
      <c r="X281">
        <f>HYPERLINK("https://klasma.github.io/Logging_2582/tillsyn/A 52078-2021 tillsynsbegäran.docx", "A 52078-2021")</f>
        <v/>
      </c>
      <c r="Y281">
        <f>HYPERLINK("https://klasma.github.io/Logging_2582/tillsynsmail/A 52078-2021 tillsynsbegäran mail.docx", "A 52078-2021")</f>
        <v/>
      </c>
    </row>
    <row r="282" ht="15" customHeight="1">
      <c r="A282" t="inlineStr">
        <is>
          <t>A 50156-2024</t>
        </is>
      </c>
      <c r="B282" s="1" t="n">
        <v>45600.46027777778</v>
      </c>
      <c r="C282" s="1" t="n">
        <v>45895</v>
      </c>
      <c r="D282" t="inlineStr">
        <is>
          <t>NORRBOTTENS LÄN</t>
        </is>
      </c>
      <c r="E282" t="inlineStr">
        <is>
          <t>ÄLVSBYN</t>
        </is>
      </c>
      <c r="F282" t="inlineStr">
        <is>
          <t>Sveaskog</t>
        </is>
      </c>
      <c r="G282" t="n">
        <v>9.9</v>
      </c>
      <c r="H282" t="n">
        <v>0</v>
      </c>
      <c r="I282" t="n">
        <v>1</v>
      </c>
      <c r="J282" t="n">
        <v>2</v>
      </c>
      <c r="K282" t="n">
        <v>0</v>
      </c>
      <c r="L282" t="n">
        <v>0</v>
      </c>
      <c r="M282" t="n">
        <v>0</v>
      </c>
      <c r="N282" t="n">
        <v>0</v>
      </c>
      <c r="O282" t="n">
        <v>2</v>
      </c>
      <c r="P282" t="n">
        <v>0</v>
      </c>
      <c r="Q282" t="n">
        <v>3</v>
      </c>
      <c r="R282" s="2" t="inlineStr">
        <is>
          <t>Kolflarnlav
Vaddporing
Dropptaggsvamp</t>
        </is>
      </c>
      <c r="S282">
        <f>HYPERLINK("https://klasma.github.io/Logging_2560/artfynd/A 50156-2024 artfynd.xlsx", "A 50156-2024")</f>
        <v/>
      </c>
      <c r="T282">
        <f>HYPERLINK("https://klasma.github.io/Logging_2560/kartor/A 50156-2024 karta.png", "A 50156-2024")</f>
        <v/>
      </c>
      <c r="V282">
        <f>HYPERLINK("https://klasma.github.io/Logging_2560/klagomål/A 50156-2024 FSC-klagomål.docx", "A 50156-2024")</f>
        <v/>
      </c>
      <c r="W282">
        <f>HYPERLINK("https://klasma.github.io/Logging_2560/klagomålsmail/A 50156-2024 FSC-klagomål mail.docx", "A 50156-2024")</f>
        <v/>
      </c>
      <c r="X282">
        <f>HYPERLINK("https://klasma.github.io/Logging_2560/tillsyn/A 50156-2024 tillsynsbegäran.docx", "A 50156-2024")</f>
        <v/>
      </c>
      <c r="Y282">
        <f>HYPERLINK("https://klasma.github.io/Logging_2560/tillsynsmail/A 50156-2024 tillsynsbegäran mail.docx", "A 50156-2024")</f>
        <v/>
      </c>
    </row>
    <row r="283" ht="15" customHeight="1">
      <c r="A283" t="inlineStr">
        <is>
          <t>A 14482-2023</t>
        </is>
      </c>
      <c r="B283" s="1" t="n">
        <v>45012</v>
      </c>
      <c r="C283" s="1" t="n">
        <v>45895</v>
      </c>
      <c r="D283" t="inlineStr">
        <is>
          <t>NORRBOTTENS LÄN</t>
        </is>
      </c>
      <c r="E283" t="inlineStr">
        <is>
          <t>GÄLLIVARE</t>
        </is>
      </c>
      <c r="G283" t="n">
        <v>7.4</v>
      </c>
      <c r="H283" t="n">
        <v>0</v>
      </c>
      <c r="I283" t="n">
        <v>0</v>
      </c>
      <c r="J283" t="n">
        <v>1</v>
      </c>
      <c r="K283" t="n">
        <v>2</v>
      </c>
      <c r="L283" t="n">
        <v>0</v>
      </c>
      <c r="M283" t="n">
        <v>0</v>
      </c>
      <c r="N283" t="n">
        <v>0</v>
      </c>
      <c r="O283" t="n">
        <v>3</v>
      </c>
      <c r="P283" t="n">
        <v>2</v>
      </c>
      <c r="Q283" t="n">
        <v>3</v>
      </c>
      <c r="R283" s="2" t="inlineStr">
        <is>
          <t>Goliatmusseron
Tallgråticka
Blå taggsvamp</t>
        </is>
      </c>
      <c r="S283">
        <f>HYPERLINK("https://klasma.github.io/Logging_2523/artfynd/A 14482-2023 artfynd.xlsx", "A 14482-2023")</f>
        <v/>
      </c>
      <c r="T283">
        <f>HYPERLINK("https://klasma.github.io/Logging_2523/kartor/A 14482-2023 karta.png", "A 14482-2023")</f>
        <v/>
      </c>
      <c r="V283">
        <f>HYPERLINK("https://klasma.github.io/Logging_2523/klagomål/A 14482-2023 FSC-klagomål.docx", "A 14482-2023")</f>
        <v/>
      </c>
      <c r="W283">
        <f>HYPERLINK("https://klasma.github.io/Logging_2523/klagomålsmail/A 14482-2023 FSC-klagomål mail.docx", "A 14482-2023")</f>
        <v/>
      </c>
      <c r="X283">
        <f>HYPERLINK("https://klasma.github.io/Logging_2523/tillsyn/A 14482-2023 tillsynsbegäran.docx", "A 14482-2023")</f>
        <v/>
      </c>
      <c r="Y283">
        <f>HYPERLINK("https://klasma.github.io/Logging_2523/tillsynsmail/A 14482-2023 tillsynsbegäran mail.docx", "A 14482-2023")</f>
        <v/>
      </c>
    </row>
    <row r="284" ht="15" customHeight="1">
      <c r="A284" t="inlineStr">
        <is>
          <t>A 55246-2020</t>
        </is>
      </c>
      <c r="B284" s="1" t="n">
        <v>44130</v>
      </c>
      <c r="C284" s="1" t="n">
        <v>45895</v>
      </c>
      <c r="D284" t="inlineStr">
        <is>
          <t>NORRBOTTENS LÄN</t>
        </is>
      </c>
      <c r="E284" t="inlineStr">
        <is>
          <t>BODEN</t>
        </is>
      </c>
      <c r="F284" t="inlineStr">
        <is>
          <t>Sveaskog</t>
        </is>
      </c>
      <c r="G284" t="n">
        <v>4.5</v>
      </c>
      <c r="H284" t="n">
        <v>0</v>
      </c>
      <c r="I284" t="n">
        <v>1</v>
      </c>
      <c r="J284" t="n">
        <v>2</v>
      </c>
      <c r="K284" t="n">
        <v>0</v>
      </c>
      <c r="L284" t="n">
        <v>0</v>
      </c>
      <c r="M284" t="n">
        <v>0</v>
      </c>
      <c r="N284" t="n">
        <v>0</v>
      </c>
      <c r="O284" t="n">
        <v>2</v>
      </c>
      <c r="P284" t="n">
        <v>0</v>
      </c>
      <c r="Q284" t="n">
        <v>3</v>
      </c>
      <c r="R284" s="2" t="inlineStr">
        <is>
          <t>Gammelgransskål
Lunglav
Bronshjon</t>
        </is>
      </c>
      <c r="S284">
        <f>HYPERLINK("https://klasma.github.io/Logging_2582/artfynd/A 55246-2020 artfynd.xlsx", "A 55246-2020")</f>
        <v/>
      </c>
      <c r="T284">
        <f>HYPERLINK("https://klasma.github.io/Logging_2582/kartor/A 55246-2020 karta.png", "A 55246-2020")</f>
        <v/>
      </c>
      <c r="V284">
        <f>HYPERLINK("https://klasma.github.io/Logging_2582/klagomål/A 55246-2020 FSC-klagomål.docx", "A 55246-2020")</f>
        <v/>
      </c>
      <c r="W284">
        <f>HYPERLINK("https://klasma.github.io/Logging_2582/klagomålsmail/A 55246-2020 FSC-klagomål mail.docx", "A 55246-2020")</f>
        <v/>
      </c>
      <c r="X284">
        <f>HYPERLINK("https://klasma.github.io/Logging_2582/tillsyn/A 55246-2020 tillsynsbegäran.docx", "A 55246-2020")</f>
        <v/>
      </c>
      <c r="Y284">
        <f>HYPERLINK("https://klasma.github.io/Logging_2582/tillsynsmail/A 55246-2020 tillsynsbegäran mail.docx", "A 55246-2020")</f>
        <v/>
      </c>
    </row>
    <row r="285" ht="15" customHeight="1">
      <c r="A285" t="inlineStr">
        <is>
          <t>A 31512-2024</t>
        </is>
      </c>
      <c r="B285" s="1" t="n">
        <v>45505</v>
      </c>
      <c r="C285" s="1" t="n">
        <v>45895</v>
      </c>
      <c r="D285" t="inlineStr">
        <is>
          <t>NORRBOTTENS LÄN</t>
        </is>
      </c>
      <c r="E285" t="inlineStr">
        <is>
          <t>KALIX</t>
        </is>
      </c>
      <c r="G285" t="n">
        <v>7.8</v>
      </c>
      <c r="H285" t="n">
        <v>3</v>
      </c>
      <c r="I285" t="n">
        <v>0</v>
      </c>
      <c r="J285" t="n">
        <v>1</v>
      </c>
      <c r="K285" t="n">
        <v>1</v>
      </c>
      <c r="L285" t="n">
        <v>0</v>
      </c>
      <c r="M285" t="n">
        <v>0</v>
      </c>
      <c r="N285" t="n">
        <v>0</v>
      </c>
      <c r="O285" t="n">
        <v>2</v>
      </c>
      <c r="P285" t="n">
        <v>1</v>
      </c>
      <c r="Q285" t="n">
        <v>3</v>
      </c>
      <c r="R285" s="2" t="inlineStr">
        <is>
          <t>Topplåsbräken
Höstlåsbräken
Revlummer</t>
        </is>
      </c>
      <c r="S285">
        <f>HYPERLINK("https://klasma.github.io/Logging_2514/artfynd/A 31512-2024 artfynd.xlsx", "A 31512-2024")</f>
        <v/>
      </c>
      <c r="T285">
        <f>HYPERLINK("https://klasma.github.io/Logging_2514/kartor/A 31512-2024 karta.png", "A 31512-2024")</f>
        <v/>
      </c>
      <c r="V285">
        <f>HYPERLINK("https://klasma.github.io/Logging_2514/klagomål/A 31512-2024 FSC-klagomål.docx", "A 31512-2024")</f>
        <v/>
      </c>
      <c r="W285">
        <f>HYPERLINK("https://klasma.github.io/Logging_2514/klagomålsmail/A 31512-2024 FSC-klagomål mail.docx", "A 31512-2024")</f>
        <v/>
      </c>
      <c r="X285">
        <f>HYPERLINK("https://klasma.github.io/Logging_2514/tillsyn/A 31512-2024 tillsynsbegäran.docx", "A 31512-2024")</f>
        <v/>
      </c>
      <c r="Y285">
        <f>HYPERLINK("https://klasma.github.io/Logging_2514/tillsynsmail/A 31512-2024 tillsynsbegäran mail.docx", "A 31512-2024")</f>
        <v/>
      </c>
    </row>
    <row r="286" ht="15" customHeight="1">
      <c r="A286" t="inlineStr">
        <is>
          <t>A 60091-2024</t>
        </is>
      </c>
      <c r="B286" s="1" t="n">
        <v>45642.55074074074</v>
      </c>
      <c r="C286" s="1" t="n">
        <v>45895</v>
      </c>
      <c r="D286" t="inlineStr">
        <is>
          <t>NORRBOTTENS LÄN</t>
        </is>
      </c>
      <c r="E286" t="inlineStr">
        <is>
          <t>LULEÅ</t>
        </is>
      </c>
      <c r="G286" t="n">
        <v>12.8</v>
      </c>
      <c r="H286" t="n">
        <v>1</v>
      </c>
      <c r="I286" t="n">
        <v>0</v>
      </c>
      <c r="J286" t="n">
        <v>2</v>
      </c>
      <c r="K286" t="n">
        <v>0</v>
      </c>
      <c r="L286" t="n">
        <v>0</v>
      </c>
      <c r="M286" t="n">
        <v>0</v>
      </c>
      <c r="N286" t="n">
        <v>0</v>
      </c>
      <c r="O286" t="n">
        <v>2</v>
      </c>
      <c r="P286" t="n">
        <v>0</v>
      </c>
      <c r="Q286" t="n">
        <v>3</v>
      </c>
      <c r="R286" s="2" t="inlineStr">
        <is>
          <t>Garnlav
Granticka
Revlummer</t>
        </is>
      </c>
      <c r="S286">
        <f>HYPERLINK("https://klasma.github.io/Logging_2580/artfynd/A 60091-2024 artfynd.xlsx", "A 60091-2024")</f>
        <v/>
      </c>
      <c r="T286">
        <f>HYPERLINK("https://klasma.github.io/Logging_2580/kartor/A 60091-2024 karta.png", "A 60091-2024")</f>
        <v/>
      </c>
      <c r="V286">
        <f>HYPERLINK("https://klasma.github.io/Logging_2580/klagomål/A 60091-2024 FSC-klagomål.docx", "A 60091-2024")</f>
        <v/>
      </c>
      <c r="W286">
        <f>HYPERLINK("https://klasma.github.io/Logging_2580/klagomålsmail/A 60091-2024 FSC-klagomål mail.docx", "A 60091-2024")</f>
        <v/>
      </c>
      <c r="X286">
        <f>HYPERLINK("https://klasma.github.io/Logging_2580/tillsyn/A 60091-2024 tillsynsbegäran.docx", "A 60091-2024")</f>
        <v/>
      </c>
      <c r="Y286">
        <f>HYPERLINK("https://klasma.github.io/Logging_2580/tillsynsmail/A 60091-2024 tillsynsbegäran mail.docx", "A 60091-2024")</f>
        <v/>
      </c>
    </row>
    <row r="287" ht="15" customHeight="1">
      <c r="A287" t="inlineStr">
        <is>
          <t>A 36451-2024</t>
        </is>
      </c>
      <c r="B287" s="1" t="n">
        <v>45537</v>
      </c>
      <c r="C287" s="1" t="n">
        <v>45895</v>
      </c>
      <c r="D287" t="inlineStr">
        <is>
          <t>NORRBOTTENS LÄN</t>
        </is>
      </c>
      <c r="E287" t="inlineStr">
        <is>
          <t>ARVIDSJAUR</t>
        </is>
      </c>
      <c r="F287" t="inlineStr">
        <is>
          <t>Sveaskog</t>
        </is>
      </c>
      <c r="G287" t="n">
        <v>19.2</v>
      </c>
      <c r="H287" t="n">
        <v>0</v>
      </c>
      <c r="I287" t="n">
        <v>1</v>
      </c>
      <c r="J287" t="n">
        <v>2</v>
      </c>
      <c r="K287" t="n">
        <v>0</v>
      </c>
      <c r="L287" t="n">
        <v>0</v>
      </c>
      <c r="M287" t="n">
        <v>0</v>
      </c>
      <c r="N287" t="n">
        <v>0</v>
      </c>
      <c r="O287" t="n">
        <v>2</v>
      </c>
      <c r="P287" t="n">
        <v>0</v>
      </c>
      <c r="Q287" t="n">
        <v>3</v>
      </c>
      <c r="R287" s="2" t="inlineStr">
        <is>
          <t>Blå taggsvamp
Orange taggsvamp
Dropptaggsvamp</t>
        </is>
      </c>
      <c r="S287">
        <f>HYPERLINK("https://klasma.github.io/Logging_2505/artfynd/A 36451-2024 artfynd.xlsx", "A 36451-2024")</f>
        <v/>
      </c>
      <c r="T287">
        <f>HYPERLINK("https://klasma.github.io/Logging_2505/kartor/A 36451-2024 karta.png", "A 36451-2024")</f>
        <v/>
      </c>
      <c r="V287">
        <f>HYPERLINK("https://klasma.github.io/Logging_2505/klagomål/A 36451-2024 FSC-klagomål.docx", "A 36451-2024")</f>
        <v/>
      </c>
      <c r="W287">
        <f>HYPERLINK("https://klasma.github.io/Logging_2505/klagomålsmail/A 36451-2024 FSC-klagomål mail.docx", "A 36451-2024")</f>
        <v/>
      </c>
      <c r="X287">
        <f>HYPERLINK("https://klasma.github.io/Logging_2505/tillsyn/A 36451-2024 tillsynsbegäran.docx", "A 36451-2024")</f>
        <v/>
      </c>
      <c r="Y287">
        <f>HYPERLINK("https://klasma.github.io/Logging_2505/tillsynsmail/A 36451-2024 tillsynsbegäran mail.docx", "A 36451-2024")</f>
        <v/>
      </c>
    </row>
    <row r="288" ht="15" customHeight="1">
      <c r="A288" t="inlineStr">
        <is>
          <t>A 727-2025</t>
        </is>
      </c>
      <c r="B288" s="1" t="n">
        <v>45664</v>
      </c>
      <c r="C288" s="1" t="n">
        <v>45895</v>
      </c>
      <c r="D288" t="inlineStr">
        <is>
          <t>NORRBOTTENS LÄN</t>
        </is>
      </c>
      <c r="E288" t="inlineStr">
        <is>
          <t>LULEÅ</t>
        </is>
      </c>
      <c r="G288" t="n">
        <v>2.2</v>
      </c>
      <c r="H288" t="n">
        <v>0</v>
      </c>
      <c r="I288" t="n">
        <v>1</v>
      </c>
      <c r="J288" t="n">
        <v>2</v>
      </c>
      <c r="K288" t="n">
        <v>0</v>
      </c>
      <c r="L288" t="n">
        <v>0</v>
      </c>
      <c r="M288" t="n">
        <v>0</v>
      </c>
      <c r="N288" t="n">
        <v>0</v>
      </c>
      <c r="O288" t="n">
        <v>2</v>
      </c>
      <c r="P288" t="n">
        <v>0</v>
      </c>
      <c r="Q288" t="n">
        <v>3</v>
      </c>
      <c r="R288" s="2" t="inlineStr">
        <is>
          <t>Granticka
Lunglav
Skinnlav</t>
        </is>
      </c>
      <c r="S288">
        <f>HYPERLINK("https://klasma.github.io/Logging_2580/artfynd/A 727-2025 artfynd.xlsx", "A 727-2025")</f>
        <v/>
      </c>
      <c r="T288">
        <f>HYPERLINK("https://klasma.github.io/Logging_2580/kartor/A 727-2025 karta.png", "A 727-2025")</f>
        <v/>
      </c>
      <c r="V288">
        <f>HYPERLINK("https://klasma.github.io/Logging_2580/klagomål/A 727-2025 FSC-klagomål.docx", "A 727-2025")</f>
        <v/>
      </c>
      <c r="W288">
        <f>HYPERLINK("https://klasma.github.io/Logging_2580/klagomålsmail/A 727-2025 FSC-klagomål mail.docx", "A 727-2025")</f>
        <v/>
      </c>
      <c r="X288">
        <f>HYPERLINK("https://klasma.github.io/Logging_2580/tillsyn/A 727-2025 tillsynsbegäran.docx", "A 727-2025")</f>
        <v/>
      </c>
      <c r="Y288">
        <f>HYPERLINK("https://klasma.github.io/Logging_2580/tillsynsmail/A 727-2025 tillsynsbegäran mail.docx", "A 727-2025")</f>
        <v/>
      </c>
    </row>
    <row r="289" ht="15" customHeight="1">
      <c r="A289" t="inlineStr">
        <is>
          <t>A 31280-2025</t>
        </is>
      </c>
      <c r="B289" s="1" t="n">
        <v>45833.34586805556</v>
      </c>
      <c r="C289" s="1" t="n">
        <v>45895</v>
      </c>
      <c r="D289" t="inlineStr">
        <is>
          <t>NORRBOTTENS LÄN</t>
        </is>
      </c>
      <c r="E289" t="inlineStr">
        <is>
          <t>ÖVERTORNEÅ</t>
        </is>
      </c>
      <c r="F289" t="inlineStr">
        <is>
          <t>Sveaskog</t>
        </is>
      </c>
      <c r="G289" t="n">
        <v>24.6</v>
      </c>
      <c r="H289" t="n">
        <v>1</v>
      </c>
      <c r="I289" t="n">
        <v>0</v>
      </c>
      <c r="J289" t="n">
        <v>2</v>
      </c>
      <c r="K289" t="n">
        <v>0</v>
      </c>
      <c r="L289" t="n">
        <v>0</v>
      </c>
      <c r="M289" t="n">
        <v>0</v>
      </c>
      <c r="N289" t="n">
        <v>0</v>
      </c>
      <c r="O289" t="n">
        <v>2</v>
      </c>
      <c r="P289" t="n">
        <v>0</v>
      </c>
      <c r="Q289" t="n">
        <v>3</v>
      </c>
      <c r="R289" s="2" t="inlineStr">
        <is>
          <t>Garnlav
Lunglav
Fläcknycklar</t>
        </is>
      </c>
      <c r="S289">
        <f>HYPERLINK("https://klasma.github.io/Logging_2518/artfynd/A 31280-2025 artfynd.xlsx", "A 31280-2025")</f>
        <v/>
      </c>
      <c r="T289">
        <f>HYPERLINK("https://klasma.github.io/Logging_2518/kartor/A 31280-2025 karta.png", "A 31280-2025")</f>
        <v/>
      </c>
      <c r="V289">
        <f>HYPERLINK("https://klasma.github.io/Logging_2518/klagomål/A 31280-2025 FSC-klagomål.docx", "A 31280-2025")</f>
        <v/>
      </c>
      <c r="W289">
        <f>HYPERLINK("https://klasma.github.io/Logging_2518/klagomålsmail/A 31280-2025 FSC-klagomål mail.docx", "A 31280-2025")</f>
        <v/>
      </c>
      <c r="X289">
        <f>HYPERLINK("https://klasma.github.io/Logging_2518/tillsyn/A 31280-2025 tillsynsbegäran.docx", "A 31280-2025")</f>
        <v/>
      </c>
      <c r="Y289">
        <f>HYPERLINK("https://klasma.github.io/Logging_2518/tillsynsmail/A 31280-2025 tillsynsbegäran mail.docx", "A 31280-2025")</f>
        <v/>
      </c>
    </row>
    <row r="290" ht="15" customHeight="1">
      <c r="A290" t="inlineStr">
        <is>
          <t>A 64289-2021</t>
        </is>
      </c>
      <c r="B290" s="1" t="n">
        <v>44510</v>
      </c>
      <c r="C290" s="1" t="n">
        <v>45895</v>
      </c>
      <c r="D290" t="inlineStr">
        <is>
          <t>NORRBOTTENS LÄN</t>
        </is>
      </c>
      <c r="E290" t="inlineStr">
        <is>
          <t>KALIX</t>
        </is>
      </c>
      <c r="F290" t="inlineStr">
        <is>
          <t>Sveaskog</t>
        </is>
      </c>
      <c r="G290" t="n">
        <v>18.9</v>
      </c>
      <c r="H290" t="n">
        <v>3</v>
      </c>
      <c r="I290" t="n">
        <v>0</v>
      </c>
      <c r="J290" t="n">
        <v>2</v>
      </c>
      <c r="K290" t="n">
        <v>0</v>
      </c>
      <c r="L290" t="n">
        <v>1</v>
      </c>
      <c r="M290" t="n">
        <v>0</v>
      </c>
      <c r="N290" t="n">
        <v>0</v>
      </c>
      <c r="O290" t="n">
        <v>3</v>
      </c>
      <c r="P290" t="n">
        <v>1</v>
      </c>
      <c r="Q290" t="n">
        <v>3</v>
      </c>
      <c r="R290" s="2" t="inlineStr">
        <is>
          <t>Grönfink
Spillkråka
Talltita</t>
        </is>
      </c>
      <c r="S290">
        <f>HYPERLINK("https://klasma.github.io/Logging_2514/artfynd/A 64289-2021 artfynd.xlsx", "A 64289-2021")</f>
        <v/>
      </c>
      <c r="T290">
        <f>HYPERLINK("https://klasma.github.io/Logging_2514/kartor/A 64289-2021 karta.png", "A 64289-2021")</f>
        <v/>
      </c>
      <c r="V290">
        <f>HYPERLINK("https://klasma.github.io/Logging_2514/klagomål/A 64289-2021 FSC-klagomål.docx", "A 64289-2021")</f>
        <v/>
      </c>
      <c r="W290">
        <f>HYPERLINK("https://klasma.github.io/Logging_2514/klagomålsmail/A 64289-2021 FSC-klagomål mail.docx", "A 64289-2021")</f>
        <v/>
      </c>
      <c r="X290">
        <f>HYPERLINK("https://klasma.github.io/Logging_2514/tillsyn/A 64289-2021 tillsynsbegäran.docx", "A 64289-2021")</f>
        <v/>
      </c>
      <c r="Y290">
        <f>HYPERLINK("https://klasma.github.io/Logging_2514/tillsynsmail/A 64289-2021 tillsynsbegäran mail.docx", "A 64289-2021")</f>
        <v/>
      </c>
      <c r="Z290">
        <f>HYPERLINK("https://klasma.github.io/Logging_2514/fåglar/A 64289-2021 prioriterade fågelarter.docx", "A 64289-2021")</f>
        <v/>
      </c>
    </row>
    <row r="291" ht="15" customHeight="1">
      <c r="A291" t="inlineStr">
        <is>
          <t>A 36241-2023</t>
        </is>
      </c>
      <c r="B291" s="1" t="n">
        <v>45150.9028125</v>
      </c>
      <c r="C291" s="1" t="n">
        <v>45895</v>
      </c>
      <c r="D291" t="inlineStr">
        <is>
          <t>NORRBOTTENS LÄN</t>
        </is>
      </c>
      <c r="E291" t="inlineStr">
        <is>
          <t>PAJALA</t>
        </is>
      </c>
      <c r="G291" t="n">
        <v>19.6</v>
      </c>
      <c r="H291" t="n">
        <v>2</v>
      </c>
      <c r="I291" t="n">
        <v>0</v>
      </c>
      <c r="J291" t="n">
        <v>2</v>
      </c>
      <c r="K291" t="n">
        <v>0</v>
      </c>
      <c r="L291" t="n">
        <v>0</v>
      </c>
      <c r="M291" t="n">
        <v>0</v>
      </c>
      <c r="N291" t="n">
        <v>0</v>
      </c>
      <c r="O291" t="n">
        <v>2</v>
      </c>
      <c r="P291" t="n">
        <v>0</v>
      </c>
      <c r="Q291" t="n">
        <v>3</v>
      </c>
      <c r="R291" s="2" t="inlineStr">
        <is>
          <t>Garnlav
Tretåig hackspett
Tjäder</t>
        </is>
      </c>
      <c r="S291">
        <f>HYPERLINK("https://klasma.github.io/Logging_2521/artfynd/A 36241-2023 artfynd.xlsx", "A 36241-2023")</f>
        <v/>
      </c>
      <c r="T291">
        <f>HYPERLINK("https://klasma.github.io/Logging_2521/kartor/A 36241-2023 karta.png", "A 36241-2023")</f>
        <v/>
      </c>
      <c r="V291">
        <f>HYPERLINK("https://klasma.github.io/Logging_2521/klagomål/A 36241-2023 FSC-klagomål.docx", "A 36241-2023")</f>
        <v/>
      </c>
      <c r="W291">
        <f>HYPERLINK("https://klasma.github.io/Logging_2521/klagomålsmail/A 36241-2023 FSC-klagomål mail.docx", "A 36241-2023")</f>
        <v/>
      </c>
      <c r="X291">
        <f>HYPERLINK("https://klasma.github.io/Logging_2521/tillsyn/A 36241-2023 tillsynsbegäran.docx", "A 36241-2023")</f>
        <v/>
      </c>
      <c r="Y291">
        <f>HYPERLINK("https://klasma.github.io/Logging_2521/tillsynsmail/A 36241-2023 tillsynsbegäran mail.docx", "A 36241-2023")</f>
        <v/>
      </c>
      <c r="Z291">
        <f>HYPERLINK("https://klasma.github.io/Logging_2521/fåglar/A 36241-2023 prioriterade fågelarter.docx", "A 36241-2023")</f>
        <v/>
      </c>
    </row>
    <row r="292" ht="15" customHeight="1">
      <c r="A292" t="inlineStr">
        <is>
          <t>A 45031-2023</t>
        </is>
      </c>
      <c r="B292" s="1" t="n">
        <v>45190</v>
      </c>
      <c r="C292" s="1" t="n">
        <v>45895</v>
      </c>
      <c r="D292" t="inlineStr">
        <is>
          <t>NORRBOTTENS LÄN</t>
        </is>
      </c>
      <c r="E292" t="inlineStr">
        <is>
          <t>ARJEPLOG</t>
        </is>
      </c>
      <c r="F292" t="inlineStr">
        <is>
          <t>Övriga statliga verk och myndigheter</t>
        </is>
      </c>
      <c r="G292" t="n">
        <v>10.3</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45031-2023 artfynd.xlsx", "A 45031-2023")</f>
        <v/>
      </c>
      <c r="T292">
        <f>HYPERLINK("https://klasma.github.io/Logging_2506/kartor/A 45031-2023 karta.png", "A 45031-2023")</f>
        <v/>
      </c>
      <c r="V292">
        <f>HYPERLINK("https://klasma.github.io/Logging_2506/klagomål/A 45031-2023 FSC-klagomål.docx", "A 45031-2023")</f>
        <v/>
      </c>
      <c r="W292">
        <f>HYPERLINK("https://klasma.github.io/Logging_2506/klagomålsmail/A 45031-2023 FSC-klagomål mail.docx", "A 45031-2023")</f>
        <v/>
      </c>
      <c r="X292">
        <f>HYPERLINK("https://klasma.github.io/Logging_2506/tillsyn/A 45031-2023 tillsynsbegäran.docx", "A 45031-2023")</f>
        <v/>
      </c>
      <c r="Y292">
        <f>HYPERLINK("https://klasma.github.io/Logging_2506/tillsynsmail/A 45031-2023 tillsynsbegäran mail.docx", "A 45031-2023")</f>
        <v/>
      </c>
    </row>
    <row r="293" ht="15" customHeight="1">
      <c r="A293" t="inlineStr">
        <is>
          <t>A 33229-2025</t>
        </is>
      </c>
      <c r="B293" s="1" t="n">
        <v>45840</v>
      </c>
      <c r="C293" s="1" t="n">
        <v>45895</v>
      </c>
      <c r="D293" t="inlineStr">
        <is>
          <t>NORRBOTTENS LÄN</t>
        </is>
      </c>
      <c r="E293" t="inlineStr">
        <is>
          <t>PAJALA</t>
        </is>
      </c>
      <c r="F293" t="inlineStr">
        <is>
          <t>Allmännings- och besparingsskogar</t>
        </is>
      </c>
      <c r="G293" t="n">
        <v>17.2</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HYPERLINK("https://klasma.github.io/Logging_2521/artfynd/A 33229-2025 artfynd.xlsx", "A 33229-2025")</f>
        <v/>
      </c>
      <c r="T293">
        <f>HYPERLINK("https://klasma.github.io/Logging_2521/kartor/A 33229-2025 karta.png", "A 33229-2025")</f>
        <v/>
      </c>
      <c r="V293">
        <f>HYPERLINK("https://klasma.github.io/Logging_2521/klagomål/A 33229-2025 FSC-klagomål.docx", "A 33229-2025")</f>
        <v/>
      </c>
      <c r="W293">
        <f>HYPERLINK("https://klasma.github.io/Logging_2521/klagomålsmail/A 33229-2025 FSC-klagomål mail.docx", "A 33229-2025")</f>
        <v/>
      </c>
      <c r="X293">
        <f>HYPERLINK("https://klasma.github.io/Logging_2521/tillsyn/A 33229-2025 tillsynsbegäran.docx", "A 33229-2025")</f>
        <v/>
      </c>
      <c r="Y293">
        <f>HYPERLINK("https://klasma.github.io/Logging_2521/tillsynsmail/A 33229-2025 tillsynsbegäran mail.docx", "A 33229-2025")</f>
        <v/>
      </c>
      <c r="Z293">
        <f>HYPERLINK("https://klasma.github.io/Logging_2521/fåglar/A 33229-2025 prioriterade fågelarter.docx", "A 33229-2025")</f>
        <v/>
      </c>
    </row>
    <row r="294" ht="15" customHeight="1">
      <c r="A294" t="inlineStr">
        <is>
          <t>A 60837-2023</t>
        </is>
      </c>
      <c r="B294" s="1" t="n">
        <v>45260</v>
      </c>
      <c r="C294" s="1" t="n">
        <v>45895</v>
      </c>
      <c r="D294" t="inlineStr">
        <is>
          <t>NORRBOTTENS LÄN</t>
        </is>
      </c>
      <c r="E294" t="inlineStr">
        <is>
          <t>PITEÅ</t>
        </is>
      </c>
      <c r="G294" t="n">
        <v>6.4</v>
      </c>
      <c r="H294" t="n">
        <v>1</v>
      </c>
      <c r="I294" t="n">
        <v>1</v>
      </c>
      <c r="J294" t="n">
        <v>1</v>
      </c>
      <c r="K294" t="n">
        <v>1</v>
      </c>
      <c r="L294" t="n">
        <v>0</v>
      </c>
      <c r="M294" t="n">
        <v>0</v>
      </c>
      <c r="N294" t="n">
        <v>0</v>
      </c>
      <c r="O294" t="n">
        <v>2</v>
      </c>
      <c r="P294" t="n">
        <v>1</v>
      </c>
      <c r="Q294" t="n">
        <v>3</v>
      </c>
      <c r="R294" s="2" t="inlineStr">
        <is>
          <t>Knärot
Orange taggsvamp
Dropptaggsvamp</t>
        </is>
      </c>
      <c r="S294">
        <f>HYPERLINK("https://klasma.github.io/Logging_2581/artfynd/A 60837-2023 artfynd.xlsx", "A 60837-2023")</f>
        <v/>
      </c>
      <c r="T294">
        <f>HYPERLINK("https://klasma.github.io/Logging_2581/kartor/A 60837-2023 karta.png", "A 60837-2023")</f>
        <v/>
      </c>
      <c r="U294">
        <f>HYPERLINK("https://klasma.github.io/Logging_2581/knärot/A 60837-2023 karta knärot.png", "A 60837-2023")</f>
        <v/>
      </c>
      <c r="V294">
        <f>HYPERLINK("https://klasma.github.io/Logging_2581/klagomål/A 60837-2023 FSC-klagomål.docx", "A 60837-2023")</f>
        <v/>
      </c>
      <c r="W294">
        <f>HYPERLINK("https://klasma.github.io/Logging_2581/klagomålsmail/A 60837-2023 FSC-klagomål mail.docx", "A 60837-2023")</f>
        <v/>
      </c>
      <c r="X294">
        <f>HYPERLINK("https://klasma.github.io/Logging_2581/tillsyn/A 60837-2023 tillsynsbegäran.docx", "A 60837-2023")</f>
        <v/>
      </c>
      <c r="Y294">
        <f>HYPERLINK("https://klasma.github.io/Logging_2581/tillsynsmail/A 60837-2023 tillsynsbegäran mail.docx", "A 60837-2023")</f>
        <v/>
      </c>
    </row>
    <row r="295" ht="15" customHeight="1">
      <c r="A295" t="inlineStr">
        <is>
          <t>A 34304-2025</t>
        </is>
      </c>
      <c r="B295" s="1" t="n">
        <v>45846.35324074074</v>
      </c>
      <c r="C295" s="1" t="n">
        <v>45895</v>
      </c>
      <c r="D295" t="inlineStr">
        <is>
          <t>NORRBOTTENS LÄN</t>
        </is>
      </c>
      <c r="E295" t="inlineStr">
        <is>
          <t>ÄLVSBYN</t>
        </is>
      </c>
      <c r="F295" t="inlineStr">
        <is>
          <t>Sveaskog</t>
        </is>
      </c>
      <c r="G295" t="n">
        <v>35.7</v>
      </c>
      <c r="H295" t="n">
        <v>2</v>
      </c>
      <c r="I295" t="n">
        <v>0</v>
      </c>
      <c r="J295" t="n">
        <v>1</v>
      </c>
      <c r="K295" t="n">
        <v>0</v>
      </c>
      <c r="L295" t="n">
        <v>0</v>
      </c>
      <c r="M295" t="n">
        <v>0</v>
      </c>
      <c r="N295" t="n">
        <v>0</v>
      </c>
      <c r="O295" t="n">
        <v>1</v>
      </c>
      <c r="P295" t="n">
        <v>0</v>
      </c>
      <c r="Q295" t="n">
        <v>3</v>
      </c>
      <c r="R295" s="2" t="inlineStr">
        <is>
          <t>Orange taggsvamp
Fläcknycklar
Revlummer</t>
        </is>
      </c>
      <c r="S295">
        <f>HYPERLINK("https://klasma.github.io/Logging_2560/artfynd/A 34304-2025 artfynd.xlsx", "A 34304-2025")</f>
        <v/>
      </c>
      <c r="T295">
        <f>HYPERLINK("https://klasma.github.io/Logging_2560/kartor/A 34304-2025 karta.png", "A 34304-2025")</f>
        <v/>
      </c>
      <c r="V295">
        <f>HYPERLINK("https://klasma.github.io/Logging_2560/klagomål/A 34304-2025 FSC-klagomål.docx", "A 34304-2025")</f>
        <v/>
      </c>
      <c r="W295">
        <f>HYPERLINK("https://klasma.github.io/Logging_2560/klagomålsmail/A 34304-2025 FSC-klagomål mail.docx", "A 34304-2025")</f>
        <v/>
      </c>
      <c r="X295">
        <f>HYPERLINK("https://klasma.github.io/Logging_2560/tillsyn/A 34304-2025 tillsynsbegäran.docx", "A 34304-2025")</f>
        <v/>
      </c>
      <c r="Y295">
        <f>HYPERLINK("https://klasma.github.io/Logging_2560/tillsynsmail/A 34304-2025 tillsynsbegäran mail.docx", "A 34304-2025")</f>
        <v/>
      </c>
    </row>
    <row r="296" ht="15" customHeight="1">
      <c r="A296" t="inlineStr">
        <is>
          <t>A 33994-2023</t>
        </is>
      </c>
      <c r="B296" s="1" t="n">
        <v>45134</v>
      </c>
      <c r="C296" s="1" t="n">
        <v>45895</v>
      </c>
      <c r="D296" t="inlineStr">
        <is>
          <t>NORRBOTTENS LÄN</t>
        </is>
      </c>
      <c r="E296" t="inlineStr">
        <is>
          <t>JOKKMOKK</t>
        </is>
      </c>
      <c r="G296" t="n">
        <v>9.1</v>
      </c>
      <c r="H296" t="n">
        <v>1</v>
      </c>
      <c r="I296" t="n">
        <v>1</v>
      </c>
      <c r="J296" t="n">
        <v>1</v>
      </c>
      <c r="K296" t="n">
        <v>1</v>
      </c>
      <c r="L296" t="n">
        <v>0</v>
      </c>
      <c r="M296" t="n">
        <v>0</v>
      </c>
      <c r="N296" t="n">
        <v>0</v>
      </c>
      <c r="O296" t="n">
        <v>2</v>
      </c>
      <c r="P296" t="n">
        <v>1</v>
      </c>
      <c r="Q296" t="n">
        <v>3</v>
      </c>
      <c r="R296" s="2" t="inlineStr">
        <is>
          <t>Doftticka
Lunglav
Skinnlav</t>
        </is>
      </c>
      <c r="S296">
        <f>HYPERLINK("https://klasma.github.io/Logging_2510/artfynd/A 33994-2023 artfynd.xlsx", "A 33994-2023")</f>
        <v/>
      </c>
      <c r="T296">
        <f>HYPERLINK("https://klasma.github.io/Logging_2510/kartor/A 33994-2023 karta.png", "A 33994-2023")</f>
        <v/>
      </c>
      <c r="V296">
        <f>HYPERLINK("https://klasma.github.io/Logging_2510/klagomål/A 33994-2023 FSC-klagomål.docx", "A 33994-2023")</f>
        <v/>
      </c>
      <c r="W296">
        <f>HYPERLINK("https://klasma.github.io/Logging_2510/klagomålsmail/A 33994-2023 FSC-klagomål mail.docx", "A 33994-2023")</f>
        <v/>
      </c>
      <c r="X296">
        <f>HYPERLINK("https://klasma.github.io/Logging_2510/tillsyn/A 33994-2023 tillsynsbegäran.docx", "A 33994-2023")</f>
        <v/>
      </c>
      <c r="Y296">
        <f>HYPERLINK("https://klasma.github.io/Logging_2510/tillsynsmail/A 33994-2023 tillsynsbegäran mail.docx", "A 33994-2023")</f>
        <v/>
      </c>
    </row>
    <row r="297" ht="15" customHeight="1">
      <c r="A297" t="inlineStr">
        <is>
          <t>A 39868-2025</t>
        </is>
      </c>
      <c r="B297" s="1" t="n">
        <v>45893</v>
      </c>
      <c r="C297" s="1" t="n">
        <v>45895</v>
      </c>
      <c r="D297" t="inlineStr">
        <is>
          <t>NORRBOTTENS LÄN</t>
        </is>
      </c>
      <c r="E297" t="inlineStr">
        <is>
          <t>BODEN</t>
        </is>
      </c>
      <c r="F297" t="inlineStr">
        <is>
          <t>Övriga statliga verk och myndigheter</t>
        </is>
      </c>
      <c r="G297" t="n">
        <v>3.1</v>
      </c>
      <c r="H297" t="n">
        <v>3</v>
      </c>
      <c r="I297" t="n">
        <v>0</v>
      </c>
      <c r="J297" t="n">
        <v>3</v>
      </c>
      <c r="K297" t="n">
        <v>0</v>
      </c>
      <c r="L297" t="n">
        <v>0</v>
      </c>
      <c r="M297" t="n">
        <v>0</v>
      </c>
      <c r="N297" t="n">
        <v>0</v>
      </c>
      <c r="O297" t="n">
        <v>3</v>
      </c>
      <c r="P297" t="n">
        <v>0</v>
      </c>
      <c r="Q297" t="n">
        <v>3</v>
      </c>
      <c r="R297" s="2" t="inlineStr">
        <is>
          <t>Järpe
Spillkråka
Talltita</t>
        </is>
      </c>
      <c r="S297">
        <f>HYPERLINK("https://klasma.github.io/Logging_2582/artfynd/A 39868-2025 artfynd.xlsx", "A 39868-2025")</f>
        <v/>
      </c>
      <c r="T297">
        <f>HYPERLINK("https://klasma.github.io/Logging_2582/kartor/A 39868-2025 karta.png", "A 39868-2025")</f>
        <v/>
      </c>
      <c r="V297">
        <f>HYPERLINK("https://klasma.github.io/Logging_2582/klagomål/A 39868-2025 FSC-klagomål.docx", "A 39868-2025")</f>
        <v/>
      </c>
      <c r="W297">
        <f>HYPERLINK("https://klasma.github.io/Logging_2582/klagomålsmail/A 39868-2025 FSC-klagomål mail.docx", "A 39868-2025")</f>
        <v/>
      </c>
      <c r="X297">
        <f>HYPERLINK("https://klasma.github.io/Logging_2582/tillsyn/A 39868-2025 tillsynsbegäran.docx", "A 39868-2025")</f>
        <v/>
      </c>
      <c r="Y297">
        <f>HYPERLINK("https://klasma.github.io/Logging_2582/tillsynsmail/A 39868-2025 tillsynsbegäran mail.docx", "A 39868-2025")</f>
        <v/>
      </c>
      <c r="Z297">
        <f>HYPERLINK("https://klasma.github.io/Logging_2582/fåglar/A 39868-2025 prioriterade fågelarter.docx", "A 39868-2025")</f>
        <v/>
      </c>
    </row>
    <row r="298" ht="15" customHeight="1">
      <c r="A298" t="inlineStr">
        <is>
          <t>A 10525-2024</t>
        </is>
      </c>
      <c r="B298" s="1" t="n">
        <v>45366</v>
      </c>
      <c r="C298" s="1" t="n">
        <v>45895</v>
      </c>
      <c r="D298" t="inlineStr">
        <is>
          <t>NORRBOTTENS LÄN</t>
        </is>
      </c>
      <c r="E298" t="inlineStr">
        <is>
          <t>ARJEPLOG</t>
        </is>
      </c>
      <c r="G298" t="n">
        <v>15.5</v>
      </c>
      <c r="H298" t="n">
        <v>2</v>
      </c>
      <c r="I298" t="n">
        <v>3</v>
      </c>
      <c r="J298" t="n">
        <v>0</v>
      </c>
      <c r="K298" t="n">
        <v>0</v>
      </c>
      <c r="L298" t="n">
        <v>0</v>
      </c>
      <c r="M298" t="n">
        <v>0</v>
      </c>
      <c r="N298" t="n">
        <v>0</v>
      </c>
      <c r="O298" t="n">
        <v>0</v>
      </c>
      <c r="P298" t="n">
        <v>0</v>
      </c>
      <c r="Q298" t="n">
        <v>3</v>
      </c>
      <c r="R298" s="2" t="inlineStr">
        <is>
          <t>Korallrot
Spindelblomster
Ögonpyrola</t>
        </is>
      </c>
      <c r="S298">
        <f>HYPERLINK("https://klasma.github.io/Logging_2506/artfynd/A 10525-2024 artfynd.xlsx", "A 10525-2024")</f>
        <v/>
      </c>
      <c r="T298">
        <f>HYPERLINK("https://klasma.github.io/Logging_2506/kartor/A 10525-2024 karta.png", "A 10525-2024")</f>
        <v/>
      </c>
      <c r="V298">
        <f>HYPERLINK("https://klasma.github.io/Logging_2506/klagomål/A 10525-2024 FSC-klagomål.docx", "A 10525-2024")</f>
        <v/>
      </c>
      <c r="W298">
        <f>HYPERLINK("https://klasma.github.io/Logging_2506/klagomålsmail/A 10525-2024 FSC-klagomål mail.docx", "A 10525-2024")</f>
        <v/>
      </c>
      <c r="X298">
        <f>HYPERLINK("https://klasma.github.io/Logging_2506/tillsyn/A 10525-2024 tillsynsbegäran.docx", "A 10525-2024")</f>
        <v/>
      </c>
      <c r="Y298">
        <f>HYPERLINK("https://klasma.github.io/Logging_2506/tillsynsmail/A 10525-2024 tillsynsbegäran mail.docx", "A 10525-2024")</f>
        <v/>
      </c>
    </row>
    <row r="299" ht="15" customHeight="1">
      <c r="A299" t="inlineStr">
        <is>
          <t>A 40199-2025</t>
        </is>
      </c>
      <c r="B299" s="1" t="n">
        <v>45894.66686342593</v>
      </c>
      <c r="C299" s="1" t="n">
        <v>45895</v>
      </c>
      <c r="D299" t="inlineStr">
        <is>
          <t>NORRBOTTENS LÄN</t>
        </is>
      </c>
      <c r="E299" t="inlineStr">
        <is>
          <t>ÖVERKALIX</t>
        </is>
      </c>
      <c r="F299" t="inlineStr">
        <is>
          <t>Sveaskog</t>
        </is>
      </c>
      <c r="G299" t="n">
        <v>2.7</v>
      </c>
      <c r="H299" t="n">
        <v>2</v>
      </c>
      <c r="I299" t="n">
        <v>1</v>
      </c>
      <c r="J299" t="n">
        <v>0</v>
      </c>
      <c r="K299" t="n">
        <v>1</v>
      </c>
      <c r="L299" t="n">
        <v>0</v>
      </c>
      <c r="M299" t="n">
        <v>0</v>
      </c>
      <c r="N299" t="n">
        <v>0</v>
      </c>
      <c r="O299" t="n">
        <v>1</v>
      </c>
      <c r="P299" t="n">
        <v>1</v>
      </c>
      <c r="Q299" t="n">
        <v>3</v>
      </c>
      <c r="R299" s="2" t="inlineStr">
        <is>
          <t>Knärot
Stuplav
Fläcknycklar</t>
        </is>
      </c>
      <c r="S299">
        <f>HYPERLINK("https://klasma.github.io/Logging_2513/artfynd/A 40199-2025 artfynd.xlsx", "A 40199-2025")</f>
        <v/>
      </c>
      <c r="T299">
        <f>HYPERLINK("https://klasma.github.io/Logging_2513/kartor/A 40199-2025 karta.png", "A 40199-2025")</f>
        <v/>
      </c>
      <c r="U299">
        <f>HYPERLINK("https://klasma.github.io/Logging_2513/knärot/A 40199-2025 karta knärot.png", "A 40199-2025")</f>
        <v/>
      </c>
      <c r="V299">
        <f>HYPERLINK("https://klasma.github.io/Logging_2513/klagomål/A 40199-2025 FSC-klagomål.docx", "A 40199-2025")</f>
        <v/>
      </c>
      <c r="W299">
        <f>HYPERLINK("https://klasma.github.io/Logging_2513/klagomålsmail/A 40199-2025 FSC-klagomål mail.docx", "A 40199-2025")</f>
        <v/>
      </c>
      <c r="X299">
        <f>HYPERLINK("https://klasma.github.io/Logging_2513/tillsyn/A 40199-2025 tillsynsbegäran.docx", "A 40199-2025")</f>
        <v/>
      </c>
      <c r="Y299">
        <f>HYPERLINK("https://klasma.github.io/Logging_2513/tillsynsmail/A 40199-2025 tillsynsbegäran mail.docx", "A 40199-2025")</f>
        <v/>
      </c>
    </row>
    <row r="300" ht="15" customHeight="1">
      <c r="A300" t="inlineStr">
        <is>
          <t>A 61137-2022</t>
        </is>
      </c>
      <c r="B300" s="1" t="n">
        <v>44915</v>
      </c>
      <c r="C300" s="1" t="n">
        <v>45895</v>
      </c>
      <c r="D300" t="inlineStr">
        <is>
          <t>NORRBOTTENS LÄN</t>
        </is>
      </c>
      <c r="E300" t="inlineStr">
        <is>
          <t>ARVIDSJAUR</t>
        </is>
      </c>
      <c r="F300" t="inlineStr">
        <is>
          <t>Sveaskog</t>
        </is>
      </c>
      <c r="G300" t="n">
        <v>10.5</v>
      </c>
      <c r="H300" t="n">
        <v>1</v>
      </c>
      <c r="I300" t="n">
        <v>1</v>
      </c>
      <c r="J300" t="n">
        <v>1</v>
      </c>
      <c r="K300" t="n">
        <v>0</v>
      </c>
      <c r="L300" t="n">
        <v>0</v>
      </c>
      <c r="M300" t="n">
        <v>0</v>
      </c>
      <c r="N300" t="n">
        <v>0</v>
      </c>
      <c r="O300" t="n">
        <v>1</v>
      </c>
      <c r="P300" t="n">
        <v>0</v>
      </c>
      <c r="Q300" t="n">
        <v>3</v>
      </c>
      <c r="R300" s="2" t="inlineStr">
        <is>
          <t>Sandsyra
Ögonpyrola
Revlummer</t>
        </is>
      </c>
      <c r="S300">
        <f>HYPERLINK("https://klasma.github.io/Logging_2505/artfynd/A 61137-2022 artfynd.xlsx", "A 61137-2022")</f>
        <v/>
      </c>
      <c r="T300">
        <f>HYPERLINK("https://klasma.github.io/Logging_2505/kartor/A 61137-2022 karta.png", "A 61137-2022")</f>
        <v/>
      </c>
      <c r="V300">
        <f>HYPERLINK("https://klasma.github.io/Logging_2505/klagomål/A 61137-2022 FSC-klagomål.docx", "A 61137-2022")</f>
        <v/>
      </c>
      <c r="W300">
        <f>HYPERLINK("https://klasma.github.io/Logging_2505/klagomålsmail/A 61137-2022 FSC-klagomål mail.docx", "A 61137-2022")</f>
        <v/>
      </c>
      <c r="X300">
        <f>HYPERLINK("https://klasma.github.io/Logging_2505/tillsyn/A 61137-2022 tillsynsbegäran.docx", "A 61137-2022")</f>
        <v/>
      </c>
      <c r="Y300">
        <f>HYPERLINK("https://klasma.github.io/Logging_2505/tillsynsmail/A 61137-2022 tillsynsbegäran mail.docx", "A 61137-2022")</f>
        <v/>
      </c>
    </row>
    <row r="301" ht="15" customHeight="1">
      <c r="A301" t="inlineStr">
        <is>
          <t>A 6435-2025</t>
        </is>
      </c>
      <c r="B301" s="1" t="n">
        <v>45699</v>
      </c>
      <c r="C301" s="1" t="n">
        <v>45895</v>
      </c>
      <c r="D301" t="inlineStr">
        <is>
          <t>NORRBOTTENS LÄN</t>
        </is>
      </c>
      <c r="E301" t="inlineStr">
        <is>
          <t>JOKKMOKK</t>
        </is>
      </c>
      <c r="G301" t="n">
        <v>2</v>
      </c>
      <c r="H301" t="n">
        <v>3</v>
      </c>
      <c r="I301" t="n">
        <v>0</v>
      </c>
      <c r="J301" t="n">
        <v>3</v>
      </c>
      <c r="K301" t="n">
        <v>0</v>
      </c>
      <c r="L301" t="n">
        <v>0</v>
      </c>
      <c r="M301" t="n">
        <v>0</v>
      </c>
      <c r="N301" t="n">
        <v>0</v>
      </c>
      <c r="O301" t="n">
        <v>3</v>
      </c>
      <c r="P301" t="n">
        <v>0</v>
      </c>
      <c r="Q301" t="n">
        <v>3</v>
      </c>
      <c r="R301" s="2" t="inlineStr">
        <is>
          <t>Buskskvätta
Talltita
Ärtsångare</t>
        </is>
      </c>
      <c r="S301">
        <f>HYPERLINK("https://klasma.github.io/Logging_2510/artfynd/A 6435-2025 artfynd.xlsx", "A 6435-2025")</f>
        <v/>
      </c>
      <c r="T301">
        <f>HYPERLINK("https://klasma.github.io/Logging_2510/kartor/A 6435-2025 karta.png", "A 6435-2025")</f>
        <v/>
      </c>
      <c r="V301">
        <f>HYPERLINK("https://klasma.github.io/Logging_2510/klagomål/A 6435-2025 FSC-klagomål.docx", "A 6435-2025")</f>
        <v/>
      </c>
      <c r="W301">
        <f>HYPERLINK("https://klasma.github.io/Logging_2510/klagomålsmail/A 6435-2025 FSC-klagomål mail.docx", "A 6435-2025")</f>
        <v/>
      </c>
      <c r="X301">
        <f>HYPERLINK("https://klasma.github.io/Logging_2510/tillsyn/A 6435-2025 tillsynsbegäran.docx", "A 6435-2025")</f>
        <v/>
      </c>
      <c r="Y301">
        <f>HYPERLINK("https://klasma.github.io/Logging_2510/tillsynsmail/A 6435-2025 tillsynsbegäran mail.docx", "A 6435-2025")</f>
        <v/>
      </c>
      <c r="Z301">
        <f>HYPERLINK("https://klasma.github.io/Logging_2510/fåglar/A 6435-2025 prioriterade fågelarter.docx", "A 6435-2025")</f>
        <v/>
      </c>
    </row>
    <row r="302" ht="15" customHeight="1">
      <c r="A302" t="inlineStr">
        <is>
          <t>A 8383-2025</t>
        </is>
      </c>
      <c r="B302" s="1" t="n">
        <v>45709.34450231482</v>
      </c>
      <c r="C302" s="1" t="n">
        <v>45895</v>
      </c>
      <c r="D302" t="inlineStr">
        <is>
          <t>NORRBOTTENS LÄN</t>
        </is>
      </c>
      <c r="E302" t="inlineStr">
        <is>
          <t>BODEN</t>
        </is>
      </c>
      <c r="F302" t="inlineStr">
        <is>
          <t>SCA</t>
        </is>
      </c>
      <c r="G302" t="n">
        <v>6.8</v>
      </c>
      <c r="H302" t="n">
        <v>1</v>
      </c>
      <c r="I302" t="n">
        <v>0</v>
      </c>
      <c r="J302" t="n">
        <v>3</v>
      </c>
      <c r="K302" t="n">
        <v>0</v>
      </c>
      <c r="L302" t="n">
        <v>0</v>
      </c>
      <c r="M302" t="n">
        <v>0</v>
      </c>
      <c r="N302" t="n">
        <v>0</v>
      </c>
      <c r="O302" t="n">
        <v>3</v>
      </c>
      <c r="P302" t="n">
        <v>0</v>
      </c>
      <c r="Q302" t="n">
        <v>3</v>
      </c>
      <c r="R302" s="2" t="inlineStr">
        <is>
          <t>Gammelgransskål
Garnlav
Tretåig hackspett</t>
        </is>
      </c>
      <c r="S302">
        <f>HYPERLINK("https://klasma.github.io/Logging_2582/artfynd/A 8383-2025 artfynd.xlsx", "A 8383-2025")</f>
        <v/>
      </c>
      <c r="T302">
        <f>HYPERLINK("https://klasma.github.io/Logging_2582/kartor/A 8383-2025 karta.png", "A 8383-2025")</f>
        <v/>
      </c>
      <c r="V302">
        <f>HYPERLINK("https://klasma.github.io/Logging_2582/klagomål/A 8383-2025 FSC-klagomål.docx", "A 8383-2025")</f>
        <v/>
      </c>
      <c r="W302">
        <f>HYPERLINK("https://klasma.github.io/Logging_2582/klagomålsmail/A 8383-2025 FSC-klagomål mail.docx", "A 8383-2025")</f>
        <v/>
      </c>
      <c r="X302">
        <f>HYPERLINK("https://klasma.github.io/Logging_2582/tillsyn/A 8383-2025 tillsynsbegäran.docx", "A 8383-2025")</f>
        <v/>
      </c>
      <c r="Y302">
        <f>HYPERLINK("https://klasma.github.io/Logging_2582/tillsynsmail/A 8383-2025 tillsynsbegäran mail.docx", "A 8383-2025")</f>
        <v/>
      </c>
      <c r="Z302">
        <f>HYPERLINK("https://klasma.github.io/Logging_2582/fåglar/A 8383-2025 prioriterade fågelarter.docx", "A 8383-2025")</f>
        <v/>
      </c>
    </row>
    <row r="303" ht="15" customHeight="1">
      <c r="A303" t="inlineStr">
        <is>
          <t>A 25524-2024</t>
        </is>
      </c>
      <c r="B303" s="1" t="n">
        <v>45463</v>
      </c>
      <c r="C303" s="1" t="n">
        <v>45895</v>
      </c>
      <c r="D303" t="inlineStr">
        <is>
          <t>NORRBOTTENS LÄN</t>
        </is>
      </c>
      <c r="E303" t="inlineStr">
        <is>
          <t>LULEÅ</t>
        </is>
      </c>
      <c r="G303" t="n">
        <v>0.4</v>
      </c>
      <c r="H303" t="n">
        <v>0</v>
      </c>
      <c r="I303" t="n">
        <v>2</v>
      </c>
      <c r="J303" t="n">
        <v>1</v>
      </c>
      <c r="K303" t="n">
        <v>0</v>
      </c>
      <c r="L303" t="n">
        <v>0</v>
      </c>
      <c r="M303" t="n">
        <v>0</v>
      </c>
      <c r="N303" t="n">
        <v>0</v>
      </c>
      <c r="O303" t="n">
        <v>1</v>
      </c>
      <c r="P303" t="n">
        <v>0</v>
      </c>
      <c r="Q303" t="n">
        <v>3</v>
      </c>
      <c r="R303" s="2" t="inlineStr">
        <is>
          <t>Ullticka
Svart trolldruva
Vedticka</t>
        </is>
      </c>
      <c r="S303">
        <f>HYPERLINK("https://klasma.github.io/Logging_2580/artfynd/A 25524-2024 artfynd.xlsx", "A 25524-2024")</f>
        <v/>
      </c>
      <c r="T303">
        <f>HYPERLINK("https://klasma.github.io/Logging_2580/kartor/A 25524-2024 karta.png", "A 25524-2024")</f>
        <v/>
      </c>
      <c r="V303">
        <f>HYPERLINK("https://klasma.github.io/Logging_2580/klagomål/A 25524-2024 FSC-klagomål.docx", "A 25524-2024")</f>
        <v/>
      </c>
      <c r="W303">
        <f>HYPERLINK("https://klasma.github.io/Logging_2580/klagomålsmail/A 25524-2024 FSC-klagomål mail.docx", "A 25524-2024")</f>
        <v/>
      </c>
      <c r="X303">
        <f>HYPERLINK("https://klasma.github.io/Logging_2580/tillsyn/A 25524-2024 tillsynsbegäran.docx", "A 25524-2024")</f>
        <v/>
      </c>
      <c r="Y303">
        <f>HYPERLINK("https://klasma.github.io/Logging_2580/tillsynsmail/A 25524-2024 tillsynsbegäran mail.docx", "A 25524-2024")</f>
        <v/>
      </c>
    </row>
    <row r="304" ht="15" customHeight="1">
      <c r="A304" t="inlineStr">
        <is>
          <t>A 42691-2024</t>
        </is>
      </c>
      <c r="B304" s="1" t="n">
        <v>45566</v>
      </c>
      <c r="C304" s="1" t="n">
        <v>45895</v>
      </c>
      <c r="D304" t="inlineStr">
        <is>
          <t>NORRBOTTENS LÄN</t>
        </is>
      </c>
      <c r="E304" t="inlineStr">
        <is>
          <t>GÄLLIVARE</t>
        </is>
      </c>
      <c r="F304" t="inlineStr">
        <is>
          <t>Sveaskog</t>
        </is>
      </c>
      <c r="G304" t="n">
        <v>16.8</v>
      </c>
      <c r="H304" t="n">
        <v>0</v>
      </c>
      <c r="I304" t="n">
        <v>0</v>
      </c>
      <c r="J304" t="n">
        <v>2</v>
      </c>
      <c r="K304" t="n">
        <v>1</v>
      </c>
      <c r="L304" t="n">
        <v>0</v>
      </c>
      <c r="M304" t="n">
        <v>0</v>
      </c>
      <c r="N304" t="n">
        <v>0</v>
      </c>
      <c r="O304" t="n">
        <v>3</v>
      </c>
      <c r="P304" t="n">
        <v>1</v>
      </c>
      <c r="Q304" t="n">
        <v>3</v>
      </c>
      <c r="R304" s="2" t="inlineStr">
        <is>
          <t>Fläckporing
Blå taggsvamp
Vaddporing</t>
        </is>
      </c>
      <c r="S304">
        <f>HYPERLINK("https://klasma.github.io/Logging_2523/artfynd/A 42691-2024 artfynd.xlsx", "A 42691-2024")</f>
        <v/>
      </c>
      <c r="T304">
        <f>HYPERLINK("https://klasma.github.io/Logging_2523/kartor/A 42691-2024 karta.png", "A 42691-2024")</f>
        <v/>
      </c>
      <c r="V304">
        <f>HYPERLINK("https://klasma.github.io/Logging_2523/klagomål/A 42691-2024 FSC-klagomål.docx", "A 42691-2024")</f>
        <v/>
      </c>
      <c r="W304">
        <f>HYPERLINK("https://klasma.github.io/Logging_2523/klagomålsmail/A 42691-2024 FSC-klagomål mail.docx", "A 42691-2024")</f>
        <v/>
      </c>
      <c r="X304">
        <f>HYPERLINK("https://klasma.github.io/Logging_2523/tillsyn/A 42691-2024 tillsynsbegäran.docx", "A 42691-2024")</f>
        <v/>
      </c>
      <c r="Y304">
        <f>HYPERLINK("https://klasma.github.io/Logging_2523/tillsynsmail/A 42691-2024 tillsynsbegäran mail.docx", "A 42691-2024")</f>
        <v/>
      </c>
    </row>
    <row r="305" ht="15" customHeight="1">
      <c r="A305" t="inlineStr">
        <is>
          <t>A 53309-2023</t>
        </is>
      </c>
      <c r="B305" s="1" t="n">
        <v>45229</v>
      </c>
      <c r="C305" s="1" t="n">
        <v>45895</v>
      </c>
      <c r="D305" t="inlineStr">
        <is>
          <t>NORRBOTTENS LÄN</t>
        </is>
      </c>
      <c r="E305" t="inlineStr">
        <is>
          <t>KIRUNA</t>
        </is>
      </c>
      <c r="G305" t="n">
        <v>1.6</v>
      </c>
      <c r="H305" t="n">
        <v>3</v>
      </c>
      <c r="I305" t="n">
        <v>0</v>
      </c>
      <c r="J305" t="n">
        <v>1</v>
      </c>
      <c r="K305" t="n">
        <v>0</v>
      </c>
      <c r="L305" t="n">
        <v>0</v>
      </c>
      <c r="M305" t="n">
        <v>0</v>
      </c>
      <c r="N305" t="n">
        <v>0</v>
      </c>
      <c r="O305" t="n">
        <v>1</v>
      </c>
      <c r="P305" t="n">
        <v>0</v>
      </c>
      <c r="Q305" t="n">
        <v>3</v>
      </c>
      <c r="R305" s="2" t="inlineStr">
        <is>
          <t>Havsörn
Fiskgjuse
Grönsiska</t>
        </is>
      </c>
      <c r="S305">
        <f>HYPERLINK("https://klasma.github.io/Logging_2584/artfynd/A 53309-2023 artfynd.xlsx", "A 53309-2023")</f>
        <v/>
      </c>
      <c r="T305">
        <f>HYPERLINK("https://klasma.github.io/Logging_2584/kartor/A 53309-2023 karta.png", "A 53309-2023")</f>
        <v/>
      </c>
      <c r="V305">
        <f>HYPERLINK("https://klasma.github.io/Logging_2584/klagomål/A 53309-2023 FSC-klagomål.docx", "A 53309-2023")</f>
        <v/>
      </c>
      <c r="W305">
        <f>HYPERLINK("https://klasma.github.io/Logging_2584/klagomålsmail/A 53309-2023 FSC-klagomål mail.docx", "A 53309-2023")</f>
        <v/>
      </c>
      <c r="X305">
        <f>HYPERLINK("https://klasma.github.io/Logging_2584/tillsyn/A 53309-2023 tillsynsbegäran.docx", "A 53309-2023")</f>
        <v/>
      </c>
      <c r="Y305">
        <f>HYPERLINK("https://klasma.github.io/Logging_2584/tillsynsmail/A 53309-2023 tillsynsbegäran mail.docx", "A 53309-2023")</f>
        <v/>
      </c>
      <c r="Z305">
        <f>HYPERLINK("https://klasma.github.io/Logging_2584/fåglar/A 53309-2023 prioriterade fågelarter.docx", "A 53309-2023")</f>
        <v/>
      </c>
    </row>
    <row r="306" ht="15" customHeight="1">
      <c r="A306" t="inlineStr">
        <is>
          <t>A 42855-2020</t>
        </is>
      </c>
      <c r="B306" s="1" t="n">
        <v>44078</v>
      </c>
      <c r="C306" s="1" t="n">
        <v>45895</v>
      </c>
      <c r="D306" t="inlineStr">
        <is>
          <t>NORRBOTTENS LÄN</t>
        </is>
      </c>
      <c r="E306" t="inlineStr">
        <is>
          <t>PAJALA</t>
        </is>
      </c>
      <c r="F306" t="inlineStr">
        <is>
          <t>Sveaskog</t>
        </is>
      </c>
      <c r="G306" t="n">
        <v>2.9</v>
      </c>
      <c r="H306" t="n">
        <v>0</v>
      </c>
      <c r="I306" t="n">
        <v>2</v>
      </c>
      <c r="J306" t="n">
        <v>0</v>
      </c>
      <c r="K306" t="n">
        <v>0</v>
      </c>
      <c r="L306" t="n">
        <v>0</v>
      </c>
      <c r="M306" t="n">
        <v>0</v>
      </c>
      <c r="N306" t="n">
        <v>0</v>
      </c>
      <c r="O306" t="n">
        <v>0</v>
      </c>
      <c r="P306" t="n">
        <v>0</v>
      </c>
      <c r="Q306" t="n">
        <v>2</v>
      </c>
      <c r="R306" s="2" t="inlineStr">
        <is>
          <t>Bårdlav
Stuplav</t>
        </is>
      </c>
      <c r="S306">
        <f>HYPERLINK("https://klasma.github.io/Logging_2521/artfynd/A 42855-2020 artfynd.xlsx", "A 42855-2020")</f>
        <v/>
      </c>
      <c r="T306">
        <f>HYPERLINK("https://klasma.github.io/Logging_2521/kartor/A 42855-2020 karta.png", "A 42855-2020")</f>
        <v/>
      </c>
      <c r="V306">
        <f>HYPERLINK("https://klasma.github.io/Logging_2521/klagomål/A 42855-2020 FSC-klagomål.docx", "A 42855-2020")</f>
        <v/>
      </c>
      <c r="W306">
        <f>HYPERLINK("https://klasma.github.io/Logging_2521/klagomålsmail/A 42855-2020 FSC-klagomål mail.docx", "A 42855-2020")</f>
        <v/>
      </c>
      <c r="X306">
        <f>HYPERLINK("https://klasma.github.io/Logging_2521/tillsyn/A 42855-2020 tillsynsbegäran.docx", "A 42855-2020")</f>
        <v/>
      </c>
      <c r="Y306">
        <f>HYPERLINK("https://klasma.github.io/Logging_2521/tillsynsmail/A 42855-2020 tillsynsbegäran mail.docx", "A 42855-2020")</f>
        <v/>
      </c>
    </row>
    <row r="307" ht="15" customHeight="1">
      <c r="A307" t="inlineStr">
        <is>
          <t>A 14684-2021</t>
        </is>
      </c>
      <c r="B307" s="1" t="n">
        <v>44280</v>
      </c>
      <c r="C307" s="1" t="n">
        <v>45895</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45895</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45895</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45895</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45895</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45895</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45895</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45895</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45895</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15192-2022</t>
        </is>
      </c>
      <c r="B316" s="1" t="n">
        <v>44658.62614583333</v>
      </c>
      <c r="C316" s="1" t="n">
        <v>45895</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42548-2021</t>
        </is>
      </c>
      <c r="B317" s="1" t="n">
        <v>44427</v>
      </c>
      <c r="C317" s="1" t="n">
        <v>45895</v>
      </c>
      <c r="D317" t="inlineStr">
        <is>
          <t>NORRBOTTENS LÄN</t>
        </is>
      </c>
      <c r="E317" t="inlineStr">
        <is>
          <t>GÄLLIVARE</t>
        </is>
      </c>
      <c r="F317" t="inlineStr">
        <is>
          <t>SCA</t>
        </is>
      </c>
      <c r="G317" t="n">
        <v>3.2</v>
      </c>
      <c r="H317" t="n">
        <v>0</v>
      </c>
      <c r="I317" t="n">
        <v>0</v>
      </c>
      <c r="J317" t="n">
        <v>2</v>
      </c>
      <c r="K317" t="n">
        <v>0</v>
      </c>
      <c r="L317" t="n">
        <v>0</v>
      </c>
      <c r="M317" t="n">
        <v>0</v>
      </c>
      <c r="N317" t="n">
        <v>0</v>
      </c>
      <c r="O317" t="n">
        <v>2</v>
      </c>
      <c r="P317" t="n">
        <v>0</v>
      </c>
      <c r="Q317" t="n">
        <v>2</v>
      </c>
      <c r="R317" s="2" t="inlineStr">
        <is>
          <t>Orange taggsvamp
Svart taggsvamp</t>
        </is>
      </c>
      <c r="S317">
        <f>HYPERLINK("https://klasma.github.io/Logging_2523/artfynd/A 42548-2021 artfynd.xlsx", "A 42548-2021")</f>
        <v/>
      </c>
      <c r="T317">
        <f>HYPERLINK("https://klasma.github.io/Logging_2523/kartor/A 42548-2021 karta.png", "A 42548-2021")</f>
        <v/>
      </c>
      <c r="V317">
        <f>HYPERLINK("https://klasma.github.io/Logging_2523/klagomål/A 42548-2021 FSC-klagomål.docx", "A 42548-2021")</f>
        <v/>
      </c>
      <c r="W317">
        <f>HYPERLINK("https://klasma.github.io/Logging_2523/klagomålsmail/A 42548-2021 FSC-klagomål mail.docx", "A 42548-2021")</f>
        <v/>
      </c>
      <c r="X317">
        <f>HYPERLINK("https://klasma.github.io/Logging_2523/tillsyn/A 42548-2021 tillsynsbegäran.docx", "A 42548-2021")</f>
        <v/>
      </c>
      <c r="Y317">
        <f>HYPERLINK("https://klasma.github.io/Logging_2523/tillsynsmail/A 42548-2021 tillsynsbegäran mail.docx", "A 42548-2021")</f>
        <v/>
      </c>
    </row>
    <row r="318" ht="15" customHeight="1">
      <c r="A318" t="inlineStr">
        <is>
          <t>A 48789-2021</t>
        </is>
      </c>
      <c r="B318" s="1" t="n">
        <v>44452</v>
      </c>
      <c r="C318" s="1" t="n">
        <v>45895</v>
      </c>
      <c r="D318" t="inlineStr">
        <is>
          <t>NORRBOTTENS LÄN</t>
        </is>
      </c>
      <c r="E318" t="inlineStr">
        <is>
          <t>ÖVERTORNEÅ</t>
        </is>
      </c>
      <c r="G318" t="n">
        <v>0.7</v>
      </c>
      <c r="H318" t="n">
        <v>1</v>
      </c>
      <c r="I318" t="n">
        <v>0</v>
      </c>
      <c r="J318" t="n">
        <v>1</v>
      </c>
      <c r="K318" t="n">
        <v>0</v>
      </c>
      <c r="L318" t="n">
        <v>0</v>
      </c>
      <c r="M318" t="n">
        <v>0</v>
      </c>
      <c r="N318" t="n">
        <v>0</v>
      </c>
      <c r="O318" t="n">
        <v>1</v>
      </c>
      <c r="P318" t="n">
        <v>0</v>
      </c>
      <c r="Q318" t="n">
        <v>2</v>
      </c>
      <c r="R318" s="2" t="inlineStr">
        <is>
          <t>Garnlav
Revlummer</t>
        </is>
      </c>
      <c r="S318">
        <f>HYPERLINK("https://klasma.github.io/Logging_2518/artfynd/A 48789-2021 artfynd.xlsx", "A 48789-2021")</f>
        <v/>
      </c>
      <c r="T318">
        <f>HYPERLINK("https://klasma.github.io/Logging_2518/kartor/A 48789-2021 karta.png", "A 48789-2021")</f>
        <v/>
      </c>
      <c r="V318">
        <f>HYPERLINK("https://klasma.github.io/Logging_2518/klagomål/A 48789-2021 FSC-klagomål.docx", "A 48789-2021")</f>
        <v/>
      </c>
      <c r="W318">
        <f>HYPERLINK("https://klasma.github.io/Logging_2518/klagomålsmail/A 48789-2021 FSC-klagomål mail.docx", "A 48789-2021")</f>
        <v/>
      </c>
      <c r="X318">
        <f>HYPERLINK("https://klasma.github.io/Logging_2518/tillsyn/A 48789-2021 tillsynsbegäran.docx", "A 48789-2021")</f>
        <v/>
      </c>
      <c r="Y318">
        <f>HYPERLINK("https://klasma.github.io/Logging_2518/tillsynsmail/A 48789-2021 tillsynsbegäran mail.docx", "A 48789-2021")</f>
        <v/>
      </c>
    </row>
    <row r="319" ht="15" customHeight="1">
      <c r="A319" t="inlineStr">
        <is>
          <t>A 69475-2020</t>
        </is>
      </c>
      <c r="B319" s="1" t="n">
        <v>44193</v>
      </c>
      <c r="C319" s="1" t="n">
        <v>45895</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45895</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45895</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36629-2022</t>
        </is>
      </c>
      <c r="B322" s="1" t="n">
        <v>44804</v>
      </c>
      <c r="C322" s="1" t="n">
        <v>45895</v>
      </c>
      <c r="D322" t="inlineStr">
        <is>
          <t>NORRBOTTENS LÄN</t>
        </is>
      </c>
      <c r="E322" t="inlineStr">
        <is>
          <t>BODEN</t>
        </is>
      </c>
      <c r="F322" t="inlineStr">
        <is>
          <t>Sveaskog</t>
        </is>
      </c>
      <c r="G322" t="n">
        <v>3</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HYPERLINK("https://klasma.github.io/Logging_2582/artfynd/A 36629-2022 artfynd.xlsx", "A 36629-2022")</f>
        <v/>
      </c>
      <c r="T322">
        <f>HYPERLINK("https://klasma.github.io/Logging_2582/kartor/A 36629-2022 karta.png", "A 36629-2022")</f>
        <v/>
      </c>
      <c r="V322">
        <f>HYPERLINK("https://klasma.github.io/Logging_2582/klagomål/A 36629-2022 FSC-klagomål.docx", "A 36629-2022")</f>
        <v/>
      </c>
      <c r="W322">
        <f>HYPERLINK("https://klasma.github.io/Logging_2582/klagomålsmail/A 36629-2022 FSC-klagomål mail.docx", "A 36629-2022")</f>
        <v/>
      </c>
      <c r="X322">
        <f>HYPERLINK("https://klasma.github.io/Logging_2582/tillsyn/A 36629-2022 tillsynsbegäran.docx", "A 36629-2022")</f>
        <v/>
      </c>
      <c r="Y322">
        <f>HYPERLINK("https://klasma.github.io/Logging_2582/tillsynsmail/A 36629-2022 tillsynsbegäran mail.docx", "A 36629-2022")</f>
        <v/>
      </c>
    </row>
    <row r="323" ht="15" customHeight="1">
      <c r="A323" t="inlineStr">
        <is>
          <t>A 26346-2022</t>
        </is>
      </c>
      <c r="B323" s="1" t="n">
        <v>44735.63122685185</v>
      </c>
      <c r="C323" s="1" t="n">
        <v>45895</v>
      </c>
      <c r="D323" t="inlineStr">
        <is>
          <t>NORRBOTTENS LÄN</t>
        </is>
      </c>
      <c r="E323" t="inlineStr">
        <is>
          <t>BODEN</t>
        </is>
      </c>
      <c r="F323" t="inlineStr">
        <is>
          <t>Sveaskog</t>
        </is>
      </c>
      <c r="G323" t="n">
        <v>5.6</v>
      </c>
      <c r="H323" t="n">
        <v>0</v>
      </c>
      <c r="I323" t="n">
        <v>0</v>
      </c>
      <c r="J323" t="n">
        <v>2</v>
      </c>
      <c r="K323" t="n">
        <v>0</v>
      </c>
      <c r="L323" t="n">
        <v>0</v>
      </c>
      <c r="M323" t="n">
        <v>0</v>
      </c>
      <c r="N323" t="n">
        <v>0</v>
      </c>
      <c r="O323" t="n">
        <v>2</v>
      </c>
      <c r="P323" t="n">
        <v>0</v>
      </c>
      <c r="Q323" t="n">
        <v>2</v>
      </c>
      <c r="R323" s="2" t="inlineStr">
        <is>
          <t>Blå taggsvamp
Ullticka</t>
        </is>
      </c>
      <c r="S323">
        <f>HYPERLINK("https://klasma.github.io/Logging_2582/artfynd/A 26346-2022 artfynd.xlsx", "A 26346-2022")</f>
        <v/>
      </c>
      <c r="T323">
        <f>HYPERLINK("https://klasma.github.io/Logging_2582/kartor/A 26346-2022 karta.png", "A 26346-2022")</f>
        <v/>
      </c>
      <c r="V323">
        <f>HYPERLINK("https://klasma.github.io/Logging_2582/klagomål/A 26346-2022 FSC-klagomål.docx", "A 26346-2022")</f>
        <v/>
      </c>
      <c r="W323">
        <f>HYPERLINK("https://klasma.github.io/Logging_2582/klagomålsmail/A 26346-2022 FSC-klagomål mail.docx", "A 26346-2022")</f>
        <v/>
      </c>
      <c r="X323">
        <f>HYPERLINK("https://klasma.github.io/Logging_2582/tillsyn/A 26346-2022 tillsynsbegäran.docx", "A 26346-2022")</f>
        <v/>
      </c>
      <c r="Y323">
        <f>HYPERLINK("https://klasma.github.io/Logging_2582/tillsynsmail/A 26346-2022 tillsynsbegäran mail.docx", "A 26346-2022")</f>
        <v/>
      </c>
    </row>
    <row r="324" ht="15" customHeight="1">
      <c r="A324" t="inlineStr">
        <is>
          <t>A 43635-2020</t>
        </is>
      </c>
      <c r="B324" s="1" t="n">
        <v>44082</v>
      </c>
      <c r="C324" s="1" t="n">
        <v>45895</v>
      </c>
      <c r="D324" t="inlineStr">
        <is>
          <t>NORRBOTTENS LÄN</t>
        </is>
      </c>
      <c r="E324" t="inlineStr">
        <is>
          <t>BODEN</t>
        </is>
      </c>
      <c r="F324" t="inlineStr">
        <is>
          <t>Sveaskog</t>
        </is>
      </c>
      <c r="G324" t="n">
        <v>1.7</v>
      </c>
      <c r="H324" t="n">
        <v>0</v>
      </c>
      <c r="I324" t="n">
        <v>0</v>
      </c>
      <c r="J324" t="n">
        <v>2</v>
      </c>
      <c r="K324" t="n">
        <v>0</v>
      </c>
      <c r="L324" t="n">
        <v>0</v>
      </c>
      <c r="M324" t="n">
        <v>0</v>
      </c>
      <c r="N324" t="n">
        <v>0</v>
      </c>
      <c r="O324" t="n">
        <v>2</v>
      </c>
      <c r="P324" t="n">
        <v>0</v>
      </c>
      <c r="Q324" t="n">
        <v>2</v>
      </c>
      <c r="R324" s="2" t="inlineStr">
        <is>
          <t>Mörk kolflarnlav
Vedskivlav</t>
        </is>
      </c>
      <c r="S324">
        <f>HYPERLINK("https://klasma.github.io/Logging_2582/artfynd/A 43635-2020 artfynd.xlsx", "A 43635-2020")</f>
        <v/>
      </c>
      <c r="T324">
        <f>HYPERLINK("https://klasma.github.io/Logging_2582/kartor/A 43635-2020 karta.png", "A 43635-2020")</f>
        <v/>
      </c>
      <c r="V324">
        <f>HYPERLINK("https://klasma.github.io/Logging_2582/klagomål/A 43635-2020 FSC-klagomål.docx", "A 43635-2020")</f>
        <v/>
      </c>
      <c r="W324">
        <f>HYPERLINK("https://klasma.github.io/Logging_2582/klagomålsmail/A 43635-2020 FSC-klagomål mail.docx", "A 43635-2020")</f>
        <v/>
      </c>
      <c r="X324">
        <f>HYPERLINK("https://klasma.github.io/Logging_2582/tillsyn/A 43635-2020 tillsynsbegäran.docx", "A 43635-2020")</f>
        <v/>
      </c>
      <c r="Y324">
        <f>HYPERLINK("https://klasma.github.io/Logging_2582/tillsynsmail/A 43635-2020 tillsynsbegäran mail.docx", "A 43635-2020")</f>
        <v/>
      </c>
    </row>
    <row r="325" ht="15" customHeight="1">
      <c r="A325" t="inlineStr">
        <is>
          <t>A 5797-2022</t>
        </is>
      </c>
      <c r="B325" s="1" t="n">
        <v>44596</v>
      </c>
      <c r="C325" s="1" t="n">
        <v>45895</v>
      </c>
      <c r="D325" t="inlineStr">
        <is>
          <t>NORRBOTTENS LÄN</t>
        </is>
      </c>
      <c r="E325" t="inlineStr">
        <is>
          <t>ÖVERKALIX</t>
        </is>
      </c>
      <c r="F325" t="inlineStr">
        <is>
          <t>Sveaskog</t>
        </is>
      </c>
      <c r="G325" t="n">
        <v>2.4</v>
      </c>
      <c r="H325" t="n">
        <v>0</v>
      </c>
      <c r="I325" t="n">
        <v>1</v>
      </c>
      <c r="J325" t="n">
        <v>1</v>
      </c>
      <c r="K325" t="n">
        <v>0</v>
      </c>
      <c r="L325" t="n">
        <v>0</v>
      </c>
      <c r="M325" t="n">
        <v>0</v>
      </c>
      <c r="N325" t="n">
        <v>0</v>
      </c>
      <c r="O325" t="n">
        <v>1</v>
      </c>
      <c r="P325" t="n">
        <v>0</v>
      </c>
      <c r="Q325" t="n">
        <v>2</v>
      </c>
      <c r="R325" s="2" t="inlineStr">
        <is>
          <t>Granticka
Skarp dropptaggsvamp</t>
        </is>
      </c>
      <c r="S325">
        <f>HYPERLINK("https://klasma.github.io/Logging_2513/artfynd/A 5797-2022 artfynd.xlsx", "A 5797-2022")</f>
        <v/>
      </c>
      <c r="T325">
        <f>HYPERLINK("https://klasma.github.io/Logging_2513/kartor/A 5797-2022 karta.png", "A 5797-2022")</f>
        <v/>
      </c>
      <c r="V325">
        <f>HYPERLINK("https://klasma.github.io/Logging_2513/klagomål/A 5797-2022 FSC-klagomål.docx", "A 5797-2022")</f>
        <v/>
      </c>
      <c r="W325">
        <f>HYPERLINK("https://klasma.github.io/Logging_2513/klagomålsmail/A 5797-2022 FSC-klagomål mail.docx", "A 5797-2022")</f>
        <v/>
      </c>
      <c r="X325">
        <f>HYPERLINK("https://klasma.github.io/Logging_2513/tillsyn/A 5797-2022 tillsynsbegäran.docx", "A 5797-2022")</f>
        <v/>
      </c>
      <c r="Y325">
        <f>HYPERLINK("https://klasma.github.io/Logging_2513/tillsynsmail/A 5797-2022 tillsynsbegäran mail.docx", "A 5797-2022")</f>
        <v/>
      </c>
    </row>
    <row r="326" ht="15" customHeight="1">
      <c r="A326" t="inlineStr">
        <is>
          <t>A 51552-2020</t>
        </is>
      </c>
      <c r="B326" s="1" t="n">
        <v>44113</v>
      </c>
      <c r="C326" s="1" t="n">
        <v>45895</v>
      </c>
      <c r="D326" t="inlineStr">
        <is>
          <t>NORRBOTTENS LÄN</t>
        </is>
      </c>
      <c r="E326" t="inlineStr">
        <is>
          <t>ÖVERKALIX</t>
        </is>
      </c>
      <c r="F326" t="inlineStr">
        <is>
          <t>Sveaskog</t>
        </is>
      </c>
      <c r="G326" t="n">
        <v>11.3</v>
      </c>
      <c r="H326" t="n">
        <v>0</v>
      </c>
      <c r="I326" t="n">
        <v>0</v>
      </c>
      <c r="J326" t="n">
        <v>2</v>
      </c>
      <c r="K326" t="n">
        <v>0</v>
      </c>
      <c r="L326" t="n">
        <v>0</v>
      </c>
      <c r="M326" t="n">
        <v>0</v>
      </c>
      <c r="N326" t="n">
        <v>0</v>
      </c>
      <c r="O326" t="n">
        <v>2</v>
      </c>
      <c r="P326" t="n">
        <v>0</v>
      </c>
      <c r="Q326" t="n">
        <v>2</v>
      </c>
      <c r="R326" s="2" t="inlineStr">
        <is>
          <t>Dvärgbägarlav
Tallticka</t>
        </is>
      </c>
      <c r="S326">
        <f>HYPERLINK("https://klasma.github.io/Logging_2513/artfynd/A 51552-2020 artfynd.xlsx", "A 51552-2020")</f>
        <v/>
      </c>
      <c r="T326">
        <f>HYPERLINK("https://klasma.github.io/Logging_2513/kartor/A 51552-2020 karta.png", "A 51552-2020")</f>
        <v/>
      </c>
      <c r="V326">
        <f>HYPERLINK("https://klasma.github.io/Logging_2513/klagomål/A 51552-2020 FSC-klagomål.docx", "A 51552-2020")</f>
        <v/>
      </c>
      <c r="W326">
        <f>HYPERLINK("https://klasma.github.io/Logging_2513/klagomålsmail/A 51552-2020 FSC-klagomål mail.docx", "A 51552-2020")</f>
        <v/>
      </c>
      <c r="X326">
        <f>HYPERLINK("https://klasma.github.io/Logging_2513/tillsyn/A 51552-2020 tillsynsbegäran.docx", "A 51552-2020")</f>
        <v/>
      </c>
      <c r="Y326">
        <f>HYPERLINK("https://klasma.github.io/Logging_2513/tillsynsmail/A 51552-2020 tillsynsbegäran mail.docx", "A 51552-2020")</f>
        <v/>
      </c>
    </row>
    <row r="327" ht="15" customHeight="1">
      <c r="A327" t="inlineStr">
        <is>
          <t>A 42390-2020</t>
        </is>
      </c>
      <c r="B327" s="1" t="n">
        <v>44074</v>
      </c>
      <c r="C327" s="1" t="n">
        <v>45895</v>
      </c>
      <c r="D327" t="inlineStr">
        <is>
          <t>NORRBOTTENS LÄN</t>
        </is>
      </c>
      <c r="E327" t="inlineStr">
        <is>
          <t>PITEÅ</t>
        </is>
      </c>
      <c r="G327" t="n">
        <v>6.3</v>
      </c>
      <c r="H327" t="n">
        <v>1</v>
      </c>
      <c r="I327" t="n">
        <v>0</v>
      </c>
      <c r="J327" t="n">
        <v>2</v>
      </c>
      <c r="K327" t="n">
        <v>0</v>
      </c>
      <c r="L327" t="n">
        <v>0</v>
      </c>
      <c r="M327" t="n">
        <v>0</v>
      </c>
      <c r="N327" t="n">
        <v>0</v>
      </c>
      <c r="O327" t="n">
        <v>2</v>
      </c>
      <c r="P327" t="n">
        <v>0</v>
      </c>
      <c r="Q327" t="n">
        <v>2</v>
      </c>
      <c r="R327" s="2" t="inlineStr">
        <is>
          <t>Granticka
Spillkråka</t>
        </is>
      </c>
      <c r="S327">
        <f>HYPERLINK("https://klasma.github.io/Logging_2581/artfynd/A 42390-2020 artfynd.xlsx", "A 42390-2020")</f>
        <v/>
      </c>
      <c r="T327">
        <f>HYPERLINK("https://klasma.github.io/Logging_2581/kartor/A 42390-2020 karta.png", "A 42390-2020")</f>
        <v/>
      </c>
      <c r="V327">
        <f>HYPERLINK("https://klasma.github.io/Logging_2581/klagomål/A 42390-2020 FSC-klagomål.docx", "A 42390-2020")</f>
        <v/>
      </c>
      <c r="W327">
        <f>HYPERLINK("https://klasma.github.io/Logging_2581/klagomålsmail/A 42390-2020 FSC-klagomål mail.docx", "A 42390-2020")</f>
        <v/>
      </c>
      <c r="X327">
        <f>HYPERLINK("https://klasma.github.io/Logging_2581/tillsyn/A 42390-2020 tillsynsbegäran.docx", "A 42390-2020")</f>
        <v/>
      </c>
      <c r="Y327">
        <f>HYPERLINK("https://klasma.github.io/Logging_2581/tillsynsmail/A 42390-2020 tillsynsbegäran mail.docx", "A 42390-2020")</f>
        <v/>
      </c>
      <c r="Z327">
        <f>HYPERLINK("https://klasma.github.io/Logging_2581/fåglar/A 42390-2020 prioriterade fågelarter.docx", "A 42390-2020")</f>
        <v/>
      </c>
    </row>
    <row r="328" ht="15" customHeight="1">
      <c r="A328" t="inlineStr">
        <is>
          <t>A 15494-2022</t>
        </is>
      </c>
      <c r="B328" s="1" t="n">
        <v>44662</v>
      </c>
      <c r="C328" s="1" t="n">
        <v>45895</v>
      </c>
      <c r="D328" t="inlineStr">
        <is>
          <t>NORRBOTTENS LÄN</t>
        </is>
      </c>
      <c r="E328" t="inlineStr">
        <is>
          <t>ÖVERTORNEÅ</t>
        </is>
      </c>
      <c r="G328" t="n">
        <v>2.5</v>
      </c>
      <c r="H328" t="n">
        <v>2</v>
      </c>
      <c r="I328" t="n">
        <v>0</v>
      </c>
      <c r="J328" t="n">
        <v>0</v>
      </c>
      <c r="K328" t="n">
        <v>1</v>
      </c>
      <c r="L328" t="n">
        <v>0</v>
      </c>
      <c r="M328" t="n">
        <v>0</v>
      </c>
      <c r="N328" t="n">
        <v>0</v>
      </c>
      <c r="O328" t="n">
        <v>1</v>
      </c>
      <c r="P328" t="n">
        <v>1</v>
      </c>
      <c r="Q328" t="n">
        <v>2</v>
      </c>
      <c r="R328" s="2" t="inlineStr">
        <is>
          <t>Knärot
Tjäder</t>
        </is>
      </c>
      <c r="S328">
        <f>HYPERLINK("https://klasma.github.io/Logging_2518/artfynd/A 15494-2022 artfynd.xlsx", "A 15494-2022")</f>
        <v/>
      </c>
      <c r="T328">
        <f>HYPERLINK("https://klasma.github.io/Logging_2518/kartor/A 15494-2022 karta.png", "A 15494-2022")</f>
        <v/>
      </c>
      <c r="U328">
        <f>HYPERLINK("https://klasma.github.io/Logging_2518/knärot/A 15494-2022 karta knärot.png", "A 15494-2022")</f>
        <v/>
      </c>
      <c r="V328">
        <f>HYPERLINK("https://klasma.github.io/Logging_2518/klagomål/A 15494-2022 FSC-klagomål.docx", "A 15494-2022")</f>
        <v/>
      </c>
      <c r="W328">
        <f>HYPERLINK("https://klasma.github.io/Logging_2518/klagomålsmail/A 15494-2022 FSC-klagomål mail.docx", "A 15494-2022")</f>
        <v/>
      </c>
      <c r="X328">
        <f>HYPERLINK("https://klasma.github.io/Logging_2518/tillsyn/A 15494-2022 tillsynsbegäran.docx", "A 15494-2022")</f>
        <v/>
      </c>
      <c r="Y328">
        <f>HYPERLINK("https://klasma.github.io/Logging_2518/tillsynsmail/A 15494-2022 tillsynsbegäran mail.docx", "A 15494-2022")</f>
        <v/>
      </c>
      <c r="Z328">
        <f>HYPERLINK("https://klasma.github.io/Logging_2518/fåglar/A 15494-2022 prioriterade fågelarter.docx", "A 15494-2022")</f>
        <v/>
      </c>
    </row>
    <row r="329" ht="15" customHeight="1">
      <c r="A329" t="inlineStr">
        <is>
          <t>A 52326-2021</t>
        </is>
      </c>
      <c r="B329" s="1" t="n">
        <v>44463</v>
      </c>
      <c r="C329" s="1" t="n">
        <v>45895</v>
      </c>
      <c r="D329" t="inlineStr">
        <is>
          <t>NORRBOTTENS LÄN</t>
        </is>
      </c>
      <c r="E329" t="inlineStr">
        <is>
          <t>ÖVERKALIX</t>
        </is>
      </c>
      <c r="F329" t="inlineStr">
        <is>
          <t>SCA</t>
        </is>
      </c>
      <c r="G329" t="n">
        <v>1.2</v>
      </c>
      <c r="H329" t="n">
        <v>0</v>
      </c>
      <c r="I329" t="n">
        <v>0</v>
      </c>
      <c r="J329" t="n">
        <v>2</v>
      </c>
      <c r="K329" t="n">
        <v>0</v>
      </c>
      <c r="L329" t="n">
        <v>0</v>
      </c>
      <c r="M329" t="n">
        <v>0</v>
      </c>
      <c r="N329" t="n">
        <v>0</v>
      </c>
      <c r="O329" t="n">
        <v>2</v>
      </c>
      <c r="P329" t="n">
        <v>0</v>
      </c>
      <c r="Q329" t="n">
        <v>2</v>
      </c>
      <c r="R329" s="2" t="inlineStr">
        <is>
          <t>Tallriska
Talltaggsvamp</t>
        </is>
      </c>
      <c r="S329">
        <f>HYPERLINK("https://klasma.github.io/Logging_2513/artfynd/A 52326-2021 artfynd.xlsx", "A 52326-2021")</f>
        <v/>
      </c>
      <c r="T329">
        <f>HYPERLINK("https://klasma.github.io/Logging_2513/kartor/A 52326-2021 karta.png", "A 52326-2021")</f>
        <v/>
      </c>
      <c r="V329">
        <f>HYPERLINK("https://klasma.github.io/Logging_2513/klagomål/A 52326-2021 FSC-klagomål.docx", "A 52326-2021")</f>
        <v/>
      </c>
      <c r="W329">
        <f>HYPERLINK("https://klasma.github.io/Logging_2513/klagomålsmail/A 52326-2021 FSC-klagomål mail.docx", "A 52326-2021")</f>
        <v/>
      </c>
      <c r="X329">
        <f>HYPERLINK("https://klasma.github.io/Logging_2513/tillsyn/A 52326-2021 tillsynsbegäran.docx", "A 52326-2021")</f>
        <v/>
      </c>
      <c r="Y329">
        <f>HYPERLINK("https://klasma.github.io/Logging_2513/tillsynsmail/A 52326-2021 tillsynsbegäran mail.docx", "A 52326-2021")</f>
        <v/>
      </c>
    </row>
    <row r="330" ht="15" customHeight="1">
      <c r="A330" t="inlineStr">
        <is>
          <t>A 63621-2020</t>
        </is>
      </c>
      <c r="B330" s="1" t="n">
        <v>44165</v>
      </c>
      <c r="C330" s="1" t="n">
        <v>45895</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58902-2021</t>
        </is>
      </c>
      <c r="B331" s="1" t="n">
        <v>44489</v>
      </c>
      <c r="C331" s="1" t="n">
        <v>45895</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36289-2022</t>
        </is>
      </c>
      <c r="B332" s="1" t="n">
        <v>44803</v>
      </c>
      <c r="C332" s="1" t="n">
        <v>45895</v>
      </c>
      <c r="D332" t="inlineStr">
        <is>
          <t>NORRBOTTENS LÄN</t>
        </is>
      </c>
      <c r="E332" t="inlineStr">
        <is>
          <t>GÄLLIVARE</t>
        </is>
      </c>
      <c r="G332" t="n">
        <v>9.6</v>
      </c>
      <c r="H332" t="n">
        <v>2</v>
      </c>
      <c r="I332" t="n">
        <v>1</v>
      </c>
      <c r="J332" t="n">
        <v>0</v>
      </c>
      <c r="K332" t="n">
        <v>0</v>
      </c>
      <c r="L332" t="n">
        <v>0</v>
      </c>
      <c r="M332" t="n">
        <v>0</v>
      </c>
      <c r="N332" t="n">
        <v>0</v>
      </c>
      <c r="O332" t="n">
        <v>0</v>
      </c>
      <c r="P332" t="n">
        <v>0</v>
      </c>
      <c r="Q332" t="n">
        <v>2</v>
      </c>
      <c r="R332" s="2" t="inlineStr">
        <is>
          <t>Spindelblomster
Revlummer</t>
        </is>
      </c>
      <c r="S332">
        <f>HYPERLINK("https://klasma.github.io/Logging_2523/artfynd/A 36289-2022 artfynd.xlsx", "A 36289-2022")</f>
        <v/>
      </c>
      <c r="T332">
        <f>HYPERLINK("https://klasma.github.io/Logging_2523/kartor/A 36289-2022 karta.png", "A 36289-2022")</f>
        <v/>
      </c>
      <c r="V332">
        <f>HYPERLINK("https://klasma.github.io/Logging_2523/klagomål/A 36289-2022 FSC-klagomål.docx", "A 36289-2022")</f>
        <v/>
      </c>
      <c r="W332">
        <f>HYPERLINK("https://klasma.github.io/Logging_2523/klagomålsmail/A 36289-2022 FSC-klagomål mail.docx", "A 36289-2022")</f>
        <v/>
      </c>
      <c r="X332">
        <f>HYPERLINK("https://klasma.github.io/Logging_2523/tillsyn/A 36289-2022 tillsynsbegäran.docx", "A 36289-2022")</f>
        <v/>
      </c>
      <c r="Y332">
        <f>HYPERLINK("https://klasma.github.io/Logging_2523/tillsynsmail/A 36289-2022 tillsynsbegäran mail.docx", "A 36289-2022")</f>
        <v/>
      </c>
    </row>
    <row r="333" ht="15" customHeight="1">
      <c r="A333" t="inlineStr">
        <is>
          <t>A 36378-2024</t>
        </is>
      </c>
      <c r="B333" s="1" t="n">
        <v>45534</v>
      </c>
      <c r="C333" s="1" t="n">
        <v>45895</v>
      </c>
      <c r="D333" t="inlineStr">
        <is>
          <t>NORRBOTTENS LÄN</t>
        </is>
      </c>
      <c r="E333" t="inlineStr">
        <is>
          <t>ÖVERKALIX</t>
        </is>
      </c>
      <c r="F333" t="inlineStr">
        <is>
          <t>Sveaskog</t>
        </is>
      </c>
      <c r="G333" t="n">
        <v>21.5</v>
      </c>
      <c r="H333" t="n">
        <v>1</v>
      </c>
      <c r="I333" t="n">
        <v>0</v>
      </c>
      <c r="J333" t="n">
        <v>1</v>
      </c>
      <c r="K333" t="n">
        <v>0</v>
      </c>
      <c r="L333" t="n">
        <v>0</v>
      </c>
      <c r="M333" t="n">
        <v>0</v>
      </c>
      <c r="N333" t="n">
        <v>0</v>
      </c>
      <c r="O333" t="n">
        <v>1</v>
      </c>
      <c r="P333" t="n">
        <v>0</v>
      </c>
      <c r="Q333" t="n">
        <v>2</v>
      </c>
      <c r="R333" s="2" t="inlineStr">
        <is>
          <t>Lunglav
Fläcknycklar</t>
        </is>
      </c>
      <c r="S333">
        <f>HYPERLINK("https://klasma.github.io/Logging_2513/artfynd/A 36378-2024 artfynd.xlsx", "A 36378-2024")</f>
        <v/>
      </c>
      <c r="T333">
        <f>HYPERLINK("https://klasma.github.io/Logging_2513/kartor/A 36378-2024 karta.png", "A 36378-2024")</f>
        <v/>
      </c>
      <c r="V333">
        <f>HYPERLINK("https://klasma.github.io/Logging_2513/klagomål/A 36378-2024 FSC-klagomål.docx", "A 36378-2024")</f>
        <v/>
      </c>
      <c r="W333">
        <f>HYPERLINK("https://klasma.github.io/Logging_2513/klagomålsmail/A 36378-2024 FSC-klagomål mail.docx", "A 36378-2024")</f>
        <v/>
      </c>
      <c r="X333">
        <f>HYPERLINK("https://klasma.github.io/Logging_2513/tillsyn/A 36378-2024 tillsynsbegäran.docx", "A 36378-2024")</f>
        <v/>
      </c>
      <c r="Y333">
        <f>HYPERLINK("https://klasma.github.io/Logging_2513/tillsynsmail/A 36378-2024 tillsynsbegäran mail.docx", "A 36378-2024")</f>
        <v/>
      </c>
    </row>
    <row r="334" ht="15" customHeight="1">
      <c r="A334" t="inlineStr">
        <is>
          <t>A 52177-2021</t>
        </is>
      </c>
      <c r="B334" s="1" t="n">
        <v>44463</v>
      </c>
      <c r="C334" s="1" t="n">
        <v>45895</v>
      </c>
      <c r="D334" t="inlineStr">
        <is>
          <t>NORRBOTTENS LÄN</t>
        </is>
      </c>
      <c r="E334" t="inlineStr">
        <is>
          <t>ÄLVSBYN</t>
        </is>
      </c>
      <c r="G334" t="n">
        <v>36</v>
      </c>
      <c r="H334" t="n">
        <v>1</v>
      </c>
      <c r="I334" t="n">
        <v>0</v>
      </c>
      <c r="J334" t="n">
        <v>1</v>
      </c>
      <c r="K334" t="n">
        <v>0</v>
      </c>
      <c r="L334" t="n">
        <v>0</v>
      </c>
      <c r="M334" t="n">
        <v>0</v>
      </c>
      <c r="N334" t="n">
        <v>0</v>
      </c>
      <c r="O334" t="n">
        <v>1</v>
      </c>
      <c r="P334" t="n">
        <v>0</v>
      </c>
      <c r="Q334" t="n">
        <v>2</v>
      </c>
      <c r="R334" s="2" t="inlineStr">
        <is>
          <t>Tallticka
Tjäder</t>
        </is>
      </c>
      <c r="S334">
        <f>HYPERLINK("https://klasma.github.io/Logging_2560/artfynd/A 52177-2021 artfynd.xlsx", "A 52177-2021")</f>
        <v/>
      </c>
      <c r="T334">
        <f>HYPERLINK("https://klasma.github.io/Logging_2560/kartor/A 52177-2021 karta.png", "A 52177-2021")</f>
        <v/>
      </c>
      <c r="V334">
        <f>HYPERLINK("https://klasma.github.io/Logging_2560/klagomål/A 52177-2021 FSC-klagomål.docx", "A 52177-2021")</f>
        <v/>
      </c>
      <c r="W334">
        <f>HYPERLINK("https://klasma.github.io/Logging_2560/klagomålsmail/A 52177-2021 FSC-klagomål mail.docx", "A 52177-2021")</f>
        <v/>
      </c>
      <c r="X334">
        <f>HYPERLINK("https://klasma.github.io/Logging_2560/tillsyn/A 52177-2021 tillsynsbegäran.docx", "A 52177-2021")</f>
        <v/>
      </c>
      <c r="Y334">
        <f>HYPERLINK("https://klasma.github.io/Logging_2560/tillsynsmail/A 52177-2021 tillsynsbegäran mail.docx", "A 52177-2021")</f>
        <v/>
      </c>
      <c r="Z334">
        <f>HYPERLINK("https://klasma.github.io/Logging_2560/fåglar/A 52177-2021 prioriterade fågelarter.docx", "A 52177-2021")</f>
        <v/>
      </c>
    </row>
    <row r="335" ht="15" customHeight="1">
      <c r="A335" t="inlineStr">
        <is>
          <t>A 6639-2024</t>
        </is>
      </c>
      <c r="B335" s="1" t="n">
        <v>45341</v>
      </c>
      <c r="C335" s="1" t="n">
        <v>45895</v>
      </c>
      <c r="D335" t="inlineStr">
        <is>
          <t>NORRBOTTENS LÄN</t>
        </is>
      </c>
      <c r="E335" t="inlineStr">
        <is>
          <t>BODEN</t>
        </is>
      </c>
      <c r="F335" t="inlineStr">
        <is>
          <t>Övriga statliga verk och myndigheter</t>
        </is>
      </c>
      <c r="G335" t="n">
        <v>23.8</v>
      </c>
      <c r="H335" t="n">
        <v>0</v>
      </c>
      <c r="I335" t="n">
        <v>0</v>
      </c>
      <c r="J335" t="n">
        <v>2</v>
      </c>
      <c r="K335" t="n">
        <v>0</v>
      </c>
      <c r="L335" t="n">
        <v>0</v>
      </c>
      <c r="M335" t="n">
        <v>0</v>
      </c>
      <c r="N335" t="n">
        <v>0</v>
      </c>
      <c r="O335" t="n">
        <v>2</v>
      </c>
      <c r="P335" t="n">
        <v>0</v>
      </c>
      <c r="Q335" t="n">
        <v>2</v>
      </c>
      <c r="R335" s="2" t="inlineStr">
        <is>
          <t>Granticka
Lunglav</t>
        </is>
      </c>
      <c r="S335">
        <f>HYPERLINK("https://klasma.github.io/Logging_2582/artfynd/A 6639-2024 artfynd.xlsx", "A 6639-2024")</f>
        <v/>
      </c>
      <c r="T335">
        <f>HYPERLINK("https://klasma.github.io/Logging_2582/kartor/A 6639-2024 karta.png", "A 6639-2024")</f>
        <v/>
      </c>
      <c r="V335">
        <f>HYPERLINK("https://klasma.github.io/Logging_2582/klagomål/A 6639-2024 FSC-klagomål.docx", "A 6639-2024")</f>
        <v/>
      </c>
      <c r="W335">
        <f>HYPERLINK("https://klasma.github.io/Logging_2582/klagomålsmail/A 6639-2024 FSC-klagomål mail.docx", "A 6639-2024")</f>
        <v/>
      </c>
      <c r="X335">
        <f>HYPERLINK("https://klasma.github.io/Logging_2582/tillsyn/A 6639-2024 tillsynsbegäran.docx", "A 6639-2024")</f>
        <v/>
      </c>
      <c r="Y335">
        <f>HYPERLINK("https://klasma.github.io/Logging_2582/tillsynsmail/A 6639-2024 tillsynsbegäran mail.docx", "A 6639-2024")</f>
        <v/>
      </c>
    </row>
    <row r="336" ht="15" customHeight="1">
      <c r="A336" t="inlineStr">
        <is>
          <t>A 17292-2022</t>
        </is>
      </c>
      <c r="B336" s="1" t="n">
        <v>44678</v>
      </c>
      <c r="C336" s="1" t="n">
        <v>45895</v>
      </c>
      <c r="D336" t="inlineStr">
        <is>
          <t>NORRBOTTENS LÄN</t>
        </is>
      </c>
      <c r="E336" t="inlineStr">
        <is>
          <t>BODEN</t>
        </is>
      </c>
      <c r="F336" t="inlineStr">
        <is>
          <t>Kyrkan</t>
        </is>
      </c>
      <c r="G336" t="n">
        <v>0.8</v>
      </c>
      <c r="H336" t="n">
        <v>1</v>
      </c>
      <c r="I336" t="n">
        <v>0</v>
      </c>
      <c r="J336" t="n">
        <v>1</v>
      </c>
      <c r="K336" t="n">
        <v>0</v>
      </c>
      <c r="L336" t="n">
        <v>0</v>
      </c>
      <c r="M336" t="n">
        <v>0</v>
      </c>
      <c r="N336" t="n">
        <v>0</v>
      </c>
      <c r="O336" t="n">
        <v>1</v>
      </c>
      <c r="P336" t="n">
        <v>0</v>
      </c>
      <c r="Q336" t="n">
        <v>2</v>
      </c>
      <c r="R336" s="2" t="inlineStr">
        <is>
          <t>Garnlav
Revlummer</t>
        </is>
      </c>
      <c r="S336">
        <f>HYPERLINK("https://klasma.github.io/Logging_2582/artfynd/A 17292-2022 artfynd.xlsx", "A 17292-2022")</f>
        <v/>
      </c>
      <c r="T336">
        <f>HYPERLINK("https://klasma.github.io/Logging_2582/kartor/A 17292-2022 karta.png", "A 17292-2022")</f>
        <v/>
      </c>
      <c r="V336">
        <f>HYPERLINK("https://klasma.github.io/Logging_2582/klagomål/A 17292-2022 FSC-klagomål.docx", "A 17292-2022")</f>
        <v/>
      </c>
      <c r="W336">
        <f>HYPERLINK("https://klasma.github.io/Logging_2582/klagomålsmail/A 17292-2022 FSC-klagomål mail.docx", "A 17292-2022")</f>
        <v/>
      </c>
      <c r="X336">
        <f>HYPERLINK("https://klasma.github.io/Logging_2582/tillsyn/A 17292-2022 tillsynsbegäran.docx", "A 17292-2022")</f>
        <v/>
      </c>
      <c r="Y336">
        <f>HYPERLINK("https://klasma.github.io/Logging_2582/tillsynsmail/A 17292-2022 tillsynsbegäran mail.docx", "A 17292-2022")</f>
        <v/>
      </c>
    </row>
    <row r="337" ht="15" customHeight="1">
      <c r="A337" t="inlineStr">
        <is>
          <t>A 36248-2023</t>
        </is>
      </c>
      <c r="B337" s="1" t="n">
        <v>45150</v>
      </c>
      <c r="C337" s="1" t="n">
        <v>45895</v>
      </c>
      <c r="D337" t="inlineStr">
        <is>
          <t>NORRBOTTENS LÄN</t>
        </is>
      </c>
      <c r="E337" t="inlineStr">
        <is>
          <t>GÄLLIVARE</t>
        </is>
      </c>
      <c r="F337" t="inlineStr">
        <is>
          <t>SCA</t>
        </is>
      </c>
      <c r="G337" t="n">
        <v>6.4</v>
      </c>
      <c r="H337" t="n">
        <v>0</v>
      </c>
      <c r="I337" t="n">
        <v>0</v>
      </c>
      <c r="J337" t="n">
        <v>1</v>
      </c>
      <c r="K337" t="n">
        <v>1</v>
      </c>
      <c r="L337" t="n">
        <v>0</v>
      </c>
      <c r="M337" t="n">
        <v>0</v>
      </c>
      <c r="N337" t="n">
        <v>0</v>
      </c>
      <c r="O337" t="n">
        <v>2</v>
      </c>
      <c r="P337" t="n">
        <v>1</v>
      </c>
      <c r="Q337" t="n">
        <v>2</v>
      </c>
      <c r="R337" s="2" t="inlineStr">
        <is>
          <t>Gräddporing
Nordtagging</t>
        </is>
      </c>
      <c r="S337">
        <f>HYPERLINK("https://klasma.github.io/Logging_2523/artfynd/A 36248-2023 artfynd.xlsx", "A 36248-2023")</f>
        <v/>
      </c>
      <c r="T337">
        <f>HYPERLINK("https://klasma.github.io/Logging_2523/kartor/A 36248-2023 karta.png", "A 36248-2023")</f>
        <v/>
      </c>
      <c r="V337">
        <f>HYPERLINK("https://klasma.github.io/Logging_2523/klagomål/A 36248-2023 FSC-klagomål.docx", "A 36248-2023")</f>
        <v/>
      </c>
      <c r="W337">
        <f>HYPERLINK("https://klasma.github.io/Logging_2523/klagomålsmail/A 36248-2023 FSC-klagomål mail.docx", "A 36248-2023")</f>
        <v/>
      </c>
      <c r="X337">
        <f>HYPERLINK("https://klasma.github.io/Logging_2523/tillsyn/A 36248-2023 tillsynsbegäran.docx", "A 36248-2023")</f>
        <v/>
      </c>
      <c r="Y337">
        <f>HYPERLINK("https://klasma.github.io/Logging_2523/tillsynsmail/A 36248-2023 tillsynsbegäran mail.docx", "A 36248-2023")</f>
        <v/>
      </c>
    </row>
    <row r="338" ht="15" customHeight="1">
      <c r="A338" t="inlineStr">
        <is>
          <t>A 4367-2024</t>
        </is>
      </c>
      <c r="B338" s="1" t="n">
        <v>45326</v>
      </c>
      <c r="C338" s="1" t="n">
        <v>45895</v>
      </c>
      <c r="D338" t="inlineStr">
        <is>
          <t>NORRBOTTENS LÄN</t>
        </is>
      </c>
      <c r="E338" t="inlineStr">
        <is>
          <t>KIRUNA</t>
        </is>
      </c>
      <c r="G338" t="n">
        <v>7.5</v>
      </c>
      <c r="H338" t="n">
        <v>0</v>
      </c>
      <c r="I338" t="n">
        <v>0</v>
      </c>
      <c r="J338" t="n">
        <v>2</v>
      </c>
      <c r="K338" t="n">
        <v>0</v>
      </c>
      <c r="L338" t="n">
        <v>0</v>
      </c>
      <c r="M338" t="n">
        <v>0</v>
      </c>
      <c r="N338" t="n">
        <v>0</v>
      </c>
      <c r="O338" t="n">
        <v>2</v>
      </c>
      <c r="P338" t="n">
        <v>0</v>
      </c>
      <c r="Q338" t="n">
        <v>2</v>
      </c>
      <c r="R338" s="2" t="inlineStr">
        <is>
          <t>Granticka
Tallticka</t>
        </is>
      </c>
      <c r="S338">
        <f>HYPERLINK("https://klasma.github.io/Logging_2584/artfynd/A 4367-2024 artfynd.xlsx", "A 4367-2024")</f>
        <v/>
      </c>
      <c r="T338">
        <f>HYPERLINK("https://klasma.github.io/Logging_2584/kartor/A 4367-2024 karta.png", "A 4367-2024")</f>
        <v/>
      </c>
      <c r="V338">
        <f>HYPERLINK("https://klasma.github.io/Logging_2584/klagomål/A 4367-2024 FSC-klagomål.docx", "A 4367-2024")</f>
        <v/>
      </c>
      <c r="W338">
        <f>HYPERLINK("https://klasma.github.io/Logging_2584/klagomålsmail/A 4367-2024 FSC-klagomål mail.docx", "A 4367-2024")</f>
        <v/>
      </c>
      <c r="X338">
        <f>HYPERLINK("https://klasma.github.io/Logging_2584/tillsyn/A 4367-2024 tillsynsbegäran.docx", "A 4367-2024")</f>
        <v/>
      </c>
      <c r="Y338">
        <f>HYPERLINK("https://klasma.github.io/Logging_2584/tillsynsmail/A 4367-2024 tillsynsbegäran mail.docx", "A 4367-2024")</f>
        <v/>
      </c>
    </row>
    <row r="339" ht="15" customHeight="1">
      <c r="A339" t="inlineStr">
        <is>
          <t>A 24386-2024</t>
        </is>
      </c>
      <c r="B339" s="1" t="n">
        <v>45457</v>
      </c>
      <c r="C339" s="1" t="n">
        <v>45895</v>
      </c>
      <c r="D339" t="inlineStr">
        <is>
          <t>NORRBOTTENS LÄN</t>
        </is>
      </c>
      <c r="E339" t="inlineStr">
        <is>
          <t>ÄLVSBYN</t>
        </is>
      </c>
      <c r="F339" t="inlineStr">
        <is>
          <t>Sveaskog</t>
        </is>
      </c>
      <c r="G339" t="n">
        <v>11</v>
      </c>
      <c r="H339" t="n">
        <v>0</v>
      </c>
      <c r="I339" t="n">
        <v>1</v>
      </c>
      <c r="J339" t="n">
        <v>1</v>
      </c>
      <c r="K339" t="n">
        <v>0</v>
      </c>
      <c r="L339" t="n">
        <v>0</v>
      </c>
      <c r="M339" t="n">
        <v>0</v>
      </c>
      <c r="N339" t="n">
        <v>0</v>
      </c>
      <c r="O339" t="n">
        <v>1</v>
      </c>
      <c r="P339" t="n">
        <v>0</v>
      </c>
      <c r="Q339" t="n">
        <v>2</v>
      </c>
      <c r="R339" s="2" t="inlineStr">
        <is>
          <t>Lunglav
Stuplav</t>
        </is>
      </c>
      <c r="S339">
        <f>HYPERLINK("https://klasma.github.io/Logging_2560/artfynd/A 24386-2024 artfynd.xlsx", "A 24386-2024")</f>
        <v/>
      </c>
      <c r="T339">
        <f>HYPERLINK("https://klasma.github.io/Logging_2560/kartor/A 24386-2024 karta.png", "A 24386-2024")</f>
        <v/>
      </c>
      <c r="V339">
        <f>HYPERLINK("https://klasma.github.io/Logging_2560/klagomål/A 24386-2024 FSC-klagomål.docx", "A 24386-2024")</f>
        <v/>
      </c>
      <c r="W339">
        <f>HYPERLINK("https://klasma.github.io/Logging_2560/klagomålsmail/A 24386-2024 FSC-klagomål mail.docx", "A 24386-2024")</f>
        <v/>
      </c>
      <c r="X339">
        <f>HYPERLINK("https://klasma.github.io/Logging_2560/tillsyn/A 24386-2024 tillsynsbegäran.docx", "A 24386-2024")</f>
        <v/>
      </c>
      <c r="Y339">
        <f>HYPERLINK("https://klasma.github.io/Logging_2560/tillsynsmail/A 24386-2024 tillsynsbegäran mail.docx", "A 24386-2024")</f>
        <v/>
      </c>
    </row>
    <row r="340" ht="15" customHeight="1">
      <c r="A340" t="inlineStr">
        <is>
          <t>A 21856-2025</t>
        </is>
      </c>
      <c r="B340" s="1" t="n">
        <v>45784</v>
      </c>
      <c r="C340" s="1" t="n">
        <v>45895</v>
      </c>
      <c r="D340" t="inlineStr">
        <is>
          <t>NORRBOTTENS LÄN</t>
        </is>
      </c>
      <c r="E340" t="inlineStr">
        <is>
          <t>ÄLVSBYN</t>
        </is>
      </c>
      <c r="F340" t="inlineStr">
        <is>
          <t>Sveaskog</t>
        </is>
      </c>
      <c r="G340" t="n">
        <v>26.9</v>
      </c>
      <c r="H340" t="n">
        <v>1</v>
      </c>
      <c r="I340" t="n">
        <v>2</v>
      </c>
      <c r="J340" t="n">
        <v>0</v>
      </c>
      <c r="K340" t="n">
        <v>0</v>
      </c>
      <c r="L340" t="n">
        <v>0</v>
      </c>
      <c r="M340" t="n">
        <v>0</v>
      </c>
      <c r="N340" t="n">
        <v>0</v>
      </c>
      <c r="O340" t="n">
        <v>0</v>
      </c>
      <c r="P340" t="n">
        <v>0</v>
      </c>
      <c r="Q340" t="n">
        <v>2</v>
      </c>
      <c r="R340" s="2" t="inlineStr">
        <is>
          <t>Plattlummer
Tibast</t>
        </is>
      </c>
      <c r="S340">
        <f>HYPERLINK("https://klasma.github.io/Logging_2560/artfynd/A 21856-2025 artfynd.xlsx", "A 21856-2025")</f>
        <v/>
      </c>
      <c r="T340">
        <f>HYPERLINK("https://klasma.github.io/Logging_2560/kartor/A 21856-2025 karta.png", "A 21856-2025")</f>
        <v/>
      </c>
      <c r="V340">
        <f>HYPERLINK("https://klasma.github.io/Logging_2560/klagomål/A 21856-2025 FSC-klagomål.docx", "A 21856-2025")</f>
        <v/>
      </c>
      <c r="W340">
        <f>HYPERLINK("https://klasma.github.io/Logging_2560/klagomålsmail/A 21856-2025 FSC-klagomål mail.docx", "A 21856-2025")</f>
        <v/>
      </c>
      <c r="X340">
        <f>HYPERLINK("https://klasma.github.io/Logging_2560/tillsyn/A 21856-2025 tillsynsbegäran.docx", "A 21856-2025")</f>
        <v/>
      </c>
      <c r="Y340">
        <f>HYPERLINK("https://klasma.github.io/Logging_2560/tillsynsmail/A 21856-2025 tillsynsbegäran mail.docx", "A 21856-2025")</f>
        <v/>
      </c>
    </row>
    <row r="341" ht="15" customHeight="1">
      <c r="A341" t="inlineStr">
        <is>
          <t>A 23134-2024</t>
        </is>
      </c>
      <c r="B341" s="1" t="n">
        <v>45450</v>
      </c>
      <c r="C341" s="1" t="n">
        <v>45895</v>
      </c>
      <c r="D341" t="inlineStr">
        <is>
          <t>NORRBOTTENS LÄN</t>
        </is>
      </c>
      <c r="E341" t="inlineStr">
        <is>
          <t>ÄLVSBYN</t>
        </is>
      </c>
      <c r="F341" t="inlineStr">
        <is>
          <t>Sveaskog</t>
        </is>
      </c>
      <c r="G341" t="n">
        <v>27.4</v>
      </c>
      <c r="H341" t="n">
        <v>0</v>
      </c>
      <c r="I341" t="n">
        <v>1</v>
      </c>
      <c r="J341" t="n">
        <v>1</v>
      </c>
      <c r="K341" t="n">
        <v>0</v>
      </c>
      <c r="L341" t="n">
        <v>0</v>
      </c>
      <c r="M341" t="n">
        <v>0</v>
      </c>
      <c r="N341" t="n">
        <v>0</v>
      </c>
      <c r="O341" t="n">
        <v>1</v>
      </c>
      <c r="P341" t="n">
        <v>0</v>
      </c>
      <c r="Q341" t="n">
        <v>2</v>
      </c>
      <c r="R341" s="2" t="inlineStr">
        <is>
          <t>Lunglav
Stuplav</t>
        </is>
      </c>
      <c r="S341">
        <f>HYPERLINK("https://klasma.github.io/Logging_2560/artfynd/A 23134-2024 artfynd.xlsx", "A 23134-2024")</f>
        <v/>
      </c>
      <c r="T341">
        <f>HYPERLINK("https://klasma.github.io/Logging_2560/kartor/A 23134-2024 karta.png", "A 23134-2024")</f>
        <v/>
      </c>
      <c r="V341">
        <f>HYPERLINK("https://klasma.github.io/Logging_2560/klagomål/A 23134-2024 FSC-klagomål.docx", "A 23134-2024")</f>
        <v/>
      </c>
      <c r="W341">
        <f>HYPERLINK("https://klasma.github.io/Logging_2560/klagomålsmail/A 23134-2024 FSC-klagomål mail.docx", "A 23134-2024")</f>
        <v/>
      </c>
      <c r="X341">
        <f>HYPERLINK("https://klasma.github.io/Logging_2560/tillsyn/A 23134-2024 tillsynsbegäran.docx", "A 23134-2024")</f>
        <v/>
      </c>
      <c r="Y341">
        <f>HYPERLINK("https://klasma.github.io/Logging_2560/tillsynsmail/A 23134-2024 tillsynsbegäran mail.docx", "A 23134-2024")</f>
        <v/>
      </c>
    </row>
    <row r="342" ht="15" customHeight="1">
      <c r="A342" t="inlineStr">
        <is>
          <t>A 52902-2021</t>
        </is>
      </c>
      <c r="B342" s="1" t="n">
        <v>44467</v>
      </c>
      <c r="C342" s="1" t="n">
        <v>45895</v>
      </c>
      <c r="D342" t="inlineStr">
        <is>
          <t>NORRBOTTENS LÄN</t>
        </is>
      </c>
      <c r="E342" t="inlineStr">
        <is>
          <t>KALIX</t>
        </is>
      </c>
      <c r="F342" t="inlineStr">
        <is>
          <t>Sveaskog</t>
        </is>
      </c>
      <c r="G342" t="n">
        <v>4.9</v>
      </c>
      <c r="H342" t="n">
        <v>1</v>
      </c>
      <c r="I342" t="n">
        <v>0</v>
      </c>
      <c r="J342" t="n">
        <v>1</v>
      </c>
      <c r="K342" t="n">
        <v>1</v>
      </c>
      <c r="L342" t="n">
        <v>0</v>
      </c>
      <c r="M342" t="n">
        <v>0</v>
      </c>
      <c r="N342" t="n">
        <v>0</v>
      </c>
      <c r="O342" t="n">
        <v>2</v>
      </c>
      <c r="P342" t="n">
        <v>1</v>
      </c>
      <c r="Q342" t="n">
        <v>2</v>
      </c>
      <c r="R342" s="2" t="inlineStr">
        <is>
          <t>Doftticka
Garnlav</t>
        </is>
      </c>
      <c r="S342">
        <f>HYPERLINK("https://klasma.github.io/Logging_2514/artfynd/A 52902-2021 artfynd.xlsx", "A 52902-2021")</f>
        <v/>
      </c>
      <c r="T342">
        <f>HYPERLINK("https://klasma.github.io/Logging_2514/kartor/A 52902-2021 karta.png", "A 52902-2021")</f>
        <v/>
      </c>
      <c r="V342">
        <f>HYPERLINK("https://klasma.github.io/Logging_2514/klagomål/A 52902-2021 FSC-klagomål.docx", "A 52902-2021")</f>
        <v/>
      </c>
      <c r="W342">
        <f>HYPERLINK("https://klasma.github.io/Logging_2514/klagomålsmail/A 52902-2021 FSC-klagomål mail.docx", "A 52902-2021")</f>
        <v/>
      </c>
      <c r="X342">
        <f>HYPERLINK("https://klasma.github.io/Logging_2514/tillsyn/A 52902-2021 tillsynsbegäran.docx", "A 52902-2021")</f>
        <v/>
      </c>
      <c r="Y342">
        <f>HYPERLINK("https://klasma.github.io/Logging_2514/tillsynsmail/A 52902-2021 tillsynsbegäran mail.docx", "A 52902-2021")</f>
        <v/>
      </c>
    </row>
    <row r="343" ht="15" customHeight="1">
      <c r="A343" t="inlineStr">
        <is>
          <t>A 67902-2021</t>
        </is>
      </c>
      <c r="B343" s="1" t="n">
        <v>44525</v>
      </c>
      <c r="C343" s="1" t="n">
        <v>45895</v>
      </c>
      <c r="D343" t="inlineStr">
        <is>
          <t>NORRBOTTENS LÄN</t>
        </is>
      </c>
      <c r="E343" t="inlineStr">
        <is>
          <t>PITEÅ</t>
        </is>
      </c>
      <c r="F343" t="inlineStr">
        <is>
          <t>Sveaskog</t>
        </is>
      </c>
      <c r="G343" t="n">
        <v>1.6</v>
      </c>
      <c r="H343" t="n">
        <v>0</v>
      </c>
      <c r="I343" t="n">
        <v>1</v>
      </c>
      <c r="J343" t="n">
        <v>1</v>
      </c>
      <c r="K343" t="n">
        <v>0</v>
      </c>
      <c r="L343" t="n">
        <v>0</v>
      </c>
      <c r="M343" t="n">
        <v>0</v>
      </c>
      <c r="N343" t="n">
        <v>0</v>
      </c>
      <c r="O343" t="n">
        <v>1</v>
      </c>
      <c r="P343" t="n">
        <v>0</v>
      </c>
      <c r="Q343" t="n">
        <v>2</v>
      </c>
      <c r="R343" s="2" t="inlineStr">
        <is>
          <t>Rosenticka
Stor aspticka</t>
        </is>
      </c>
      <c r="S343">
        <f>HYPERLINK("https://klasma.github.io/Logging_2581/artfynd/A 67902-2021 artfynd.xlsx", "A 67902-2021")</f>
        <v/>
      </c>
      <c r="T343">
        <f>HYPERLINK("https://klasma.github.io/Logging_2581/kartor/A 67902-2021 karta.png", "A 67902-2021")</f>
        <v/>
      </c>
      <c r="V343">
        <f>HYPERLINK("https://klasma.github.io/Logging_2581/klagomål/A 67902-2021 FSC-klagomål.docx", "A 67902-2021")</f>
        <v/>
      </c>
      <c r="W343">
        <f>HYPERLINK("https://klasma.github.io/Logging_2581/klagomålsmail/A 67902-2021 FSC-klagomål mail.docx", "A 67902-2021")</f>
        <v/>
      </c>
      <c r="X343">
        <f>HYPERLINK("https://klasma.github.io/Logging_2581/tillsyn/A 67902-2021 tillsynsbegäran.docx", "A 67902-2021")</f>
        <v/>
      </c>
      <c r="Y343">
        <f>HYPERLINK("https://klasma.github.io/Logging_2581/tillsynsmail/A 67902-2021 tillsynsbegäran mail.docx", "A 67902-2021")</f>
        <v/>
      </c>
    </row>
    <row r="344" ht="15" customHeight="1">
      <c r="A344" t="inlineStr">
        <is>
          <t>A 32982-2023</t>
        </is>
      </c>
      <c r="B344" s="1" t="n">
        <v>45113</v>
      </c>
      <c r="C344" s="1" t="n">
        <v>45895</v>
      </c>
      <c r="D344" t="inlineStr">
        <is>
          <t>NORRBOTTENS LÄN</t>
        </is>
      </c>
      <c r="E344" t="inlineStr">
        <is>
          <t>JOKKMOKK</t>
        </is>
      </c>
      <c r="F344" t="inlineStr">
        <is>
          <t>Övriga statliga verk och myndigheter</t>
        </is>
      </c>
      <c r="G344" t="n">
        <v>21</v>
      </c>
      <c r="H344" t="n">
        <v>0</v>
      </c>
      <c r="I344" t="n">
        <v>0</v>
      </c>
      <c r="J344" t="n">
        <v>0</v>
      </c>
      <c r="K344" t="n">
        <v>2</v>
      </c>
      <c r="L344" t="n">
        <v>0</v>
      </c>
      <c r="M344" t="n">
        <v>0</v>
      </c>
      <c r="N344" t="n">
        <v>0</v>
      </c>
      <c r="O344" t="n">
        <v>2</v>
      </c>
      <c r="P344" t="n">
        <v>2</v>
      </c>
      <c r="Q344" t="n">
        <v>2</v>
      </c>
      <c r="R344" s="2" t="inlineStr">
        <is>
          <t>Smalfotad taggsvamp
Tajgataggsvamp</t>
        </is>
      </c>
      <c r="S344">
        <f>HYPERLINK("https://klasma.github.io/Logging_2510/artfynd/A 32982-2023 artfynd.xlsx", "A 32982-2023")</f>
        <v/>
      </c>
      <c r="T344">
        <f>HYPERLINK("https://klasma.github.io/Logging_2510/kartor/A 32982-2023 karta.png", "A 32982-2023")</f>
        <v/>
      </c>
      <c r="V344">
        <f>HYPERLINK("https://klasma.github.io/Logging_2510/klagomål/A 32982-2023 FSC-klagomål.docx", "A 32982-2023")</f>
        <v/>
      </c>
      <c r="W344">
        <f>HYPERLINK("https://klasma.github.io/Logging_2510/klagomålsmail/A 32982-2023 FSC-klagomål mail.docx", "A 32982-2023")</f>
        <v/>
      </c>
      <c r="X344">
        <f>HYPERLINK("https://klasma.github.io/Logging_2510/tillsyn/A 32982-2023 tillsynsbegäran.docx", "A 32982-2023")</f>
        <v/>
      </c>
      <c r="Y344">
        <f>HYPERLINK("https://klasma.github.io/Logging_2510/tillsynsmail/A 32982-2023 tillsynsbegäran mail.docx", "A 32982-2023")</f>
        <v/>
      </c>
    </row>
    <row r="345" ht="15" customHeight="1">
      <c r="A345" t="inlineStr">
        <is>
          <t>A 36981-2023</t>
        </is>
      </c>
      <c r="B345" s="1" t="n">
        <v>45154</v>
      </c>
      <c r="C345" s="1" t="n">
        <v>45895</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53264-2023</t>
        </is>
      </c>
      <c r="B346" s="1" t="n">
        <v>45222</v>
      </c>
      <c r="C346" s="1" t="n">
        <v>45895</v>
      </c>
      <c r="D346" t="inlineStr">
        <is>
          <t>NORRBOTTENS LÄN</t>
        </is>
      </c>
      <c r="E346" t="inlineStr">
        <is>
          <t>KIRUNA</t>
        </is>
      </c>
      <c r="G346" t="n">
        <v>100.3</v>
      </c>
      <c r="H346" t="n">
        <v>2</v>
      </c>
      <c r="I346" t="n">
        <v>1</v>
      </c>
      <c r="J346" t="n">
        <v>0</v>
      </c>
      <c r="K346" t="n">
        <v>0</v>
      </c>
      <c r="L346" t="n">
        <v>0</v>
      </c>
      <c r="M346" t="n">
        <v>0</v>
      </c>
      <c r="N346" t="n">
        <v>0</v>
      </c>
      <c r="O346" t="n">
        <v>0</v>
      </c>
      <c r="P346" t="n">
        <v>0</v>
      </c>
      <c r="Q346" t="n">
        <v>2</v>
      </c>
      <c r="R346" s="2" t="inlineStr">
        <is>
          <t>Plattlummer
Revlummer</t>
        </is>
      </c>
      <c r="S346">
        <f>HYPERLINK("https://klasma.github.io/Logging_2584/artfynd/A 53264-2023 artfynd.xlsx", "A 53264-2023")</f>
        <v/>
      </c>
      <c r="T346">
        <f>HYPERLINK("https://klasma.github.io/Logging_2584/kartor/A 53264-2023 karta.png", "A 53264-2023")</f>
        <v/>
      </c>
      <c r="V346">
        <f>HYPERLINK("https://klasma.github.io/Logging_2584/klagomål/A 53264-2023 FSC-klagomål.docx", "A 53264-2023")</f>
        <v/>
      </c>
      <c r="W346">
        <f>HYPERLINK("https://klasma.github.io/Logging_2584/klagomålsmail/A 53264-2023 FSC-klagomål mail.docx", "A 53264-2023")</f>
        <v/>
      </c>
      <c r="X346">
        <f>HYPERLINK("https://klasma.github.io/Logging_2584/tillsyn/A 53264-2023 tillsynsbegäran.docx", "A 53264-2023")</f>
        <v/>
      </c>
      <c r="Y346">
        <f>HYPERLINK("https://klasma.github.io/Logging_2584/tillsynsmail/A 53264-2023 tillsynsbegäran mail.docx", "A 53264-2023")</f>
        <v/>
      </c>
    </row>
    <row r="347" ht="15" customHeight="1">
      <c r="A347" t="inlineStr">
        <is>
          <t>A 22567-2025</t>
        </is>
      </c>
      <c r="B347" s="1" t="n">
        <v>45789</v>
      </c>
      <c r="C347" s="1" t="n">
        <v>45895</v>
      </c>
      <c r="D347" t="inlineStr">
        <is>
          <t>NORRBOTTENS LÄN</t>
        </is>
      </c>
      <c r="E347" t="inlineStr">
        <is>
          <t>ÄLVSBYN</t>
        </is>
      </c>
      <c r="F347" t="inlineStr">
        <is>
          <t>Sveaskog</t>
        </is>
      </c>
      <c r="G347" t="n">
        <v>3.1</v>
      </c>
      <c r="H347" t="n">
        <v>0</v>
      </c>
      <c r="I347" t="n">
        <v>0</v>
      </c>
      <c r="J347" t="n">
        <v>1</v>
      </c>
      <c r="K347" t="n">
        <v>1</v>
      </c>
      <c r="L347" t="n">
        <v>0</v>
      </c>
      <c r="M347" t="n">
        <v>0</v>
      </c>
      <c r="N347" t="n">
        <v>0</v>
      </c>
      <c r="O347" t="n">
        <v>2</v>
      </c>
      <c r="P347" t="n">
        <v>1</v>
      </c>
      <c r="Q347" t="n">
        <v>2</v>
      </c>
      <c r="R347" s="2" t="inlineStr">
        <is>
          <t>Rotfingersvamp
Orange taggsvamp</t>
        </is>
      </c>
      <c r="S347">
        <f>HYPERLINK("https://klasma.github.io/Logging_2560/artfynd/A 22567-2025 artfynd.xlsx", "A 22567-2025")</f>
        <v/>
      </c>
      <c r="T347">
        <f>HYPERLINK("https://klasma.github.io/Logging_2560/kartor/A 22567-2025 karta.png", "A 22567-2025")</f>
        <v/>
      </c>
      <c r="V347">
        <f>HYPERLINK("https://klasma.github.io/Logging_2560/klagomål/A 22567-2025 FSC-klagomål.docx", "A 22567-2025")</f>
        <v/>
      </c>
      <c r="W347">
        <f>HYPERLINK("https://klasma.github.io/Logging_2560/klagomålsmail/A 22567-2025 FSC-klagomål mail.docx", "A 22567-2025")</f>
        <v/>
      </c>
      <c r="X347">
        <f>HYPERLINK("https://klasma.github.io/Logging_2560/tillsyn/A 22567-2025 tillsynsbegäran.docx", "A 22567-2025")</f>
        <v/>
      </c>
      <c r="Y347">
        <f>HYPERLINK("https://klasma.github.io/Logging_2560/tillsynsmail/A 22567-2025 tillsynsbegäran mail.docx", "A 22567-2025")</f>
        <v/>
      </c>
    </row>
    <row r="348" ht="15" customHeight="1">
      <c r="A348" t="inlineStr">
        <is>
          <t>A 9306-2025</t>
        </is>
      </c>
      <c r="B348" s="1" t="n">
        <v>45714</v>
      </c>
      <c r="C348" s="1" t="n">
        <v>45895</v>
      </c>
      <c r="D348" t="inlineStr">
        <is>
          <t>NORRBOTTENS LÄN</t>
        </is>
      </c>
      <c r="E348" t="inlineStr">
        <is>
          <t>BODEN</t>
        </is>
      </c>
      <c r="F348" t="inlineStr">
        <is>
          <t>SCA</t>
        </is>
      </c>
      <c r="G348" t="n">
        <v>11.7</v>
      </c>
      <c r="H348" t="n">
        <v>0</v>
      </c>
      <c r="I348" t="n">
        <v>0</v>
      </c>
      <c r="J348" t="n">
        <v>1</v>
      </c>
      <c r="K348" t="n">
        <v>1</v>
      </c>
      <c r="L348" t="n">
        <v>0</v>
      </c>
      <c r="M348" t="n">
        <v>0</v>
      </c>
      <c r="N348" t="n">
        <v>0</v>
      </c>
      <c r="O348" t="n">
        <v>2</v>
      </c>
      <c r="P348" t="n">
        <v>1</v>
      </c>
      <c r="Q348" t="n">
        <v>2</v>
      </c>
      <c r="R348" s="2" t="inlineStr">
        <is>
          <t>Rynkskinn
Lunglav</t>
        </is>
      </c>
      <c r="S348">
        <f>HYPERLINK("https://klasma.github.io/Logging_2582/artfynd/A 9306-2025 artfynd.xlsx", "A 9306-2025")</f>
        <v/>
      </c>
      <c r="T348">
        <f>HYPERLINK("https://klasma.github.io/Logging_2582/kartor/A 9306-2025 karta.png", "A 9306-2025")</f>
        <v/>
      </c>
      <c r="V348">
        <f>HYPERLINK("https://klasma.github.io/Logging_2582/klagomål/A 9306-2025 FSC-klagomål.docx", "A 9306-2025")</f>
        <v/>
      </c>
      <c r="W348">
        <f>HYPERLINK("https://klasma.github.io/Logging_2582/klagomålsmail/A 9306-2025 FSC-klagomål mail.docx", "A 9306-2025")</f>
        <v/>
      </c>
      <c r="X348">
        <f>HYPERLINK("https://klasma.github.io/Logging_2582/tillsyn/A 9306-2025 tillsynsbegäran.docx", "A 9306-2025")</f>
        <v/>
      </c>
      <c r="Y348">
        <f>HYPERLINK("https://klasma.github.io/Logging_2582/tillsynsmail/A 9306-2025 tillsynsbegäran mail.docx", "A 9306-2025")</f>
        <v/>
      </c>
    </row>
    <row r="349" ht="15" customHeight="1">
      <c r="A349" t="inlineStr">
        <is>
          <t>A 64829-2023</t>
        </is>
      </c>
      <c r="B349" s="1" t="n">
        <v>45281</v>
      </c>
      <c r="C349" s="1" t="n">
        <v>45895</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32301-2023</t>
        </is>
      </c>
      <c r="B350" s="1" t="n">
        <v>45120</v>
      </c>
      <c r="C350" s="1" t="n">
        <v>45895</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32971-2024</t>
        </is>
      </c>
      <c r="B351" s="1" t="n">
        <v>45517</v>
      </c>
      <c r="C351" s="1" t="n">
        <v>45895</v>
      </c>
      <c r="D351" t="inlineStr">
        <is>
          <t>NORRBOTTENS LÄN</t>
        </is>
      </c>
      <c r="E351" t="inlineStr">
        <is>
          <t>BODEN</t>
        </is>
      </c>
      <c r="F351" t="inlineStr">
        <is>
          <t>Sveaskog</t>
        </is>
      </c>
      <c r="G351" t="n">
        <v>10</v>
      </c>
      <c r="H351" t="n">
        <v>1</v>
      </c>
      <c r="I351" t="n">
        <v>0</v>
      </c>
      <c r="J351" t="n">
        <v>1</v>
      </c>
      <c r="K351" t="n">
        <v>0</v>
      </c>
      <c r="L351" t="n">
        <v>0</v>
      </c>
      <c r="M351" t="n">
        <v>0</v>
      </c>
      <c r="N351" t="n">
        <v>0</v>
      </c>
      <c r="O351" t="n">
        <v>1</v>
      </c>
      <c r="P351" t="n">
        <v>0</v>
      </c>
      <c r="Q351" t="n">
        <v>2</v>
      </c>
      <c r="R351" s="2" t="inlineStr">
        <is>
          <t>Lunglav
Fläcknycklar</t>
        </is>
      </c>
      <c r="S351">
        <f>HYPERLINK("https://klasma.github.io/Logging_2582/artfynd/A 32971-2024 artfynd.xlsx", "A 32971-2024")</f>
        <v/>
      </c>
      <c r="T351">
        <f>HYPERLINK("https://klasma.github.io/Logging_2582/kartor/A 32971-2024 karta.png", "A 32971-2024")</f>
        <v/>
      </c>
      <c r="V351">
        <f>HYPERLINK("https://klasma.github.io/Logging_2582/klagomål/A 32971-2024 FSC-klagomål.docx", "A 32971-2024")</f>
        <v/>
      </c>
      <c r="W351">
        <f>HYPERLINK("https://klasma.github.io/Logging_2582/klagomålsmail/A 32971-2024 FSC-klagomål mail.docx", "A 32971-2024")</f>
        <v/>
      </c>
      <c r="X351">
        <f>HYPERLINK("https://klasma.github.io/Logging_2582/tillsyn/A 32971-2024 tillsynsbegäran.docx", "A 32971-2024")</f>
        <v/>
      </c>
      <c r="Y351">
        <f>HYPERLINK("https://klasma.github.io/Logging_2582/tillsynsmail/A 32971-2024 tillsynsbegäran mail.docx", "A 32971-2024")</f>
        <v/>
      </c>
    </row>
    <row r="352" ht="15" customHeight="1">
      <c r="A352" t="inlineStr">
        <is>
          <t>A 54332-2024</t>
        </is>
      </c>
      <c r="B352" s="1" t="n">
        <v>45617</v>
      </c>
      <c r="C352" s="1" t="n">
        <v>45895</v>
      </c>
      <c r="D352" t="inlineStr">
        <is>
          <t>NORRBOTTENS LÄN</t>
        </is>
      </c>
      <c r="E352" t="inlineStr">
        <is>
          <t>KALIX</t>
        </is>
      </c>
      <c r="F352" t="inlineStr">
        <is>
          <t>Sveaskog</t>
        </is>
      </c>
      <c r="G352" t="n">
        <v>10.3</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54332-2024 artfynd.xlsx", "A 54332-2024")</f>
        <v/>
      </c>
      <c r="T352">
        <f>HYPERLINK("https://klasma.github.io/Logging_2514/kartor/A 54332-2024 karta.png", "A 54332-2024")</f>
        <v/>
      </c>
      <c r="V352">
        <f>HYPERLINK("https://klasma.github.io/Logging_2514/klagomål/A 54332-2024 FSC-klagomål.docx", "A 54332-2024")</f>
        <v/>
      </c>
      <c r="W352">
        <f>HYPERLINK("https://klasma.github.io/Logging_2514/klagomålsmail/A 54332-2024 FSC-klagomål mail.docx", "A 54332-2024")</f>
        <v/>
      </c>
      <c r="X352">
        <f>HYPERLINK("https://klasma.github.io/Logging_2514/tillsyn/A 54332-2024 tillsynsbegäran.docx", "A 54332-2024")</f>
        <v/>
      </c>
      <c r="Y352">
        <f>HYPERLINK("https://klasma.github.io/Logging_2514/tillsynsmail/A 54332-2024 tillsynsbegäran mail.docx", "A 54332-2024")</f>
        <v/>
      </c>
    </row>
    <row r="353" ht="15" customHeight="1">
      <c r="A353" t="inlineStr">
        <is>
          <t>A 45032-2023</t>
        </is>
      </c>
      <c r="B353" s="1" t="n">
        <v>45190</v>
      </c>
      <c r="C353" s="1" t="n">
        <v>45895</v>
      </c>
      <c r="D353" t="inlineStr">
        <is>
          <t>NORRBOTTENS LÄN</t>
        </is>
      </c>
      <c r="E353" t="inlineStr">
        <is>
          <t>ARJEPLOG</t>
        </is>
      </c>
      <c r="F353" t="inlineStr">
        <is>
          <t>Övriga statliga verk och myndigheter</t>
        </is>
      </c>
      <c r="G353" t="n">
        <v>6.3</v>
      </c>
      <c r="H353" t="n">
        <v>1</v>
      </c>
      <c r="I353" t="n">
        <v>0</v>
      </c>
      <c r="J353" t="n">
        <v>2</v>
      </c>
      <c r="K353" t="n">
        <v>0</v>
      </c>
      <c r="L353" t="n">
        <v>0</v>
      </c>
      <c r="M353" t="n">
        <v>0</v>
      </c>
      <c r="N353" t="n">
        <v>0</v>
      </c>
      <c r="O353" t="n">
        <v>2</v>
      </c>
      <c r="P353" t="n">
        <v>0</v>
      </c>
      <c r="Q353" t="n">
        <v>2</v>
      </c>
      <c r="R353" s="2" t="inlineStr">
        <is>
          <t>Gammelgransskål
Tretåig hackspett</t>
        </is>
      </c>
      <c r="S353">
        <f>HYPERLINK("https://klasma.github.io/Logging_2506/artfynd/A 45032-2023 artfynd.xlsx", "A 45032-2023")</f>
        <v/>
      </c>
      <c r="T353">
        <f>HYPERLINK("https://klasma.github.io/Logging_2506/kartor/A 45032-2023 karta.png", "A 45032-2023")</f>
        <v/>
      </c>
      <c r="V353">
        <f>HYPERLINK("https://klasma.github.io/Logging_2506/klagomål/A 45032-2023 FSC-klagomål.docx", "A 45032-2023")</f>
        <v/>
      </c>
      <c r="W353">
        <f>HYPERLINK("https://klasma.github.io/Logging_2506/klagomålsmail/A 45032-2023 FSC-klagomål mail.docx", "A 45032-2023")</f>
        <v/>
      </c>
      <c r="X353">
        <f>HYPERLINK("https://klasma.github.io/Logging_2506/tillsyn/A 45032-2023 tillsynsbegäran.docx", "A 45032-2023")</f>
        <v/>
      </c>
      <c r="Y353">
        <f>HYPERLINK("https://klasma.github.io/Logging_2506/tillsynsmail/A 45032-2023 tillsynsbegäran mail.docx", "A 45032-2023")</f>
        <v/>
      </c>
      <c r="Z353">
        <f>HYPERLINK("https://klasma.github.io/Logging_2506/fåglar/A 45032-2023 prioriterade fågelarter.docx", "A 45032-2023")</f>
        <v/>
      </c>
    </row>
    <row r="354" ht="15" customHeight="1">
      <c r="A354" t="inlineStr">
        <is>
          <t>A 45310-2024</t>
        </is>
      </c>
      <c r="B354" s="1" t="n">
        <v>45576</v>
      </c>
      <c r="C354" s="1" t="n">
        <v>45895</v>
      </c>
      <c r="D354" t="inlineStr">
        <is>
          <t>NORRBOTTENS LÄN</t>
        </is>
      </c>
      <c r="E354" t="inlineStr">
        <is>
          <t>ÄLVSBYN</t>
        </is>
      </c>
      <c r="G354" t="n">
        <v>8.199999999999999</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45310-2024 artfynd.xlsx", "A 45310-2024")</f>
        <v/>
      </c>
      <c r="T354">
        <f>HYPERLINK("https://klasma.github.io/Logging_2560/kartor/A 45310-2024 karta.png", "A 45310-2024")</f>
        <v/>
      </c>
      <c r="V354">
        <f>HYPERLINK("https://klasma.github.io/Logging_2560/klagomål/A 45310-2024 FSC-klagomål.docx", "A 45310-2024")</f>
        <v/>
      </c>
      <c r="W354">
        <f>HYPERLINK("https://klasma.github.io/Logging_2560/klagomålsmail/A 45310-2024 FSC-klagomål mail.docx", "A 45310-2024")</f>
        <v/>
      </c>
      <c r="X354">
        <f>HYPERLINK("https://klasma.github.io/Logging_2560/tillsyn/A 45310-2024 tillsynsbegäran.docx", "A 45310-2024")</f>
        <v/>
      </c>
      <c r="Y354">
        <f>HYPERLINK("https://klasma.github.io/Logging_2560/tillsynsmail/A 45310-2024 tillsynsbegäran mail.docx", "A 45310-2024")</f>
        <v/>
      </c>
    </row>
    <row r="355" ht="15" customHeight="1">
      <c r="A355" t="inlineStr">
        <is>
          <t>A 11372-2025</t>
        </is>
      </c>
      <c r="B355" s="1" t="n">
        <v>45726.55266203704</v>
      </c>
      <c r="C355" s="1" t="n">
        <v>45895</v>
      </c>
      <c r="D355" t="inlineStr">
        <is>
          <t>NORRBOTTENS LÄN</t>
        </is>
      </c>
      <c r="E355" t="inlineStr">
        <is>
          <t>PITEÅ</t>
        </is>
      </c>
      <c r="G355" t="n">
        <v>4.7</v>
      </c>
      <c r="H355" t="n">
        <v>2</v>
      </c>
      <c r="I355" t="n">
        <v>0</v>
      </c>
      <c r="J355" t="n">
        <v>1</v>
      </c>
      <c r="K355" t="n">
        <v>0</v>
      </c>
      <c r="L355" t="n">
        <v>0</v>
      </c>
      <c r="M355" t="n">
        <v>0</v>
      </c>
      <c r="N355" t="n">
        <v>0</v>
      </c>
      <c r="O355" t="n">
        <v>1</v>
      </c>
      <c r="P355" t="n">
        <v>0</v>
      </c>
      <c r="Q355" t="n">
        <v>2</v>
      </c>
      <c r="R355" s="2" t="inlineStr">
        <is>
          <t>Tretåig hackspett
Vanlig padda</t>
        </is>
      </c>
      <c r="S355">
        <f>HYPERLINK("https://klasma.github.io/Logging_2581/artfynd/A 11372-2025 artfynd.xlsx", "A 11372-2025")</f>
        <v/>
      </c>
      <c r="T355">
        <f>HYPERLINK("https://klasma.github.io/Logging_2581/kartor/A 11372-2025 karta.png", "A 11372-2025")</f>
        <v/>
      </c>
      <c r="V355">
        <f>HYPERLINK("https://klasma.github.io/Logging_2581/klagomål/A 11372-2025 FSC-klagomål.docx", "A 11372-2025")</f>
        <v/>
      </c>
      <c r="W355">
        <f>HYPERLINK("https://klasma.github.io/Logging_2581/klagomålsmail/A 11372-2025 FSC-klagomål mail.docx", "A 11372-2025")</f>
        <v/>
      </c>
      <c r="X355">
        <f>HYPERLINK("https://klasma.github.io/Logging_2581/tillsyn/A 11372-2025 tillsynsbegäran.docx", "A 11372-2025")</f>
        <v/>
      </c>
      <c r="Y355">
        <f>HYPERLINK("https://klasma.github.io/Logging_2581/tillsynsmail/A 11372-2025 tillsynsbegäran mail.docx", "A 11372-2025")</f>
        <v/>
      </c>
      <c r="Z355">
        <f>HYPERLINK("https://klasma.github.io/Logging_2581/fåglar/A 11372-2025 prioriterade fågelarter.docx", "A 11372-2025")</f>
        <v/>
      </c>
    </row>
    <row r="356" ht="15" customHeight="1">
      <c r="A356" t="inlineStr">
        <is>
          <t>A 11465-2025</t>
        </is>
      </c>
      <c r="B356" s="1" t="n">
        <v>45726.65811342592</v>
      </c>
      <c r="C356" s="1" t="n">
        <v>45895</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53419-2020</t>
        </is>
      </c>
      <c r="B357" s="1" t="n">
        <v>44123</v>
      </c>
      <c r="C357" s="1" t="n">
        <v>45895</v>
      </c>
      <c r="D357" t="inlineStr">
        <is>
          <t>NORRBOTTENS LÄN</t>
        </is>
      </c>
      <c r="E357" t="inlineStr">
        <is>
          <t>KALIX</t>
        </is>
      </c>
      <c r="G357" t="n">
        <v>28.4</v>
      </c>
      <c r="H357" t="n">
        <v>1</v>
      </c>
      <c r="I357" t="n">
        <v>0</v>
      </c>
      <c r="J357" t="n">
        <v>0</v>
      </c>
      <c r="K357" t="n">
        <v>1</v>
      </c>
      <c r="L357" t="n">
        <v>0</v>
      </c>
      <c r="M357" t="n">
        <v>0</v>
      </c>
      <c r="N357" t="n">
        <v>0</v>
      </c>
      <c r="O357" t="n">
        <v>1</v>
      </c>
      <c r="P357" t="n">
        <v>1</v>
      </c>
      <c r="Q357" t="n">
        <v>2</v>
      </c>
      <c r="R357" s="2" t="inlineStr">
        <is>
          <t>Flotagräs
Revlummer</t>
        </is>
      </c>
      <c r="S357">
        <f>HYPERLINK("https://klasma.github.io/Logging_2514/artfynd/A 53419-2020 artfynd.xlsx", "A 53419-2020")</f>
        <v/>
      </c>
      <c r="T357">
        <f>HYPERLINK("https://klasma.github.io/Logging_2514/kartor/A 53419-2020 karta.png", "A 53419-2020")</f>
        <v/>
      </c>
      <c r="V357">
        <f>HYPERLINK("https://klasma.github.io/Logging_2514/klagomål/A 53419-2020 FSC-klagomål.docx", "A 53419-2020")</f>
        <v/>
      </c>
      <c r="W357">
        <f>HYPERLINK("https://klasma.github.io/Logging_2514/klagomålsmail/A 53419-2020 FSC-klagomål mail.docx", "A 53419-2020")</f>
        <v/>
      </c>
      <c r="X357">
        <f>HYPERLINK("https://klasma.github.io/Logging_2514/tillsyn/A 53419-2020 tillsynsbegäran.docx", "A 53419-2020")</f>
        <v/>
      </c>
      <c r="Y357">
        <f>HYPERLINK("https://klasma.github.io/Logging_2514/tillsynsmail/A 53419-2020 tillsynsbegäran mail.docx", "A 53419-2020")</f>
        <v/>
      </c>
    </row>
    <row r="358" ht="15" customHeight="1">
      <c r="A358" t="inlineStr">
        <is>
          <t>A 36803-2023</t>
        </is>
      </c>
      <c r="B358" s="1" t="n">
        <v>45154</v>
      </c>
      <c r="C358" s="1" t="n">
        <v>45895</v>
      </c>
      <c r="D358" t="inlineStr">
        <is>
          <t>NORRBOTTENS LÄN</t>
        </is>
      </c>
      <c r="E358" t="inlineStr">
        <is>
          <t>ÖVERKALIX</t>
        </is>
      </c>
      <c r="G358" t="n">
        <v>3.1</v>
      </c>
      <c r="H358" t="n">
        <v>2</v>
      </c>
      <c r="I358" t="n">
        <v>0</v>
      </c>
      <c r="J358" t="n">
        <v>0</v>
      </c>
      <c r="K358" t="n">
        <v>1</v>
      </c>
      <c r="L358" t="n">
        <v>0</v>
      </c>
      <c r="M358" t="n">
        <v>0</v>
      </c>
      <c r="N358" t="n">
        <v>0</v>
      </c>
      <c r="O358" t="n">
        <v>1</v>
      </c>
      <c r="P358" t="n">
        <v>1</v>
      </c>
      <c r="Q358" t="n">
        <v>2</v>
      </c>
      <c r="R358" s="2" t="inlineStr">
        <is>
          <t>Knärot
Revlummer</t>
        </is>
      </c>
      <c r="S358">
        <f>HYPERLINK("https://klasma.github.io/Logging_2513/artfynd/A 36803-2023 artfynd.xlsx", "A 36803-2023")</f>
        <v/>
      </c>
      <c r="T358">
        <f>HYPERLINK("https://klasma.github.io/Logging_2513/kartor/A 36803-2023 karta.png", "A 36803-2023")</f>
        <v/>
      </c>
      <c r="U358">
        <f>HYPERLINK("https://klasma.github.io/Logging_2513/knärot/A 36803-2023 karta knärot.png", "A 36803-2023")</f>
        <v/>
      </c>
      <c r="V358">
        <f>HYPERLINK("https://klasma.github.io/Logging_2513/klagomål/A 36803-2023 FSC-klagomål.docx", "A 36803-2023")</f>
        <v/>
      </c>
      <c r="W358">
        <f>HYPERLINK("https://klasma.github.io/Logging_2513/klagomålsmail/A 36803-2023 FSC-klagomål mail.docx", "A 36803-2023")</f>
        <v/>
      </c>
      <c r="X358">
        <f>HYPERLINK("https://klasma.github.io/Logging_2513/tillsyn/A 36803-2023 tillsynsbegäran.docx", "A 36803-2023")</f>
        <v/>
      </c>
      <c r="Y358">
        <f>HYPERLINK("https://klasma.github.io/Logging_2513/tillsynsmail/A 36803-2023 tillsynsbegäran mail.docx", "A 36803-2023")</f>
        <v/>
      </c>
    </row>
    <row r="359" ht="15" customHeight="1">
      <c r="A359" t="inlineStr">
        <is>
          <t>A 38570-2024</t>
        </is>
      </c>
      <c r="B359" s="1" t="n">
        <v>45546</v>
      </c>
      <c r="C359" s="1" t="n">
        <v>45895</v>
      </c>
      <c r="D359" t="inlineStr">
        <is>
          <t>NORRBOTTENS LÄN</t>
        </is>
      </c>
      <c r="E359" t="inlineStr">
        <is>
          <t>PITEÅ</t>
        </is>
      </c>
      <c r="G359" t="n">
        <v>13.9</v>
      </c>
      <c r="H359" t="n">
        <v>0</v>
      </c>
      <c r="I359" t="n">
        <v>1</v>
      </c>
      <c r="J359" t="n">
        <v>1</v>
      </c>
      <c r="K359" t="n">
        <v>0</v>
      </c>
      <c r="L359" t="n">
        <v>0</v>
      </c>
      <c r="M359" t="n">
        <v>0</v>
      </c>
      <c r="N359" t="n">
        <v>0</v>
      </c>
      <c r="O359" t="n">
        <v>1</v>
      </c>
      <c r="P359" t="n">
        <v>0</v>
      </c>
      <c r="Q359" t="n">
        <v>2</v>
      </c>
      <c r="R359" s="2" t="inlineStr">
        <is>
          <t>Lunglav
Ögonpyrola</t>
        </is>
      </c>
      <c r="S359">
        <f>HYPERLINK("https://klasma.github.io/Logging_2581/artfynd/A 38570-2024 artfynd.xlsx", "A 38570-2024")</f>
        <v/>
      </c>
      <c r="T359">
        <f>HYPERLINK("https://klasma.github.io/Logging_2581/kartor/A 38570-2024 karta.png", "A 38570-2024")</f>
        <v/>
      </c>
      <c r="V359">
        <f>HYPERLINK("https://klasma.github.io/Logging_2581/klagomål/A 38570-2024 FSC-klagomål.docx", "A 38570-2024")</f>
        <v/>
      </c>
      <c r="W359">
        <f>HYPERLINK("https://klasma.github.io/Logging_2581/klagomålsmail/A 38570-2024 FSC-klagomål mail.docx", "A 38570-2024")</f>
        <v/>
      </c>
      <c r="X359">
        <f>HYPERLINK("https://klasma.github.io/Logging_2581/tillsyn/A 38570-2024 tillsynsbegäran.docx", "A 38570-2024")</f>
        <v/>
      </c>
      <c r="Y359">
        <f>HYPERLINK("https://klasma.github.io/Logging_2581/tillsynsmail/A 38570-2024 tillsynsbegäran mail.docx", "A 38570-2024")</f>
        <v/>
      </c>
    </row>
    <row r="360" ht="15" customHeight="1">
      <c r="A360" t="inlineStr">
        <is>
          <t>A 5793-2025</t>
        </is>
      </c>
      <c r="B360" s="1" t="n">
        <v>45694</v>
      </c>
      <c r="C360" s="1" t="n">
        <v>45895</v>
      </c>
      <c r="D360" t="inlineStr">
        <is>
          <t>NORRBOTTENS LÄN</t>
        </is>
      </c>
      <c r="E360" t="inlineStr">
        <is>
          <t>GÄLLIVARE</t>
        </is>
      </c>
      <c r="F360" t="inlineStr">
        <is>
          <t>SCA</t>
        </is>
      </c>
      <c r="G360" t="n">
        <v>2.4</v>
      </c>
      <c r="H360" t="n">
        <v>0</v>
      </c>
      <c r="I360" t="n">
        <v>0</v>
      </c>
      <c r="J360" t="n">
        <v>2</v>
      </c>
      <c r="K360" t="n">
        <v>0</v>
      </c>
      <c r="L360" t="n">
        <v>0</v>
      </c>
      <c r="M360" t="n">
        <v>0</v>
      </c>
      <c r="N360" t="n">
        <v>0</v>
      </c>
      <c r="O360" t="n">
        <v>2</v>
      </c>
      <c r="P360" t="n">
        <v>0</v>
      </c>
      <c r="Q360" t="n">
        <v>2</v>
      </c>
      <c r="R360" s="2" t="inlineStr">
        <is>
          <t>Gammelgransskål
Garnlav</t>
        </is>
      </c>
      <c r="S360">
        <f>HYPERLINK("https://klasma.github.io/Logging_2523/artfynd/A 5793-2025 artfynd.xlsx", "A 5793-2025")</f>
        <v/>
      </c>
      <c r="T360">
        <f>HYPERLINK("https://klasma.github.io/Logging_2523/kartor/A 5793-2025 karta.png", "A 5793-2025")</f>
        <v/>
      </c>
      <c r="V360">
        <f>HYPERLINK("https://klasma.github.io/Logging_2523/klagomål/A 5793-2025 FSC-klagomål.docx", "A 5793-2025")</f>
        <v/>
      </c>
      <c r="W360">
        <f>HYPERLINK("https://klasma.github.io/Logging_2523/klagomålsmail/A 5793-2025 FSC-klagomål mail.docx", "A 5793-2025")</f>
        <v/>
      </c>
      <c r="X360">
        <f>HYPERLINK("https://klasma.github.io/Logging_2523/tillsyn/A 5793-2025 tillsynsbegäran.docx", "A 5793-2025")</f>
        <v/>
      </c>
      <c r="Y360">
        <f>HYPERLINK("https://klasma.github.io/Logging_2523/tillsynsmail/A 5793-2025 tillsynsbegäran mail.docx", "A 5793-2025")</f>
        <v/>
      </c>
    </row>
    <row r="361" ht="15" customHeight="1">
      <c r="A361" t="inlineStr">
        <is>
          <t>A 24998-2025</t>
        </is>
      </c>
      <c r="B361" s="1" t="n">
        <v>45799.61730324074</v>
      </c>
      <c r="C361" s="1" t="n">
        <v>45895</v>
      </c>
      <c r="D361" t="inlineStr">
        <is>
          <t>NORRBOTTENS LÄN</t>
        </is>
      </c>
      <c r="E361" t="inlineStr">
        <is>
          <t>ÖVERTORNEÅ</t>
        </is>
      </c>
      <c r="G361" t="n">
        <v>4.3</v>
      </c>
      <c r="H361" t="n">
        <v>0</v>
      </c>
      <c r="I361" t="n">
        <v>2</v>
      </c>
      <c r="J361" t="n">
        <v>0</v>
      </c>
      <c r="K361" t="n">
        <v>0</v>
      </c>
      <c r="L361" t="n">
        <v>0</v>
      </c>
      <c r="M361" t="n">
        <v>0</v>
      </c>
      <c r="N361" t="n">
        <v>0</v>
      </c>
      <c r="O361" t="n">
        <v>0</v>
      </c>
      <c r="P361" t="n">
        <v>0</v>
      </c>
      <c r="Q361" t="n">
        <v>2</v>
      </c>
      <c r="R361" s="2" t="inlineStr">
        <is>
          <t>Norrlandslav
Vedticka</t>
        </is>
      </c>
      <c r="S361">
        <f>HYPERLINK("https://klasma.github.io/Logging_2518/artfynd/A 24998-2025 artfynd.xlsx", "A 24998-2025")</f>
        <v/>
      </c>
      <c r="T361">
        <f>HYPERLINK("https://klasma.github.io/Logging_2518/kartor/A 24998-2025 karta.png", "A 24998-2025")</f>
        <v/>
      </c>
      <c r="V361">
        <f>HYPERLINK("https://klasma.github.io/Logging_2518/klagomål/A 24998-2025 FSC-klagomål.docx", "A 24998-2025")</f>
        <v/>
      </c>
      <c r="W361">
        <f>HYPERLINK("https://klasma.github.io/Logging_2518/klagomålsmail/A 24998-2025 FSC-klagomål mail.docx", "A 24998-2025")</f>
        <v/>
      </c>
      <c r="X361">
        <f>HYPERLINK("https://klasma.github.io/Logging_2518/tillsyn/A 24998-2025 tillsynsbegäran.docx", "A 24998-2025")</f>
        <v/>
      </c>
      <c r="Y361">
        <f>HYPERLINK("https://klasma.github.io/Logging_2518/tillsynsmail/A 24998-2025 tillsynsbegäran mail.docx", "A 24998-2025")</f>
        <v/>
      </c>
    </row>
    <row r="362" ht="15" customHeight="1">
      <c r="A362" t="inlineStr">
        <is>
          <t>A 41087-2024</t>
        </is>
      </c>
      <c r="B362" s="1" t="n">
        <v>45559</v>
      </c>
      <c r="C362" s="1" t="n">
        <v>45895</v>
      </c>
      <c r="D362" t="inlineStr">
        <is>
          <t>NORRBOTTENS LÄN</t>
        </is>
      </c>
      <c r="E362" t="inlineStr">
        <is>
          <t>BODEN</t>
        </is>
      </c>
      <c r="F362" t="inlineStr">
        <is>
          <t>Sveaskog</t>
        </is>
      </c>
      <c r="G362" t="n">
        <v>7.5</v>
      </c>
      <c r="H362" t="n">
        <v>1</v>
      </c>
      <c r="I362" t="n">
        <v>1</v>
      </c>
      <c r="J362" t="n">
        <v>1</v>
      </c>
      <c r="K362" t="n">
        <v>0</v>
      </c>
      <c r="L362" t="n">
        <v>0</v>
      </c>
      <c r="M362" t="n">
        <v>0</v>
      </c>
      <c r="N362" t="n">
        <v>0</v>
      </c>
      <c r="O362" t="n">
        <v>1</v>
      </c>
      <c r="P362" t="n">
        <v>0</v>
      </c>
      <c r="Q362" t="n">
        <v>2</v>
      </c>
      <c r="R362" s="2" t="inlineStr">
        <is>
          <t>Garnlav
Spindelblomster</t>
        </is>
      </c>
      <c r="S362">
        <f>HYPERLINK("https://klasma.github.io/Logging_2582/artfynd/A 41087-2024 artfynd.xlsx", "A 41087-2024")</f>
        <v/>
      </c>
      <c r="T362">
        <f>HYPERLINK("https://klasma.github.io/Logging_2582/kartor/A 41087-2024 karta.png", "A 41087-2024")</f>
        <v/>
      </c>
      <c r="V362">
        <f>HYPERLINK("https://klasma.github.io/Logging_2582/klagomål/A 41087-2024 FSC-klagomål.docx", "A 41087-2024")</f>
        <v/>
      </c>
      <c r="W362">
        <f>HYPERLINK("https://klasma.github.io/Logging_2582/klagomålsmail/A 41087-2024 FSC-klagomål mail.docx", "A 41087-2024")</f>
        <v/>
      </c>
      <c r="X362">
        <f>HYPERLINK("https://klasma.github.io/Logging_2582/tillsyn/A 41087-2024 tillsynsbegäran.docx", "A 41087-2024")</f>
        <v/>
      </c>
      <c r="Y362">
        <f>HYPERLINK("https://klasma.github.io/Logging_2582/tillsynsmail/A 41087-2024 tillsynsbegäran mail.docx", "A 41087-2024")</f>
        <v/>
      </c>
    </row>
    <row r="363" ht="15" customHeight="1">
      <c r="A363" t="inlineStr">
        <is>
          <t>A 37905-2024</t>
        </is>
      </c>
      <c r="B363" s="1" t="n">
        <v>45544</v>
      </c>
      <c r="C363" s="1" t="n">
        <v>45895</v>
      </c>
      <c r="D363" t="inlineStr">
        <is>
          <t>NORRBOTTENS LÄN</t>
        </is>
      </c>
      <c r="E363" t="inlineStr">
        <is>
          <t>ÖVERKALIX</t>
        </is>
      </c>
      <c r="G363" t="n">
        <v>25</v>
      </c>
      <c r="H363" t="n">
        <v>2</v>
      </c>
      <c r="I363" t="n">
        <v>1</v>
      </c>
      <c r="J363" t="n">
        <v>0</v>
      </c>
      <c r="K363" t="n">
        <v>0</v>
      </c>
      <c r="L363" t="n">
        <v>0</v>
      </c>
      <c r="M363" t="n">
        <v>0</v>
      </c>
      <c r="N363" t="n">
        <v>0</v>
      </c>
      <c r="O363" t="n">
        <v>0</v>
      </c>
      <c r="P363" t="n">
        <v>0</v>
      </c>
      <c r="Q363" t="n">
        <v>2</v>
      </c>
      <c r="R363" s="2" t="inlineStr">
        <is>
          <t>Plattlummer
Mattlummer</t>
        </is>
      </c>
      <c r="S363">
        <f>HYPERLINK("https://klasma.github.io/Logging_2513/artfynd/A 37905-2024 artfynd.xlsx", "A 37905-2024")</f>
        <v/>
      </c>
      <c r="T363">
        <f>HYPERLINK("https://klasma.github.io/Logging_2513/kartor/A 37905-2024 karta.png", "A 37905-2024")</f>
        <v/>
      </c>
      <c r="V363">
        <f>HYPERLINK("https://klasma.github.io/Logging_2513/klagomål/A 37905-2024 FSC-klagomål.docx", "A 37905-2024")</f>
        <v/>
      </c>
      <c r="W363">
        <f>HYPERLINK("https://klasma.github.io/Logging_2513/klagomålsmail/A 37905-2024 FSC-klagomål mail.docx", "A 37905-2024")</f>
        <v/>
      </c>
      <c r="X363">
        <f>HYPERLINK("https://klasma.github.io/Logging_2513/tillsyn/A 37905-2024 tillsynsbegäran.docx", "A 37905-2024")</f>
        <v/>
      </c>
      <c r="Y363">
        <f>HYPERLINK("https://klasma.github.io/Logging_2513/tillsynsmail/A 37905-2024 tillsynsbegäran mail.docx", "A 37905-2024")</f>
        <v/>
      </c>
    </row>
    <row r="364" ht="15" customHeight="1">
      <c r="A364" t="inlineStr">
        <is>
          <t>A 29679-2024</t>
        </is>
      </c>
      <c r="B364" s="1" t="n">
        <v>45484</v>
      </c>
      <c r="C364" s="1" t="n">
        <v>45895</v>
      </c>
      <c r="D364" t="inlineStr">
        <is>
          <t>NORRBOTTENS LÄN</t>
        </is>
      </c>
      <c r="E364" t="inlineStr">
        <is>
          <t>JOKKMOKK</t>
        </is>
      </c>
      <c r="F364" t="inlineStr">
        <is>
          <t>SCA</t>
        </is>
      </c>
      <c r="G364" t="n">
        <v>16.1</v>
      </c>
      <c r="H364" t="n">
        <v>0</v>
      </c>
      <c r="I364" t="n">
        <v>1</v>
      </c>
      <c r="J364" t="n">
        <v>1</v>
      </c>
      <c r="K364" t="n">
        <v>0</v>
      </c>
      <c r="L364" t="n">
        <v>0</v>
      </c>
      <c r="M364" t="n">
        <v>0</v>
      </c>
      <c r="N364" t="n">
        <v>0</v>
      </c>
      <c r="O364" t="n">
        <v>1</v>
      </c>
      <c r="P364" t="n">
        <v>0</v>
      </c>
      <c r="Q364" t="n">
        <v>2</v>
      </c>
      <c r="R364" s="2" t="inlineStr">
        <is>
          <t>Kolflarnlav
Gytterlav</t>
        </is>
      </c>
      <c r="S364">
        <f>HYPERLINK("https://klasma.github.io/Logging_2510/artfynd/A 29679-2024 artfynd.xlsx", "A 29679-2024")</f>
        <v/>
      </c>
      <c r="T364">
        <f>HYPERLINK("https://klasma.github.io/Logging_2510/kartor/A 29679-2024 karta.png", "A 29679-2024")</f>
        <v/>
      </c>
      <c r="V364">
        <f>HYPERLINK("https://klasma.github.io/Logging_2510/klagomål/A 29679-2024 FSC-klagomål.docx", "A 29679-2024")</f>
        <v/>
      </c>
      <c r="W364">
        <f>HYPERLINK("https://klasma.github.io/Logging_2510/klagomålsmail/A 29679-2024 FSC-klagomål mail.docx", "A 29679-2024")</f>
        <v/>
      </c>
      <c r="X364">
        <f>HYPERLINK("https://klasma.github.io/Logging_2510/tillsyn/A 29679-2024 tillsynsbegäran.docx", "A 29679-2024")</f>
        <v/>
      </c>
      <c r="Y364">
        <f>HYPERLINK("https://klasma.github.io/Logging_2510/tillsynsmail/A 29679-2024 tillsynsbegäran mail.docx", "A 29679-2024")</f>
        <v/>
      </c>
    </row>
    <row r="365" ht="15" customHeight="1">
      <c r="A365" t="inlineStr">
        <is>
          <t>A 7956-2022</t>
        </is>
      </c>
      <c r="B365" s="1" t="n">
        <v>44608.93826388889</v>
      </c>
      <c r="C365" s="1" t="n">
        <v>45895</v>
      </c>
      <c r="D365" t="inlineStr">
        <is>
          <t>NORRBOTTENS LÄN</t>
        </is>
      </c>
      <c r="E365" t="inlineStr">
        <is>
          <t>PAJALA</t>
        </is>
      </c>
      <c r="F365" t="inlineStr">
        <is>
          <t>SCA</t>
        </is>
      </c>
      <c r="G365" t="n">
        <v>14.9</v>
      </c>
      <c r="H365" t="n">
        <v>0</v>
      </c>
      <c r="I365" t="n">
        <v>0</v>
      </c>
      <c r="J365" t="n">
        <v>2</v>
      </c>
      <c r="K365" t="n">
        <v>0</v>
      </c>
      <c r="L365" t="n">
        <v>0</v>
      </c>
      <c r="M365" t="n">
        <v>0</v>
      </c>
      <c r="N365" t="n">
        <v>0</v>
      </c>
      <c r="O365" t="n">
        <v>2</v>
      </c>
      <c r="P365" t="n">
        <v>0</v>
      </c>
      <c r="Q365" t="n">
        <v>2</v>
      </c>
      <c r="R365" s="2" t="inlineStr">
        <is>
          <t>Granticka
Orange taggsvamp</t>
        </is>
      </c>
      <c r="S365">
        <f>HYPERLINK("https://klasma.github.io/Logging_2521/artfynd/A 7956-2022 artfynd.xlsx", "A 7956-2022")</f>
        <v/>
      </c>
      <c r="T365">
        <f>HYPERLINK("https://klasma.github.io/Logging_2521/kartor/A 7956-2022 karta.png", "A 7956-2022")</f>
        <v/>
      </c>
      <c r="V365">
        <f>HYPERLINK("https://klasma.github.io/Logging_2521/klagomål/A 7956-2022 FSC-klagomål.docx", "A 7956-2022")</f>
        <v/>
      </c>
      <c r="W365">
        <f>HYPERLINK("https://klasma.github.io/Logging_2521/klagomålsmail/A 7956-2022 FSC-klagomål mail.docx", "A 7956-2022")</f>
        <v/>
      </c>
      <c r="X365">
        <f>HYPERLINK("https://klasma.github.io/Logging_2521/tillsyn/A 7956-2022 tillsynsbegäran.docx", "A 7956-2022")</f>
        <v/>
      </c>
      <c r="Y365">
        <f>HYPERLINK("https://klasma.github.io/Logging_2521/tillsynsmail/A 7956-2022 tillsynsbegäran mail.docx", "A 7956-2022")</f>
        <v/>
      </c>
    </row>
    <row r="366" ht="15" customHeight="1">
      <c r="A366" t="inlineStr">
        <is>
          <t>A 26080-2025</t>
        </is>
      </c>
      <c r="B366" s="1" t="n">
        <v>45805.34185185185</v>
      </c>
      <c r="C366" s="1" t="n">
        <v>45895</v>
      </c>
      <c r="D366" t="inlineStr">
        <is>
          <t>NORRBOTTENS LÄN</t>
        </is>
      </c>
      <c r="E366" t="inlineStr">
        <is>
          <t>PITEÅ</t>
        </is>
      </c>
      <c r="F366" t="inlineStr">
        <is>
          <t>Sveaskog</t>
        </is>
      </c>
      <c r="G366" t="n">
        <v>14.5</v>
      </c>
      <c r="H366" t="n">
        <v>0</v>
      </c>
      <c r="I366" t="n">
        <v>1</v>
      </c>
      <c r="J366" t="n">
        <v>1</v>
      </c>
      <c r="K366" t="n">
        <v>0</v>
      </c>
      <c r="L366" t="n">
        <v>0</v>
      </c>
      <c r="M366" t="n">
        <v>0</v>
      </c>
      <c r="N366" t="n">
        <v>0</v>
      </c>
      <c r="O366" t="n">
        <v>1</v>
      </c>
      <c r="P366" t="n">
        <v>0</v>
      </c>
      <c r="Q366" t="n">
        <v>2</v>
      </c>
      <c r="R366" s="2" t="inlineStr">
        <is>
          <t>Lunglav
Stor aspticka</t>
        </is>
      </c>
      <c r="S366">
        <f>HYPERLINK("https://klasma.github.io/Logging_2581/artfynd/A 26080-2025 artfynd.xlsx", "A 26080-2025")</f>
        <v/>
      </c>
      <c r="T366">
        <f>HYPERLINK("https://klasma.github.io/Logging_2581/kartor/A 26080-2025 karta.png", "A 26080-2025")</f>
        <v/>
      </c>
      <c r="V366">
        <f>HYPERLINK("https://klasma.github.io/Logging_2581/klagomål/A 26080-2025 FSC-klagomål.docx", "A 26080-2025")</f>
        <v/>
      </c>
      <c r="W366">
        <f>HYPERLINK("https://klasma.github.io/Logging_2581/klagomålsmail/A 26080-2025 FSC-klagomål mail.docx", "A 26080-2025")</f>
        <v/>
      </c>
      <c r="X366">
        <f>HYPERLINK("https://klasma.github.io/Logging_2581/tillsyn/A 26080-2025 tillsynsbegäran.docx", "A 26080-2025")</f>
        <v/>
      </c>
      <c r="Y366">
        <f>HYPERLINK("https://klasma.github.io/Logging_2581/tillsynsmail/A 26080-2025 tillsynsbegäran mail.docx", "A 26080-2025")</f>
        <v/>
      </c>
    </row>
    <row r="367" ht="15" customHeight="1">
      <c r="A367" t="inlineStr">
        <is>
          <t>A 900-2024</t>
        </is>
      </c>
      <c r="B367" s="1" t="n">
        <v>45301</v>
      </c>
      <c r="C367" s="1" t="n">
        <v>45895</v>
      </c>
      <c r="D367" t="inlineStr">
        <is>
          <t>NORRBOTTENS LÄN</t>
        </is>
      </c>
      <c r="E367" t="inlineStr">
        <is>
          <t>BODEN</t>
        </is>
      </c>
      <c r="G367" t="n">
        <v>5.2</v>
      </c>
      <c r="H367" t="n">
        <v>2</v>
      </c>
      <c r="I367" t="n">
        <v>0</v>
      </c>
      <c r="J367" t="n">
        <v>0</v>
      </c>
      <c r="K367" t="n">
        <v>1</v>
      </c>
      <c r="L367" t="n">
        <v>0</v>
      </c>
      <c r="M367" t="n">
        <v>0</v>
      </c>
      <c r="N367" t="n">
        <v>0</v>
      </c>
      <c r="O367" t="n">
        <v>1</v>
      </c>
      <c r="P367" t="n">
        <v>1</v>
      </c>
      <c r="Q367" t="n">
        <v>2</v>
      </c>
      <c r="R367" s="2" t="inlineStr">
        <is>
          <t>Knärot
Revlummer</t>
        </is>
      </c>
      <c r="S367">
        <f>HYPERLINK("https://klasma.github.io/Logging_2582/artfynd/A 900-2024 artfynd.xlsx", "A 900-2024")</f>
        <v/>
      </c>
      <c r="T367">
        <f>HYPERLINK("https://klasma.github.io/Logging_2582/kartor/A 900-2024 karta.png", "A 900-2024")</f>
        <v/>
      </c>
      <c r="U367">
        <f>HYPERLINK("https://klasma.github.io/Logging_2582/knärot/A 900-2024 karta knärot.png", "A 900-2024")</f>
        <v/>
      </c>
      <c r="V367">
        <f>HYPERLINK("https://klasma.github.io/Logging_2582/klagomål/A 900-2024 FSC-klagomål.docx", "A 900-2024")</f>
        <v/>
      </c>
      <c r="W367">
        <f>HYPERLINK("https://klasma.github.io/Logging_2582/klagomålsmail/A 900-2024 FSC-klagomål mail.docx", "A 900-2024")</f>
        <v/>
      </c>
      <c r="X367">
        <f>HYPERLINK("https://klasma.github.io/Logging_2582/tillsyn/A 900-2024 tillsynsbegäran.docx", "A 900-2024")</f>
        <v/>
      </c>
      <c r="Y367">
        <f>HYPERLINK("https://klasma.github.io/Logging_2582/tillsynsmail/A 900-2024 tillsynsbegäran mail.docx", "A 900-2024")</f>
        <v/>
      </c>
    </row>
    <row r="368" ht="15" customHeight="1">
      <c r="A368" t="inlineStr">
        <is>
          <t>A 41651-2023</t>
        </is>
      </c>
      <c r="B368" s="1" t="n">
        <v>45175</v>
      </c>
      <c r="C368" s="1" t="n">
        <v>45895</v>
      </c>
      <c r="D368" t="inlineStr">
        <is>
          <t>NORRBOTTENS LÄN</t>
        </is>
      </c>
      <c r="E368" t="inlineStr">
        <is>
          <t>GÄLLIVARE</t>
        </is>
      </c>
      <c r="F368" t="inlineStr">
        <is>
          <t>SCA</t>
        </is>
      </c>
      <c r="G368" t="n">
        <v>2.7</v>
      </c>
      <c r="H368" t="n">
        <v>1</v>
      </c>
      <c r="I368" t="n">
        <v>0</v>
      </c>
      <c r="J368" t="n">
        <v>2</v>
      </c>
      <c r="K368" t="n">
        <v>0</v>
      </c>
      <c r="L368" t="n">
        <v>0</v>
      </c>
      <c r="M368" t="n">
        <v>0</v>
      </c>
      <c r="N368" t="n">
        <v>0</v>
      </c>
      <c r="O368" t="n">
        <v>2</v>
      </c>
      <c r="P368" t="n">
        <v>0</v>
      </c>
      <c r="Q368" t="n">
        <v>2</v>
      </c>
      <c r="R368" s="2" t="inlineStr">
        <is>
          <t>Garnlav
Tretåig hackspett</t>
        </is>
      </c>
      <c r="S368">
        <f>HYPERLINK("https://klasma.github.io/Logging_2523/artfynd/A 41651-2023 artfynd.xlsx", "A 41651-2023")</f>
        <v/>
      </c>
      <c r="T368">
        <f>HYPERLINK("https://klasma.github.io/Logging_2523/kartor/A 41651-2023 karta.png", "A 41651-2023")</f>
        <v/>
      </c>
      <c r="V368">
        <f>HYPERLINK("https://klasma.github.io/Logging_2523/klagomål/A 41651-2023 FSC-klagomål.docx", "A 41651-2023")</f>
        <v/>
      </c>
      <c r="W368">
        <f>HYPERLINK("https://klasma.github.io/Logging_2523/klagomålsmail/A 41651-2023 FSC-klagomål mail.docx", "A 41651-2023")</f>
        <v/>
      </c>
      <c r="X368">
        <f>HYPERLINK("https://klasma.github.io/Logging_2523/tillsyn/A 41651-2023 tillsynsbegäran.docx", "A 41651-2023")</f>
        <v/>
      </c>
      <c r="Y368">
        <f>HYPERLINK("https://klasma.github.io/Logging_2523/tillsynsmail/A 41651-2023 tillsynsbegäran mail.docx", "A 41651-2023")</f>
        <v/>
      </c>
      <c r="Z368">
        <f>HYPERLINK("https://klasma.github.io/Logging_2523/fåglar/A 41651-2023 prioriterade fågelarter.docx", "A 41651-2023")</f>
        <v/>
      </c>
    </row>
    <row r="369" ht="15" customHeight="1">
      <c r="A369" t="inlineStr">
        <is>
          <t>A 36252-2023</t>
        </is>
      </c>
      <c r="B369" s="1" t="n">
        <v>45150</v>
      </c>
      <c r="C369" s="1" t="n">
        <v>45895</v>
      </c>
      <c r="D369" t="inlineStr">
        <is>
          <t>NORRBOTTENS LÄN</t>
        </is>
      </c>
      <c r="E369" t="inlineStr">
        <is>
          <t>GÄLLIVARE</t>
        </is>
      </c>
      <c r="F369" t="inlineStr">
        <is>
          <t>SCA</t>
        </is>
      </c>
      <c r="G369" t="n">
        <v>14.1</v>
      </c>
      <c r="H369" t="n">
        <v>0</v>
      </c>
      <c r="I369" t="n">
        <v>0</v>
      </c>
      <c r="J369" t="n">
        <v>2</v>
      </c>
      <c r="K369" t="n">
        <v>0</v>
      </c>
      <c r="L369" t="n">
        <v>0</v>
      </c>
      <c r="M369" t="n">
        <v>0</v>
      </c>
      <c r="N369" t="n">
        <v>0</v>
      </c>
      <c r="O369" t="n">
        <v>2</v>
      </c>
      <c r="P369" t="n">
        <v>0</v>
      </c>
      <c r="Q369" t="n">
        <v>2</v>
      </c>
      <c r="R369" s="2" t="inlineStr">
        <is>
          <t>Svartvit taggsvamp
Talltaggsvamp</t>
        </is>
      </c>
      <c r="S369">
        <f>HYPERLINK("https://klasma.github.io/Logging_2523/artfynd/A 36252-2023 artfynd.xlsx", "A 36252-2023")</f>
        <v/>
      </c>
      <c r="T369">
        <f>HYPERLINK("https://klasma.github.io/Logging_2523/kartor/A 36252-2023 karta.png", "A 36252-2023")</f>
        <v/>
      </c>
      <c r="V369">
        <f>HYPERLINK("https://klasma.github.io/Logging_2523/klagomål/A 36252-2023 FSC-klagomål.docx", "A 36252-2023")</f>
        <v/>
      </c>
      <c r="W369">
        <f>HYPERLINK("https://klasma.github.io/Logging_2523/klagomålsmail/A 36252-2023 FSC-klagomål mail.docx", "A 36252-2023")</f>
        <v/>
      </c>
      <c r="X369">
        <f>HYPERLINK("https://klasma.github.io/Logging_2523/tillsyn/A 36252-2023 tillsynsbegäran.docx", "A 36252-2023")</f>
        <v/>
      </c>
      <c r="Y369">
        <f>HYPERLINK("https://klasma.github.io/Logging_2523/tillsynsmail/A 36252-2023 tillsynsbegäran mail.docx", "A 36252-2023")</f>
        <v/>
      </c>
    </row>
    <row r="370" ht="15" customHeight="1">
      <c r="A370" t="inlineStr">
        <is>
          <t>A 17549-2023</t>
        </is>
      </c>
      <c r="B370" s="1" t="n">
        <v>45034</v>
      </c>
      <c r="C370" s="1" t="n">
        <v>45895</v>
      </c>
      <c r="D370" t="inlineStr">
        <is>
          <t>NORRBOTTENS LÄN</t>
        </is>
      </c>
      <c r="E370" t="inlineStr">
        <is>
          <t>ARJEPLOG</t>
        </is>
      </c>
      <c r="G370" t="n">
        <v>18.8</v>
      </c>
      <c r="H370" t="n">
        <v>1</v>
      </c>
      <c r="I370" t="n">
        <v>0</v>
      </c>
      <c r="J370" t="n">
        <v>2</v>
      </c>
      <c r="K370" t="n">
        <v>0</v>
      </c>
      <c r="L370" t="n">
        <v>0</v>
      </c>
      <c r="M370" t="n">
        <v>0</v>
      </c>
      <c r="N370" t="n">
        <v>0</v>
      </c>
      <c r="O370" t="n">
        <v>2</v>
      </c>
      <c r="P370" t="n">
        <v>0</v>
      </c>
      <c r="Q370" t="n">
        <v>2</v>
      </c>
      <c r="R370" s="2" t="inlineStr">
        <is>
          <t>Granticka
Tretåig hackspett</t>
        </is>
      </c>
      <c r="S370">
        <f>HYPERLINK("https://klasma.github.io/Logging_2506/artfynd/A 17549-2023 artfynd.xlsx", "A 17549-2023")</f>
        <v/>
      </c>
      <c r="T370">
        <f>HYPERLINK("https://klasma.github.io/Logging_2506/kartor/A 17549-2023 karta.png", "A 17549-2023")</f>
        <v/>
      </c>
      <c r="V370">
        <f>HYPERLINK("https://klasma.github.io/Logging_2506/klagomål/A 17549-2023 FSC-klagomål.docx", "A 17549-2023")</f>
        <v/>
      </c>
      <c r="W370">
        <f>HYPERLINK("https://klasma.github.io/Logging_2506/klagomålsmail/A 17549-2023 FSC-klagomål mail.docx", "A 17549-2023")</f>
        <v/>
      </c>
      <c r="X370">
        <f>HYPERLINK("https://klasma.github.io/Logging_2506/tillsyn/A 17549-2023 tillsynsbegäran.docx", "A 17549-2023")</f>
        <v/>
      </c>
      <c r="Y370">
        <f>HYPERLINK("https://klasma.github.io/Logging_2506/tillsynsmail/A 17549-2023 tillsynsbegäran mail.docx", "A 17549-2023")</f>
        <v/>
      </c>
      <c r="Z370">
        <f>HYPERLINK("https://klasma.github.io/Logging_2506/fåglar/A 17549-2023 prioriterade fågelarter.docx", "A 17549-2023")</f>
        <v/>
      </c>
    </row>
    <row r="371" ht="15" customHeight="1">
      <c r="A371" t="inlineStr">
        <is>
          <t>A 6895-2025</t>
        </is>
      </c>
      <c r="B371" s="1" t="n">
        <v>45701</v>
      </c>
      <c r="C371" s="1" t="n">
        <v>45895</v>
      </c>
      <c r="D371" t="inlineStr">
        <is>
          <t>NORRBOTTENS LÄN</t>
        </is>
      </c>
      <c r="E371" t="inlineStr">
        <is>
          <t>BODEN</t>
        </is>
      </c>
      <c r="G371" t="n">
        <v>1.5</v>
      </c>
      <c r="H371" t="n">
        <v>1</v>
      </c>
      <c r="I371" t="n">
        <v>1</v>
      </c>
      <c r="J371" t="n">
        <v>1</v>
      </c>
      <c r="K371" t="n">
        <v>0</v>
      </c>
      <c r="L371" t="n">
        <v>0</v>
      </c>
      <c r="M371" t="n">
        <v>0</v>
      </c>
      <c r="N371" t="n">
        <v>0</v>
      </c>
      <c r="O371" t="n">
        <v>1</v>
      </c>
      <c r="P371" t="n">
        <v>0</v>
      </c>
      <c r="Q371" t="n">
        <v>2</v>
      </c>
      <c r="R371" s="2" t="inlineStr">
        <is>
          <t>Kolflarnlav
Plattlummer</t>
        </is>
      </c>
      <c r="S371">
        <f>HYPERLINK("https://klasma.github.io/Logging_2582/artfynd/A 6895-2025 artfynd.xlsx", "A 6895-2025")</f>
        <v/>
      </c>
      <c r="T371">
        <f>HYPERLINK("https://klasma.github.io/Logging_2582/kartor/A 6895-2025 karta.png", "A 6895-2025")</f>
        <v/>
      </c>
      <c r="V371">
        <f>HYPERLINK("https://klasma.github.io/Logging_2582/klagomål/A 6895-2025 FSC-klagomål.docx", "A 6895-2025")</f>
        <v/>
      </c>
      <c r="W371">
        <f>HYPERLINK("https://klasma.github.io/Logging_2582/klagomålsmail/A 6895-2025 FSC-klagomål mail.docx", "A 6895-2025")</f>
        <v/>
      </c>
      <c r="X371">
        <f>HYPERLINK("https://klasma.github.io/Logging_2582/tillsyn/A 6895-2025 tillsynsbegäran.docx", "A 6895-2025")</f>
        <v/>
      </c>
      <c r="Y371">
        <f>HYPERLINK("https://klasma.github.io/Logging_2582/tillsynsmail/A 6895-2025 tillsynsbegäran mail.docx", "A 6895-2025")</f>
        <v/>
      </c>
    </row>
    <row r="372" ht="15" customHeight="1">
      <c r="A372" t="inlineStr">
        <is>
          <t>A 27111-2025</t>
        </is>
      </c>
      <c r="B372" s="1" t="n">
        <v>45811.73290509259</v>
      </c>
      <c r="C372" s="1" t="n">
        <v>45895</v>
      </c>
      <c r="D372" t="inlineStr">
        <is>
          <t>NORRBOTTENS LÄN</t>
        </is>
      </c>
      <c r="E372" t="inlineStr">
        <is>
          <t>PAJALA</t>
        </is>
      </c>
      <c r="F372" t="inlineStr">
        <is>
          <t>Sveaskog</t>
        </is>
      </c>
      <c r="G372" t="n">
        <v>6.1</v>
      </c>
      <c r="H372" t="n">
        <v>0</v>
      </c>
      <c r="I372" t="n">
        <v>0</v>
      </c>
      <c r="J372" t="n">
        <v>2</v>
      </c>
      <c r="K372" t="n">
        <v>0</v>
      </c>
      <c r="L372" t="n">
        <v>0</v>
      </c>
      <c r="M372" t="n">
        <v>0</v>
      </c>
      <c r="N372" t="n">
        <v>0</v>
      </c>
      <c r="O372" t="n">
        <v>2</v>
      </c>
      <c r="P372" t="n">
        <v>0</v>
      </c>
      <c r="Q372" t="n">
        <v>2</v>
      </c>
      <c r="R372" s="2" t="inlineStr">
        <is>
          <t>Blå taggsvamp
Orange taggsvamp</t>
        </is>
      </c>
      <c r="S372">
        <f>HYPERLINK("https://klasma.github.io/Logging_2521/artfynd/A 27111-2025 artfynd.xlsx", "A 27111-2025")</f>
        <v/>
      </c>
      <c r="T372">
        <f>HYPERLINK("https://klasma.github.io/Logging_2521/kartor/A 27111-2025 karta.png", "A 27111-2025")</f>
        <v/>
      </c>
      <c r="V372">
        <f>HYPERLINK("https://klasma.github.io/Logging_2521/klagomål/A 27111-2025 FSC-klagomål.docx", "A 27111-2025")</f>
        <v/>
      </c>
      <c r="W372">
        <f>HYPERLINK("https://klasma.github.io/Logging_2521/klagomålsmail/A 27111-2025 FSC-klagomål mail.docx", "A 27111-2025")</f>
        <v/>
      </c>
      <c r="X372">
        <f>HYPERLINK("https://klasma.github.io/Logging_2521/tillsyn/A 27111-2025 tillsynsbegäran.docx", "A 27111-2025")</f>
        <v/>
      </c>
      <c r="Y372">
        <f>HYPERLINK("https://klasma.github.io/Logging_2521/tillsynsmail/A 27111-2025 tillsynsbegäran mail.docx", "A 27111-2025")</f>
        <v/>
      </c>
    </row>
    <row r="373" ht="15" customHeight="1">
      <c r="A373" t="inlineStr">
        <is>
          <t>A 27145-2025</t>
        </is>
      </c>
      <c r="B373" s="1" t="n">
        <v>45812.29997685185</v>
      </c>
      <c r="C373" s="1" t="n">
        <v>45895</v>
      </c>
      <c r="D373" t="inlineStr">
        <is>
          <t>NORRBOTTENS LÄN</t>
        </is>
      </c>
      <c r="E373" t="inlineStr">
        <is>
          <t>ÖVERTORNEÅ</t>
        </is>
      </c>
      <c r="G373" t="n">
        <v>8.199999999999999</v>
      </c>
      <c r="H373" t="n">
        <v>1</v>
      </c>
      <c r="I373" t="n">
        <v>1</v>
      </c>
      <c r="J373" t="n">
        <v>1</v>
      </c>
      <c r="K373" t="n">
        <v>0</v>
      </c>
      <c r="L373" t="n">
        <v>0</v>
      </c>
      <c r="M373" t="n">
        <v>0</v>
      </c>
      <c r="N373" t="n">
        <v>0</v>
      </c>
      <c r="O373" t="n">
        <v>1</v>
      </c>
      <c r="P373" t="n">
        <v>0</v>
      </c>
      <c r="Q373" t="n">
        <v>2</v>
      </c>
      <c r="R373" s="2" t="inlineStr">
        <is>
          <t>Spillkråka
Dropptaggsvamp</t>
        </is>
      </c>
      <c r="S373">
        <f>HYPERLINK("https://klasma.github.io/Logging_2518/artfynd/A 27145-2025 artfynd.xlsx", "A 27145-2025")</f>
        <v/>
      </c>
      <c r="T373">
        <f>HYPERLINK("https://klasma.github.io/Logging_2518/kartor/A 27145-2025 karta.png", "A 27145-2025")</f>
        <v/>
      </c>
      <c r="V373">
        <f>HYPERLINK("https://klasma.github.io/Logging_2518/klagomål/A 27145-2025 FSC-klagomål.docx", "A 27145-2025")</f>
        <v/>
      </c>
      <c r="W373">
        <f>HYPERLINK("https://klasma.github.io/Logging_2518/klagomålsmail/A 27145-2025 FSC-klagomål mail.docx", "A 27145-2025")</f>
        <v/>
      </c>
      <c r="X373">
        <f>HYPERLINK("https://klasma.github.io/Logging_2518/tillsyn/A 27145-2025 tillsynsbegäran.docx", "A 27145-2025")</f>
        <v/>
      </c>
      <c r="Y373">
        <f>HYPERLINK("https://klasma.github.io/Logging_2518/tillsynsmail/A 27145-2025 tillsynsbegäran mail.docx", "A 27145-2025")</f>
        <v/>
      </c>
      <c r="Z373">
        <f>HYPERLINK("https://klasma.github.io/Logging_2518/fåglar/A 27145-2025 prioriterade fågelarter.docx", "A 27145-2025")</f>
        <v/>
      </c>
    </row>
    <row r="374" ht="15" customHeight="1">
      <c r="A374" t="inlineStr">
        <is>
          <t>A 33895-2025</t>
        </is>
      </c>
      <c r="B374" s="1" t="n">
        <v>45842</v>
      </c>
      <c r="C374" s="1" t="n">
        <v>45895</v>
      </c>
      <c r="D374" t="inlineStr">
        <is>
          <t>NORRBOTTENS LÄN</t>
        </is>
      </c>
      <c r="E374" t="inlineStr">
        <is>
          <t>BODEN</t>
        </is>
      </c>
      <c r="F374" t="inlineStr">
        <is>
          <t>Sveaskog</t>
        </is>
      </c>
      <c r="G374" t="n">
        <v>16.7</v>
      </c>
      <c r="H374" t="n">
        <v>2</v>
      </c>
      <c r="I374" t="n">
        <v>1</v>
      </c>
      <c r="J374" t="n">
        <v>0</v>
      </c>
      <c r="K374" t="n">
        <v>0</v>
      </c>
      <c r="L374" t="n">
        <v>0</v>
      </c>
      <c r="M374" t="n">
        <v>0</v>
      </c>
      <c r="N374" t="n">
        <v>0</v>
      </c>
      <c r="O374" t="n">
        <v>0</v>
      </c>
      <c r="P374" t="n">
        <v>0</v>
      </c>
      <c r="Q374" t="n">
        <v>2</v>
      </c>
      <c r="R374" s="2" t="inlineStr">
        <is>
          <t>Plattlummer
Fläcknycklar</t>
        </is>
      </c>
      <c r="S374">
        <f>HYPERLINK("https://klasma.github.io/Logging_2582/artfynd/A 33895-2025 artfynd.xlsx", "A 33895-2025")</f>
        <v/>
      </c>
      <c r="T374">
        <f>HYPERLINK("https://klasma.github.io/Logging_2582/kartor/A 33895-2025 karta.png", "A 33895-2025")</f>
        <v/>
      </c>
      <c r="V374">
        <f>HYPERLINK("https://klasma.github.io/Logging_2582/klagomål/A 33895-2025 FSC-klagomål.docx", "A 33895-2025")</f>
        <v/>
      </c>
      <c r="W374">
        <f>HYPERLINK("https://klasma.github.io/Logging_2582/klagomålsmail/A 33895-2025 FSC-klagomål mail.docx", "A 33895-2025")</f>
        <v/>
      </c>
      <c r="X374">
        <f>HYPERLINK("https://klasma.github.io/Logging_2582/tillsyn/A 33895-2025 tillsynsbegäran.docx", "A 33895-2025")</f>
        <v/>
      </c>
      <c r="Y374">
        <f>HYPERLINK("https://klasma.github.io/Logging_2582/tillsynsmail/A 33895-2025 tillsynsbegäran mail.docx", "A 33895-2025")</f>
        <v/>
      </c>
    </row>
    <row r="375" ht="15" customHeight="1">
      <c r="A375" t="inlineStr">
        <is>
          <t>A 27113-2025</t>
        </is>
      </c>
      <c r="B375" s="1" t="n">
        <v>45811.73701388889</v>
      </c>
      <c r="C375" s="1" t="n">
        <v>45895</v>
      </c>
      <c r="D375" t="inlineStr">
        <is>
          <t>NORRBOTTENS LÄN</t>
        </is>
      </c>
      <c r="E375" t="inlineStr">
        <is>
          <t>PAJALA</t>
        </is>
      </c>
      <c r="F375" t="inlineStr">
        <is>
          <t>Sveaskog</t>
        </is>
      </c>
      <c r="G375" t="n">
        <v>11.4</v>
      </c>
      <c r="H375" t="n">
        <v>0</v>
      </c>
      <c r="I375" t="n">
        <v>0</v>
      </c>
      <c r="J375" t="n">
        <v>2</v>
      </c>
      <c r="K375" t="n">
        <v>0</v>
      </c>
      <c r="L375" t="n">
        <v>0</v>
      </c>
      <c r="M375" t="n">
        <v>0</v>
      </c>
      <c r="N375" t="n">
        <v>0</v>
      </c>
      <c r="O375" t="n">
        <v>2</v>
      </c>
      <c r="P375" t="n">
        <v>0</v>
      </c>
      <c r="Q375" t="n">
        <v>2</v>
      </c>
      <c r="R375" s="2" t="inlineStr">
        <is>
          <t>Blå taggsvamp
Orange taggsvamp</t>
        </is>
      </c>
      <c r="S375">
        <f>HYPERLINK("https://klasma.github.io/Logging_2521/artfynd/A 27113-2025 artfynd.xlsx", "A 27113-2025")</f>
        <v/>
      </c>
      <c r="T375">
        <f>HYPERLINK("https://klasma.github.io/Logging_2521/kartor/A 27113-2025 karta.png", "A 27113-2025")</f>
        <v/>
      </c>
      <c r="V375">
        <f>HYPERLINK("https://klasma.github.io/Logging_2521/klagomål/A 27113-2025 FSC-klagomål.docx", "A 27113-2025")</f>
        <v/>
      </c>
      <c r="W375">
        <f>HYPERLINK("https://klasma.github.io/Logging_2521/klagomålsmail/A 27113-2025 FSC-klagomål mail.docx", "A 27113-2025")</f>
        <v/>
      </c>
      <c r="X375">
        <f>HYPERLINK("https://klasma.github.io/Logging_2521/tillsyn/A 27113-2025 tillsynsbegäran.docx", "A 27113-2025")</f>
        <v/>
      </c>
      <c r="Y375">
        <f>HYPERLINK("https://klasma.github.io/Logging_2521/tillsynsmail/A 27113-2025 tillsynsbegäran mail.docx", "A 27113-2025")</f>
        <v/>
      </c>
    </row>
    <row r="376" ht="15" customHeight="1">
      <c r="A376" t="inlineStr">
        <is>
          <t>A 27115-2025</t>
        </is>
      </c>
      <c r="B376" s="1" t="n">
        <v>45811.74119212963</v>
      </c>
      <c r="C376" s="1" t="n">
        <v>45895</v>
      </c>
      <c r="D376" t="inlineStr">
        <is>
          <t>NORRBOTTENS LÄN</t>
        </is>
      </c>
      <c r="E376" t="inlineStr">
        <is>
          <t>GÄLLIVARE</t>
        </is>
      </c>
      <c r="F376" t="inlineStr">
        <is>
          <t>Sveaskog</t>
        </is>
      </c>
      <c r="G376" t="n">
        <v>15</v>
      </c>
      <c r="H376" t="n">
        <v>0</v>
      </c>
      <c r="I376" t="n">
        <v>1</v>
      </c>
      <c r="J376" t="n">
        <v>1</v>
      </c>
      <c r="K376" t="n">
        <v>0</v>
      </c>
      <c r="L376" t="n">
        <v>0</v>
      </c>
      <c r="M376" t="n">
        <v>0</v>
      </c>
      <c r="N376" t="n">
        <v>0</v>
      </c>
      <c r="O376" t="n">
        <v>1</v>
      </c>
      <c r="P376" t="n">
        <v>0</v>
      </c>
      <c r="Q376" t="n">
        <v>2</v>
      </c>
      <c r="R376" s="2" t="inlineStr">
        <is>
          <t>Kolflarnlav
Dropptaggsvamp</t>
        </is>
      </c>
      <c r="S376">
        <f>HYPERLINK("https://klasma.github.io/Logging_2523/artfynd/A 27115-2025 artfynd.xlsx", "A 27115-2025")</f>
        <v/>
      </c>
      <c r="T376">
        <f>HYPERLINK("https://klasma.github.io/Logging_2523/kartor/A 27115-2025 karta.png", "A 27115-2025")</f>
        <v/>
      </c>
      <c r="V376">
        <f>HYPERLINK("https://klasma.github.io/Logging_2523/klagomål/A 27115-2025 FSC-klagomål.docx", "A 27115-2025")</f>
        <v/>
      </c>
      <c r="W376">
        <f>HYPERLINK("https://klasma.github.io/Logging_2523/klagomålsmail/A 27115-2025 FSC-klagomål mail.docx", "A 27115-2025")</f>
        <v/>
      </c>
      <c r="X376">
        <f>HYPERLINK("https://klasma.github.io/Logging_2523/tillsyn/A 27115-2025 tillsynsbegäran.docx", "A 27115-2025")</f>
        <v/>
      </c>
      <c r="Y376">
        <f>HYPERLINK("https://klasma.github.io/Logging_2523/tillsynsmail/A 27115-2025 tillsynsbegäran mail.docx", "A 27115-2025")</f>
        <v/>
      </c>
    </row>
    <row r="377" ht="15" customHeight="1">
      <c r="A377" t="inlineStr">
        <is>
          <t>A 16537-2025</t>
        </is>
      </c>
      <c r="B377" s="1" t="n">
        <v>45751</v>
      </c>
      <c r="C377" s="1" t="n">
        <v>45895</v>
      </c>
      <c r="D377" t="inlineStr">
        <is>
          <t>NORRBOTTENS LÄN</t>
        </is>
      </c>
      <c r="E377" t="inlineStr">
        <is>
          <t>ÖVERTORNEÅ</t>
        </is>
      </c>
      <c r="G377" t="n">
        <v>7.6</v>
      </c>
      <c r="H377" t="n">
        <v>2</v>
      </c>
      <c r="I377" t="n">
        <v>0</v>
      </c>
      <c r="J377" t="n">
        <v>1</v>
      </c>
      <c r="K377" t="n">
        <v>0</v>
      </c>
      <c r="L377" t="n">
        <v>0</v>
      </c>
      <c r="M377" t="n">
        <v>0</v>
      </c>
      <c r="N377" t="n">
        <v>0</v>
      </c>
      <c r="O377" t="n">
        <v>1</v>
      </c>
      <c r="P377" t="n">
        <v>0</v>
      </c>
      <c r="Q377" t="n">
        <v>2</v>
      </c>
      <c r="R377" s="2" t="inlineStr">
        <is>
          <t>Tretåig hackspett
Tjäder</t>
        </is>
      </c>
      <c r="S377">
        <f>HYPERLINK("https://klasma.github.io/Logging_2518/artfynd/A 16537-2025 artfynd.xlsx", "A 16537-2025")</f>
        <v/>
      </c>
      <c r="T377">
        <f>HYPERLINK("https://klasma.github.io/Logging_2518/kartor/A 16537-2025 karta.png", "A 16537-2025")</f>
        <v/>
      </c>
      <c r="V377">
        <f>HYPERLINK("https://klasma.github.io/Logging_2518/klagomål/A 16537-2025 FSC-klagomål.docx", "A 16537-2025")</f>
        <v/>
      </c>
      <c r="W377">
        <f>HYPERLINK("https://klasma.github.io/Logging_2518/klagomålsmail/A 16537-2025 FSC-klagomål mail.docx", "A 16537-2025")</f>
        <v/>
      </c>
      <c r="X377">
        <f>HYPERLINK("https://klasma.github.io/Logging_2518/tillsyn/A 16537-2025 tillsynsbegäran.docx", "A 16537-2025")</f>
        <v/>
      </c>
      <c r="Y377">
        <f>HYPERLINK("https://klasma.github.io/Logging_2518/tillsynsmail/A 16537-2025 tillsynsbegäran mail.docx", "A 16537-2025")</f>
        <v/>
      </c>
      <c r="Z377">
        <f>HYPERLINK("https://klasma.github.io/Logging_2518/fåglar/A 16537-2025 prioriterade fågelarter.docx", "A 16537-2025")</f>
        <v/>
      </c>
    </row>
    <row r="378" ht="15" customHeight="1">
      <c r="A378" t="inlineStr">
        <is>
          <t>A 34737-2024</t>
        </is>
      </c>
      <c r="B378" s="1" t="n">
        <v>45526</v>
      </c>
      <c r="C378" s="1" t="n">
        <v>45895</v>
      </c>
      <c r="D378" t="inlineStr">
        <is>
          <t>NORRBOTTENS LÄN</t>
        </is>
      </c>
      <c r="E378" t="inlineStr">
        <is>
          <t>BODEN</t>
        </is>
      </c>
      <c r="F378" t="inlineStr">
        <is>
          <t>Sveaskog</t>
        </is>
      </c>
      <c r="G378" t="n">
        <v>6</v>
      </c>
      <c r="H378" t="n">
        <v>1</v>
      </c>
      <c r="I378" t="n">
        <v>0</v>
      </c>
      <c r="J378" t="n">
        <v>1</v>
      </c>
      <c r="K378" t="n">
        <v>0</v>
      </c>
      <c r="L378" t="n">
        <v>0</v>
      </c>
      <c r="M378" t="n">
        <v>0</v>
      </c>
      <c r="N378" t="n">
        <v>0</v>
      </c>
      <c r="O378" t="n">
        <v>1</v>
      </c>
      <c r="P378" t="n">
        <v>0</v>
      </c>
      <c r="Q378" t="n">
        <v>2</v>
      </c>
      <c r="R378" s="2" t="inlineStr">
        <is>
          <t>Lunglav
Fläcknycklar</t>
        </is>
      </c>
      <c r="S378">
        <f>HYPERLINK("https://klasma.github.io/Logging_2582/artfynd/A 34737-2024 artfynd.xlsx", "A 34737-2024")</f>
        <v/>
      </c>
      <c r="T378">
        <f>HYPERLINK("https://klasma.github.io/Logging_2582/kartor/A 34737-2024 karta.png", "A 34737-2024")</f>
        <v/>
      </c>
      <c r="V378">
        <f>HYPERLINK("https://klasma.github.io/Logging_2582/klagomål/A 34737-2024 FSC-klagomål.docx", "A 34737-2024")</f>
        <v/>
      </c>
      <c r="W378">
        <f>HYPERLINK("https://klasma.github.io/Logging_2582/klagomålsmail/A 34737-2024 FSC-klagomål mail.docx", "A 34737-2024")</f>
        <v/>
      </c>
      <c r="X378">
        <f>HYPERLINK("https://klasma.github.io/Logging_2582/tillsyn/A 34737-2024 tillsynsbegäran.docx", "A 34737-2024")</f>
        <v/>
      </c>
      <c r="Y378">
        <f>HYPERLINK("https://klasma.github.io/Logging_2582/tillsynsmail/A 34737-2024 tillsynsbegäran mail.docx", "A 34737-2024")</f>
        <v/>
      </c>
    </row>
    <row r="379" ht="15" customHeight="1">
      <c r="A379" t="inlineStr">
        <is>
          <t>A 41650-2023</t>
        </is>
      </c>
      <c r="B379" s="1" t="n">
        <v>45175</v>
      </c>
      <c r="C379" s="1" t="n">
        <v>45895</v>
      </c>
      <c r="D379" t="inlineStr">
        <is>
          <t>NORRBOTTENS LÄN</t>
        </is>
      </c>
      <c r="E379" t="inlineStr">
        <is>
          <t>GÄLLIVARE</t>
        </is>
      </c>
      <c r="F379" t="inlineStr">
        <is>
          <t>SCA</t>
        </is>
      </c>
      <c r="G379" t="n">
        <v>16.1</v>
      </c>
      <c r="H379" t="n">
        <v>0</v>
      </c>
      <c r="I379" t="n">
        <v>0</v>
      </c>
      <c r="J379" t="n">
        <v>1</v>
      </c>
      <c r="K379" t="n">
        <v>1</v>
      </c>
      <c r="L379" t="n">
        <v>0</v>
      </c>
      <c r="M379" t="n">
        <v>0</v>
      </c>
      <c r="N379" t="n">
        <v>0</v>
      </c>
      <c r="O379" t="n">
        <v>2</v>
      </c>
      <c r="P379" t="n">
        <v>1</v>
      </c>
      <c r="Q379" t="n">
        <v>2</v>
      </c>
      <c r="R379" s="2" t="inlineStr">
        <is>
          <t>Gräddporing
Vaddporing</t>
        </is>
      </c>
      <c r="S379">
        <f>HYPERLINK("https://klasma.github.io/Logging_2523/artfynd/A 41650-2023 artfynd.xlsx", "A 41650-2023")</f>
        <v/>
      </c>
      <c r="T379">
        <f>HYPERLINK("https://klasma.github.io/Logging_2523/kartor/A 41650-2023 karta.png", "A 41650-2023")</f>
        <v/>
      </c>
      <c r="V379">
        <f>HYPERLINK("https://klasma.github.io/Logging_2523/klagomål/A 41650-2023 FSC-klagomål.docx", "A 41650-2023")</f>
        <v/>
      </c>
      <c r="W379">
        <f>HYPERLINK("https://klasma.github.io/Logging_2523/klagomålsmail/A 41650-2023 FSC-klagomål mail.docx", "A 41650-2023")</f>
        <v/>
      </c>
      <c r="X379">
        <f>HYPERLINK("https://klasma.github.io/Logging_2523/tillsyn/A 41650-2023 tillsynsbegäran.docx", "A 41650-2023")</f>
        <v/>
      </c>
      <c r="Y379">
        <f>HYPERLINK("https://klasma.github.io/Logging_2523/tillsynsmail/A 41650-2023 tillsynsbegäran mail.docx", "A 41650-2023")</f>
        <v/>
      </c>
    </row>
    <row r="380" ht="15" customHeight="1">
      <c r="A380" t="inlineStr">
        <is>
          <t>A 17802-2025</t>
        </is>
      </c>
      <c r="B380" s="1" t="n">
        <v>45758.55125</v>
      </c>
      <c r="C380" s="1" t="n">
        <v>45895</v>
      </c>
      <c r="D380" t="inlineStr">
        <is>
          <t>NORRBOTTENS LÄN</t>
        </is>
      </c>
      <c r="E380" t="inlineStr">
        <is>
          <t>ÖVERKALIX</t>
        </is>
      </c>
      <c r="F380" t="inlineStr">
        <is>
          <t>Sveaskog</t>
        </is>
      </c>
      <c r="G380" t="n">
        <v>1.6</v>
      </c>
      <c r="H380" t="n">
        <v>2</v>
      </c>
      <c r="I380" t="n">
        <v>0</v>
      </c>
      <c r="J380" t="n">
        <v>0</v>
      </c>
      <c r="K380" t="n">
        <v>0</v>
      </c>
      <c r="L380" t="n">
        <v>0</v>
      </c>
      <c r="M380" t="n">
        <v>0</v>
      </c>
      <c r="N380" t="n">
        <v>0</v>
      </c>
      <c r="O380" t="n">
        <v>0</v>
      </c>
      <c r="P380" t="n">
        <v>0</v>
      </c>
      <c r="Q380" t="n">
        <v>2</v>
      </c>
      <c r="R380" s="2" t="inlineStr">
        <is>
          <t>Hökuggla
Tjäder</t>
        </is>
      </c>
      <c r="S380">
        <f>HYPERLINK("https://klasma.github.io/Logging_2513/artfynd/A 17802-2025 artfynd.xlsx", "A 17802-2025")</f>
        <v/>
      </c>
      <c r="T380">
        <f>HYPERLINK("https://klasma.github.io/Logging_2513/kartor/A 17802-2025 karta.png", "A 17802-2025")</f>
        <v/>
      </c>
      <c r="V380">
        <f>HYPERLINK("https://klasma.github.io/Logging_2513/klagomål/A 17802-2025 FSC-klagomål.docx", "A 17802-2025")</f>
        <v/>
      </c>
      <c r="W380">
        <f>HYPERLINK("https://klasma.github.io/Logging_2513/klagomålsmail/A 17802-2025 FSC-klagomål mail.docx", "A 17802-2025")</f>
        <v/>
      </c>
      <c r="X380">
        <f>HYPERLINK("https://klasma.github.io/Logging_2513/tillsyn/A 17802-2025 tillsynsbegäran.docx", "A 17802-2025")</f>
        <v/>
      </c>
      <c r="Y380">
        <f>HYPERLINK("https://klasma.github.io/Logging_2513/tillsynsmail/A 17802-2025 tillsynsbegäran mail.docx", "A 17802-2025")</f>
        <v/>
      </c>
      <c r="Z380">
        <f>HYPERLINK("https://klasma.github.io/Logging_2513/fåglar/A 17802-2025 prioriterade fågelarter.docx", "A 17802-2025")</f>
        <v/>
      </c>
    </row>
    <row r="381" ht="15" customHeight="1">
      <c r="A381" t="inlineStr">
        <is>
          <t>A 19275-2025</t>
        </is>
      </c>
      <c r="B381" s="1" t="n">
        <v>45769</v>
      </c>
      <c r="C381" s="1" t="n">
        <v>45895</v>
      </c>
      <c r="D381" t="inlineStr">
        <is>
          <t>NORRBOTTENS LÄN</t>
        </is>
      </c>
      <c r="E381" t="inlineStr">
        <is>
          <t>ÖVERKALIX</t>
        </is>
      </c>
      <c r="F381" t="inlineStr">
        <is>
          <t>Sveaskog</t>
        </is>
      </c>
      <c r="G381" t="n">
        <v>16.3</v>
      </c>
      <c r="H381" t="n">
        <v>2</v>
      </c>
      <c r="I381" t="n">
        <v>1</v>
      </c>
      <c r="J381" t="n">
        <v>0</v>
      </c>
      <c r="K381" t="n">
        <v>1</v>
      </c>
      <c r="L381" t="n">
        <v>0</v>
      </c>
      <c r="M381" t="n">
        <v>0</v>
      </c>
      <c r="N381" t="n">
        <v>0</v>
      </c>
      <c r="O381" t="n">
        <v>1</v>
      </c>
      <c r="P381" t="n">
        <v>1</v>
      </c>
      <c r="Q381" t="n">
        <v>2</v>
      </c>
      <c r="R381" s="2" t="inlineStr">
        <is>
          <t>Knärot
Plattlummer</t>
        </is>
      </c>
      <c r="S381">
        <f>HYPERLINK("https://klasma.github.io/Logging_2513/artfynd/A 19275-2025 artfynd.xlsx", "A 19275-2025")</f>
        <v/>
      </c>
      <c r="T381">
        <f>HYPERLINK("https://klasma.github.io/Logging_2513/kartor/A 19275-2025 karta.png", "A 19275-2025")</f>
        <v/>
      </c>
      <c r="U381">
        <f>HYPERLINK("https://klasma.github.io/Logging_2513/knärot/A 19275-2025 karta knärot.png", "A 19275-2025")</f>
        <v/>
      </c>
      <c r="V381">
        <f>HYPERLINK("https://klasma.github.io/Logging_2513/klagomål/A 19275-2025 FSC-klagomål.docx", "A 19275-2025")</f>
        <v/>
      </c>
      <c r="W381">
        <f>HYPERLINK("https://klasma.github.io/Logging_2513/klagomålsmail/A 19275-2025 FSC-klagomål mail.docx", "A 19275-2025")</f>
        <v/>
      </c>
      <c r="X381">
        <f>HYPERLINK("https://klasma.github.io/Logging_2513/tillsyn/A 19275-2025 tillsynsbegäran.docx", "A 19275-2025")</f>
        <v/>
      </c>
      <c r="Y381">
        <f>HYPERLINK("https://klasma.github.io/Logging_2513/tillsynsmail/A 19275-2025 tillsynsbegäran mail.docx", "A 19275-2025")</f>
        <v/>
      </c>
    </row>
    <row r="382" ht="15" customHeight="1">
      <c r="A382" t="inlineStr">
        <is>
          <t>A 24923-2022</t>
        </is>
      </c>
      <c r="B382" s="1" t="n">
        <v>44728.61793981482</v>
      </c>
      <c r="C382" s="1" t="n">
        <v>45895</v>
      </c>
      <c r="D382" t="inlineStr">
        <is>
          <t>NORRBOTTENS LÄN</t>
        </is>
      </c>
      <c r="E382" t="inlineStr">
        <is>
          <t>KALIX</t>
        </is>
      </c>
      <c r="F382" t="inlineStr">
        <is>
          <t>Sveaskog</t>
        </is>
      </c>
      <c r="G382" t="n">
        <v>2.9</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24923-2022 artfynd.xlsx", "A 24923-2022")</f>
        <v/>
      </c>
      <c r="T382">
        <f>HYPERLINK("https://klasma.github.io/Logging_2514/kartor/A 24923-2022 karta.png", "A 24923-2022")</f>
        <v/>
      </c>
      <c r="V382">
        <f>HYPERLINK("https://klasma.github.io/Logging_2514/klagomål/A 24923-2022 FSC-klagomål.docx", "A 24923-2022")</f>
        <v/>
      </c>
      <c r="W382">
        <f>HYPERLINK("https://klasma.github.io/Logging_2514/klagomålsmail/A 24923-2022 FSC-klagomål mail.docx", "A 24923-2022")</f>
        <v/>
      </c>
      <c r="X382">
        <f>HYPERLINK("https://klasma.github.io/Logging_2514/tillsyn/A 24923-2022 tillsynsbegäran.docx", "A 24923-2022")</f>
        <v/>
      </c>
      <c r="Y382">
        <f>HYPERLINK("https://klasma.github.io/Logging_2514/tillsynsmail/A 24923-2022 tillsynsbegäran mail.docx", "A 24923-2022")</f>
        <v/>
      </c>
    </row>
    <row r="383" ht="15" customHeight="1">
      <c r="A383" t="inlineStr">
        <is>
          <t>A 56501-2023</t>
        </is>
      </c>
      <c r="B383" s="1" t="n">
        <v>45243.54211805556</v>
      </c>
      <c r="C383" s="1" t="n">
        <v>45895</v>
      </c>
      <c r="D383" t="inlineStr">
        <is>
          <t>NORRBOTTENS LÄN</t>
        </is>
      </c>
      <c r="E383" t="inlineStr">
        <is>
          <t>PITEÅ</t>
        </is>
      </c>
      <c r="F383" t="inlineStr">
        <is>
          <t>Sveaskog</t>
        </is>
      </c>
      <c r="G383" t="n">
        <v>1.1</v>
      </c>
      <c r="H383" t="n">
        <v>0</v>
      </c>
      <c r="I383" t="n">
        <v>1</v>
      </c>
      <c r="J383" t="n">
        <v>1</v>
      </c>
      <c r="K383" t="n">
        <v>0</v>
      </c>
      <c r="L383" t="n">
        <v>0</v>
      </c>
      <c r="M383" t="n">
        <v>0</v>
      </c>
      <c r="N383" t="n">
        <v>0</v>
      </c>
      <c r="O383" t="n">
        <v>1</v>
      </c>
      <c r="P383" t="n">
        <v>0</v>
      </c>
      <c r="Q383" t="n">
        <v>2</v>
      </c>
      <c r="R383" s="2" t="inlineStr">
        <is>
          <t>Granticka
Vedticka</t>
        </is>
      </c>
      <c r="S383">
        <f>HYPERLINK("https://klasma.github.io/Logging_2581/artfynd/A 56501-2023 artfynd.xlsx", "A 56501-2023")</f>
        <v/>
      </c>
      <c r="T383">
        <f>HYPERLINK("https://klasma.github.io/Logging_2581/kartor/A 56501-2023 karta.png", "A 56501-2023")</f>
        <v/>
      </c>
      <c r="V383">
        <f>HYPERLINK("https://klasma.github.io/Logging_2581/klagomål/A 56501-2023 FSC-klagomål.docx", "A 56501-2023")</f>
        <v/>
      </c>
      <c r="W383">
        <f>HYPERLINK("https://klasma.github.io/Logging_2581/klagomålsmail/A 56501-2023 FSC-klagomål mail.docx", "A 56501-2023")</f>
        <v/>
      </c>
      <c r="X383">
        <f>HYPERLINK("https://klasma.github.io/Logging_2581/tillsyn/A 56501-2023 tillsynsbegäran.docx", "A 56501-2023")</f>
        <v/>
      </c>
      <c r="Y383">
        <f>HYPERLINK("https://klasma.github.io/Logging_2581/tillsynsmail/A 56501-2023 tillsynsbegäran mail.docx", "A 56501-2023")</f>
        <v/>
      </c>
    </row>
    <row r="384" ht="15" customHeight="1">
      <c r="A384" t="inlineStr">
        <is>
          <t>A 28577-2024</t>
        </is>
      </c>
      <c r="B384" s="1" t="n">
        <v>45478</v>
      </c>
      <c r="C384" s="1" t="n">
        <v>45895</v>
      </c>
      <c r="D384" t="inlineStr">
        <is>
          <t>NORRBOTTENS LÄN</t>
        </is>
      </c>
      <c r="E384" t="inlineStr">
        <is>
          <t>ÖVERKALIX</t>
        </is>
      </c>
      <c r="F384" t="inlineStr">
        <is>
          <t>Sveaskog</t>
        </is>
      </c>
      <c r="G384" t="n">
        <v>0.8</v>
      </c>
      <c r="H384" t="n">
        <v>1</v>
      </c>
      <c r="I384" t="n">
        <v>1</v>
      </c>
      <c r="J384" t="n">
        <v>1</v>
      </c>
      <c r="K384" t="n">
        <v>0</v>
      </c>
      <c r="L384" t="n">
        <v>0</v>
      </c>
      <c r="M384" t="n">
        <v>0</v>
      </c>
      <c r="N384" t="n">
        <v>0</v>
      </c>
      <c r="O384" t="n">
        <v>1</v>
      </c>
      <c r="P384" t="n">
        <v>0</v>
      </c>
      <c r="Q384" t="n">
        <v>2</v>
      </c>
      <c r="R384" s="2" t="inlineStr">
        <is>
          <t>Månlåsbräken
Plattlummer</t>
        </is>
      </c>
      <c r="S384">
        <f>HYPERLINK("https://klasma.github.io/Logging_2513/artfynd/A 28577-2024 artfynd.xlsx", "A 28577-2024")</f>
        <v/>
      </c>
      <c r="T384">
        <f>HYPERLINK("https://klasma.github.io/Logging_2513/kartor/A 28577-2024 karta.png", "A 28577-2024")</f>
        <v/>
      </c>
      <c r="V384">
        <f>HYPERLINK("https://klasma.github.io/Logging_2513/klagomål/A 28577-2024 FSC-klagomål.docx", "A 28577-2024")</f>
        <v/>
      </c>
      <c r="W384">
        <f>HYPERLINK("https://klasma.github.io/Logging_2513/klagomålsmail/A 28577-2024 FSC-klagomål mail.docx", "A 28577-2024")</f>
        <v/>
      </c>
      <c r="X384">
        <f>HYPERLINK("https://klasma.github.io/Logging_2513/tillsyn/A 28577-2024 tillsynsbegäran.docx", "A 28577-2024")</f>
        <v/>
      </c>
      <c r="Y384">
        <f>HYPERLINK("https://klasma.github.io/Logging_2513/tillsynsmail/A 28577-2024 tillsynsbegäran mail.docx", "A 28577-2024")</f>
        <v/>
      </c>
    </row>
    <row r="385" ht="15" customHeight="1">
      <c r="A385" t="inlineStr">
        <is>
          <t>A 28246-2025</t>
        </is>
      </c>
      <c r="B385" s="1" t="n">
        <v>45818.51263888889</v>
      </c>
      <c r="C385" s="1" t="n">
        <v>45895</v>
      </c>
      <c r="D385" t="inlineStr">
        <is>
          <t>NORRBOTTENS LÄN</t>
        </is>
      </c>
      <c r="E385" t="inlineStr">
        <is>
          <t>PITEÅ</t>
        </is>
      </c>
      <c r="F385" t="inlineStr">
        <is>
          <t>Sveaskog</t>
        </is>
      </c>
      <c r="G385" t="n">
        <v>24.6</v>
      </c>
      <c r="H385" t="n">
        <v>0</v>
      </c>
      <c r="I385" t="n">
        <v>1</v>
      </c>
      <c r="J385" t="n">
        <v>1</v>
      </c>
      <c r="K385" t="n">
        <v>0</v>
      </c>
      <c r="L385" t="n">
        <v>0</v>
      </c>
      <c r="M385" t="n">
        <v>0</v>
      </c>
      <c r="N385" t="n">
        <v>0</v>
      </c>
      <c r="O385" t="n">
        <v>1</v>
      </c>
      <c r="P385" t="n">
        <v>0</v>
      </c>
      <c r="Q385" t="n">
        <v>2</v>
      </c>
      <c r="R385" s="2" t="inlineStr">
        <is>
          <t>Garnlav
Stuplav</t>
        </is>
      </c>
      <c r="S385">
        <f>HYPERLINK("https://klasma.github.io/Logging_2581/artfynd/A 28246-2025 artfynd.xlsx", "A 28246-2025")</f>
        <v/>
      </c>
      <c r="T385">
        <f>HYPERLINK("https://klasma.github.io/Logging_2581/kartor/A 28246-2025 karta.png", "A 28246-2025")</f>
        <v/>
      </c>
      <c r="V385">
        <f>HYPERLINK("https://klasma.github.io/Logging_2581/klagomål/A 28246-2025 FSC-klagomål.docx", "A 28246-2025")</f>
        <v/>
      </c>
      <c r="W385">
        <f>HYPERLINK("https://klasma.github.io/Logging_2581/klagomålsmail/A 28246-2025 FSC-klagomål mail.docx", "A 28246-2025")</f>
        <v/>
      </c>
      <c r="X385">
        <f>HYPERLINK("https://klasma.github.io/Logging_2581/tillsyn/A 28246-2025 tillsynsbegäran.docx", "A 28246-2025")</f>
        <v/>
      </c>
      <c r="Y385">
        <f>HYPERLINK("https://klasma.github.io/Logging_2581/tillsynsmail/A 28246-2025 tillsynsbegäran mail.docx", "A 28246-2025")</f>
        <v/>
      </c>
    </row>
    <row r="386" ht="15" customHeight="1">
      <c r="A386" t="inlineStr">
        <is>
          <t>A 28267-2025</t>
        </is>
      </c>
      <c r="B386" s="1" t="n">
        <v>45818.56559027778</v>
      </c>
      <c r="C386" s="1" t="n">
        <v>45895</v>
      </c>
      <c r="D386" t="inlineStr">
        <is>
          <t>NORRBOTTENS LÄN</t>
        </is>
      </c>
      <c r="E386" t="inlineStr">
        <is>
          <t>BODEN</t>
        </is>
      </c>
      <c r="F386" t="inlineStr">
        <is>
          <t>Sveaskog</t>
        </is>
      </c>
      <c r="G386" t="n">
        <v>2.6</v>
      </c>
      <c r="H386" t="n">
        <v>1</v>
      </c>
      <c r="I386" t="n">
        <v>0</v>
      </c>
      <c r="J386" t="n">
        <v>1</v>
      </c>
      <c r="K386" t="n">
        <v>1</v>
      </c>
      <c r="L386" t="n">
        <v>0</v>
      </c>
      <c r="M386" t="n">
        <v>0</v>
      </c>
      <c r="N386" t="n">
        <v>0</v>
      </c>
      <c r="O386" t="n">
        <v>2</v>
      </c>
      <c r="P386" t="n">
        <v>1</v>
      </c>
      <c r="Q386" t="n">
        <v>2</v>
      </c>
      <c r="R386" s="2" t="inlineStr">
        <is>
          <t>Doftticka
Lunglav</t>
        </is>
      </c>
      <c r="S386">
        <f>HYPERLINK("https://klasma.github.io/Logging_2582/artfynd/A 28267-2025 artfynd.xlsx", "A 28267-2025")</f>
        <v/>
      </c>
      <c r="T386">
        <f>HYPERLINK("https://klasma.github.io/Logging_2582/kartor/A 28267-2025 karta.png", "A 28267-2025")</f>
        <v/>
      </c>
      <c r="U386">
        <f>HYPERLINK("https://klasma.github.io/Logging_2582/knärot/A 28267-2025 karta knärot.png", "A 28267-2025")</f>
        <v/>
      </c>
      <c r="V386">
        <f>HYPERLINK("https://klasma.github.io/Logging_2582/klagomål/A 28267-2025 FSC-klagomål.docx", "A 28267-2025")</f>
        <v/>
      </c>
      <c r="W386">
        <f>HYPERLINK("https://klasma.github.io/Logging_2582/klagomålsmail/A 28267-2025 FSC-klagomål mail.docx", "A 28267-2025")</f>
        <v/>
      </c>
      <c r="X386">
        <f>HYPERLINK("https://klasma.github.io/Logging_2582/tillsyn/A 28267-2025 tillsynsbegäran.docx", "A 28267-2025")</f>
        <v/>
      </c>
      <c r="Y386">
        <f>HYPERLINK("https://klasma.github.io/Logging_2582/tillsynsmail/A 28267-2025 tillsynsbegäran mail.docx", "A 28267-2025")</f>
        <v/>
      </c>
    </row>
    <row r="387" ht="15" customHeight="1">
      <c r="A387" t="inlineStr">
        <is>
          <t>A 28867-2025</t>
        </is>
      </c>
      <c r="B387" s="1" t="n">
        <v>45820.60171296296</v>
      </c>
      <c r="C387" s="1" t="n">
        <v>45895</v>
      </c>
      <c r="D387" t="inlineStr">
        <is>
          <t>NORRBOTTENS LÄN</t>
        </is>
      </c>
      <c r="E387" t="inlineStr">
        <is>
          <t>BODEN</t>
        </is>
      </c>
      <c r="F387" t="inlineStr">
        <is>
          <t>Sveaskog</t>
        </is>
      </c>
      <c r="G387" t="n">
        <v>8.199999999999999</v>
      </c>
      <c r="H387" t="n">
        <v>2</v>
      </c>
      <c r="I387" t="n">
        <v>0</v>
      </c>
      <c r="J387" t="n">
        <v>0</v>
      </c>
      <c r="K387" t="n">
        <v>1</v>
      </c>
      <c r="L387" t="n">
        <v>0</v>
      </c>
      <c r="M387" t="n">
        <v>0</v>
      </c>
      <c r="N387" t="n">
        <v>0</v>
      </c>
      <c r="O387" t="n">
        <v>1</v>
      </c>
      <c r="P387" t="n">
        <v>1</v>
      </c>
      <c r="Q387" t="n">
        <v>2</v>
      </c>
      <c r="R387" s="2" t="inlineStr">
        <is>
          <t>Knärot
Fläcknycklar</t>
        </is>
      </c>
      <c r="S387">
        <f>HYPERLINK("https://klasma.github.io/Logging_2582/artfynd/A 28867-2025 artfynd.xlsx", "A 28867-2025")</f>
        <v/>
      </c>
      <c r="T387">
        <f>HYPERLINK("https://klasma.github.io/Logging_2582/kartor/A 28867-2025 karta.png", "A 28867-2025")</f>
        <v/>
      </c>
      <c r="U387">
        <f>HYPERLINK("https://klasma.github.io/Logging_2582/knärot/A 28867-2025 karta knärot.png", "A 28867-2025")</f>
        <v/>
      </c>
      <c r="V387">
        <f>HYPERLINK("https://klasma.github.io/Logging_2582/klagomål/A 28867-2025 FSC-klagomål.docx", "A 28867-2025")</f>
        <v/>
      </c>
      <c r="W387">
        <f>HYPERLINK("https://klasma.github.io/Logging_2582/klagomålsmail/A 28867-2025 FSC-klagomål mail.docx", "A 28867-2025")</f>
        <v/>
      </c>
      <c r="X387">
        <f>HYPERLINK("https://klasma.github.io/Logging_2582/tillsyn/A 28867-2025 tillsynsbegäran.docx", "A 28867-2025")</f>
        <v/>
      </c>
      <c r="Y387">
        <f>HYPERLINK("https://klasma.github.io/Logging_2582/tillsynsmail/A 28867-2025 tillsynsbegäran mail.docx", "A 28867-2025")</f>
        <v/>
      </c>
    </row>
    <row r="388" ht="15" customHeight="1">
      <c r="A388" t="inlineStr">
        <is>
          <t>A 28555-2025</t>
        </is>
      </c>
      <c r="B388" s="1" t="n">
        <v>45819</v>
      </c>
      <c r="C388" s="1" t="n">
        <v>45895</v>
      </c>
      <c r="D388" t="inlineStr">
        <is>
          <t>NORRBOTTENS LÄN</t>
        </is>
      </c>
      <c r="E388" t="inlineStr">
        <is>
          <t>ÄLVSBYN</t>
        </is>
      </c>
      <c r="F388" t="inlineStr">
        <is>
          <t>Sveaskog</t>
        </is>
      </c>
      <c r="G388" t="n">
        <v>40.5</v>
      </c>
      <c r="H388" t="n">
        <v>0</v>
      </c>
      <c r="I388" t="n">
        <v>0</v>
      </c>
      <c r="J388" t="n">
        <v>2</v>
      </c>
      <c r="K388" t="n">
        <v>0</v>
      </c>
      <c r="L388" t="n">
        <v>0</v>
      </c>
      <c r="M388" t="n">
        <v>0</v>
      </c>
      <c r="N388" t="n">
        <v>0</v>
      </c>
      <c r="O388" t="n">
        <v>2</v>
      </c>
      <c r="P388" t="n">
        <v>0</v>
      </c>
      <c r="Q388" t="n">
        <v>2</v>
      </c>
      <c r="R388" s="2" t="inlineStr">
        <is>
          <t>Kolflarnlav
Lunglav</t>
        </is>
      </c>
      <c r="S388">
        <f>HYPERLINK("https://klasma.github.io/Logging_2560/artfynd/A 28555-2025 artfynd.xlsx", "A 28555-2025")</f>
        <v/>
      </c>
      <c r="T388">
        <f>HYPERLINK("https://klasma.github.io/Logging_2560/kartor/A 28555-2025 karta.png", "A 28555-2025")</f>
        <v/>
      </c>
      <c r="V388">
        <f>HYPERLINK("https://klasma.github.io/Logging_2560/klagomål/A 28555-2025 FSC-klagomål.docx", "A 28555-2025")</f>
        <v/>
      </c>
      <c r="W388">
        <f>HYPERLINK("https://klasma.github.io/Logging_2560/klagomålsmail/A 28555-2025 FSC-klagomål mail.docx", "A 28555-2025")</f>
        <v/>
      </c>
      <c r="X388">
        <f>HYPERLINK("https://klasma.github.io/Logging_2560/tillsyn/A 28555-2025 tillsynsbegäran.docx", "A 28555-2025")</f>
        <v/>
      </c>
      <c r="Y388">
        <f>HYPERLINK("https://klasma.github.io/Logging_2560/tillsynsmail/A 28555-2025 tillsynsbegäran mail.docx", "A 28555-2025")</f>
        <v/>
      </c>
    </row>
    <row r="389" ht="15" customHeight="1">
      <c r="A389" t="inlineStr">
        <is>
          <t>A 31242-2022</t>
        </is>
      </c>
      <c r="B389" s="1" t="n">
        <v>44771</v>
      </c>
      <c r="C389" s="1" t="n">
        <v>45895</v>
      </c>
      <c r="D389" t="inlineStr">
        <is>
          <t>NORRBOTTENS LÄN</t>
        </is>
      </c>
      <c r="E389" t="inlineStr">
        <is>
          <t>PAJALA</t>
        </is>
      </c>
      <c r="G389" t="n">
        <v>21.9</v>
      </c>
      <c r="H389" t="n">
        <v>0</v>
      </c>
      <c r="I389" t="n">
        <v>0</v>
      </c>
      <c r="J389" t="n">
        <v>1</v>
      </c>
      <c r="K389" t="n">
        <v>1</v>
      </c>
      <c r="L389" t="n">
        <v>0</v>
      </c>
      <c r="M389" t="n">
        <v>0</v>
      </c>
      <c r="N389" t="n">
        <v>0</v>
      </c>
      <c r="O389" t="n">
        <v>2</v>
      </c>
      <c r="P389" t="n">
        <v>1</v>
      </c>
      <c r="Q389" t="n">
        <v>2</v>
      </c>
      <c r="R389" s="2" t="inlineStr">
        <is>
          <t>Tallgråticka
Vaddporing</t>
        </is>
      </c>
      <c r="S389">
        <f>HYPERLINK("https://klasma.github.io/Logging_2521/artfynd/A 31242-2022 artfynd.xlsx", "A 31242-2022")</f>
        <v/>
      </c>
      <c r="T389">
        <f>HYPERLINK("https://klasma.github.io/Logging_2521/kartor/A 31242-2022 karta.png", "A 31242-2022")</f>
        <v/>
      </c>
      <c r="V389">
        <f>HYPERLINK("https://klasma.github.io/Logging_2521/klagomål/A 31242-2022 FSC-klagomål.docx", "A 31242-2022")</f>
        <v/>
      </c>
      <c r="W389">
        <f>HYPERLINK("https://klasma.github.io/Logging_2521/klagomålsmail/A 31242-2022 FSC-klagomål mail.docx", "A 31242-2022")</f>
        <v/>
      </c>
      <c r="X389">
        <f>HYPERLINK("https://klasma.github.io/Logging_2521/tillsyn/A 31242-2022 tillsynsbegäran.docx", "A 31242-2022")</f>
        <v/>
      </c>
      <c r="Y389">
        <f>HYPERLINK("https://klasma.github.io/Logging_2521/tillsynsmail/A 31242-2022 tillsynsbegäran mail.docx", "A 31242-2022")</f>
        <v/>
      </c>
    </row>
    <row r="390" ht="15" customHeight="1">
      <c r="A390" t="inlineStr">
        <is>
          <t>A 44309-2024</t>
        </is>
      </c>
      <c r="B390" s="1" t="n">
        <v>45573</v>
      </c>
      <c r="C390" s="1" t="n">
        <v>45895</v>
      </c>
      <c r="D390" t="inlineStr">
        <is>
          <t>NORRBOTTENS LÄN</t>
        </is>
      </c>
      <c r="E390" t="inlineStr">
        <is>
          <t>GÄLLIVARE</t>
        </is>
      </c>
      <c r="F390" t="inlineStr">
        <is>
          <t>Sveaskog</t>
        </is>
      </c>
      <c r="G390" t="n">
        <v>11.4</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HYPERLINK("https://klasma.github.io/Logging_2523/artfynd/A 44309-2024 artfynd.xlsx", "A 44309-2024")</f>
        <v/>
      </c>
      <c r="T390">
        <f>HYPERLINK("https://klasma.github.io/Logging_2523/kartor/A 44309-2024 karta.png", "A 44309-2024")</f>
        <v/>
      </c>
      <c r="V390">
        <f>HYPERLINK("https://klasma.github.io/Logging_2523/klagomål/A 44309-2024 FSC-klagomål.docx", "A 44309-2024")</f>
        <v/>
      </c>
      <c r="W390">
        <f>HYPERLINK("https://klasma.github.io/Logging_2523/klagomålsmail/A 44309-2024 FSC-klagomål mail.docx", "A 44309-2024")</f>
        <v/>
      </c>
      <c r="X390">
        <f>HYPERLINK("https://klasma.github.io/Logging_2523/tillsyn/A 44309-2024 tillsynsbegäran.docx", "A 44309-2024")</f>
        <v/>
      </c>
      <c r="Y390">
        <f>HYPERLINK("https://klasma.github.io/Logging_2523/tillsynsmail/A 44309-2024 tillsynsbegäran mail.docx", "A 44309-2024")</f>
        <v/>
      </c>
    </row>
    <row r="391" ht="15" customHeight="1">
      <c r="A391" t="inlineStr">
        <is>
          <t>A 53163-2024</t>
        </is>
      </c>
      <c r="B391" s="1" t="n">
        <v>45611</v>
      </c>
      <c r="C391" s="1" t="n">
        <v>45895</v>
      </c>
      <c r="D391" t="inlineStr">
        <is>
          <t>NORRBOTTENS LÄN</t>
        </is>
      </c>
      <c r="E391" t="inlineStr">
        <is>
          <t>ARVIDSJAUR</t>
        </is>
      </c>
      <c r="F391" t="inlineStr">
        <is>
          <t>Sveaskog</t>
        </is>
      </c>
      <c r="G391" t="n">
        <v>7.8</v>
      </c>
      <c r="H391" t="n">
        <v>1</v>
      </c>
      <c r="I391" t="n">
        <v>2</v>
      </c>
      <c r="J391" t="n">
        <v>0</v>
      </c>
      <c r="K391" t="n">
        <v>0</v>
      </c>
      <c r="L391" t="n">
        <v>0</v>
      </c>
      <c r="M391" t="n">
        <v>0</v>
      </c>
      <c r="N391" t="n">
        <v>0</v>
      </c>
      <c r="O391" t="n">
        <v>0</v>
      </c>
      <c r="P391" t="n">
        <v>0</v>
      </c>
      <c r="Q391" t="n">
        <v>2</v>
      </c>
      <c r="R391" s="2" t="inlineStr">
        <is>
          <t>Dropptaggsvamp
Plattlummer</t>
        </is>
      </c>
      <c r="S391">
        <f>HYPERLINK("https://klasma.github.io/Logging_2505/artfynd/A 53163-2024 artfynd.xlsx", "A 53163-2024")</f>
        <v/>
      </c>
      <c r="T391">
        <f>HYPERLINK("https://klasma.github.io/Logging_2505/kartor/A 53163-2024 karta.png", "A 53163-2024")</f>
        <v/>
      </c>
      <c r="V391">
        <f>HYPERLINK("https://klasma.github.io/Logging_2505/klagomål/A 53163-2024 FSC-klagomål.docx", "A 53163-2024")</f>
        <v/>
      </c>
      <c r="W391">
        <f>HYPERLINK("https://klasma.github.io/Logging_2505/klagomålsmail/A 53163-2024 FSC-klagomål mail.docx", "A 53163-2024")</f>
        <v/>
      </c>
      <c r="X391">
        <f>HYPERLINK("https://klasma.github.io/Logging_2505/tillsyn/A 53163-2024 tillsynsbegäran.docx", "A 53163-2024")</f>
        <v/>
      </c>
      <c r="Y391">
        <f>HYPERLINK("https://klasma.github.io/Logging_2505/tillsynsmail/A 53163-2024 tillsynsbegäran mail.docx", "A 53163-2024")</f>
        <v/>
      </c>
    </row>
    <row r="392" ht="15" customHeight="1">
      <c r="A392" t="inlineStr">
        <is>
          <t>A 30248-2025</t>
        </is>
      </c>
      <c r="B392" s="1" t="n">
        <v>45827.413125</v>
      </c>
      <c r="C392" s="1" t="n">
        <v>45895</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34164-2023</t>
        </is>
      </c>
      <c r="B393" s="1" t="n">
        <v>45137</v>
      </c>
      <c r="C393" s="1" t="n">
        <v>45895</v>
      </c>
      <c r="D393" t="inlineStr">
        <is>
          <t>NORRBOTTENS LÄN</t>
        </is>
      </c>
      <c r="E393" t="inlineStr">
        <is>
          <t>BODEN</t>
        </is>
      </c>
      <c r="F393" t="inlineStr">
        <is>
          <t>SCA</t>
        </is>
      </c>
      <c r="G393" t="n">
        <v>2.2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HYPERLINK("https://klasma.github.io/Logging_2582/artfynd/A 34164-2023 artfynd.xlsx", "A 34164-2023")</f>
        <v/>
      </c>
      <c r="T393">
        <f>HYPERLINK("https://klasma.github.io/Logging_2582/kartor/A 34164-2023 karta.png", "A 34164-2023")</f>
        <v/>
      </c>
      <c r="V393">
        <f>HYPERLINK("https://klasma.github.io/Logging_2582/klagomål/A 34164-2023 FSC-klagomål.docx", "A 34164-2023")</f>
        <v/>
      </c>
      <c r="W393">
        <f>HYPERLINK("https://klasma.github.io/Logging_2582/klagomålsmail/A 34164-2023 FSC-klagomål mail.docx", "A 34164-2023")</f>
        <v/>
      </c>
      <c r="X393">
        <f>HYPERLINK("https://klasma.github.io/Logging_2582/tillsyn/A 34164-2023 tillsynsbegäran.docx", "A 34164-2023")</f>
        <v/>
      </c>
      <c r="Y393">
        <f>HYPERLINK("https://klasma.github.io/Logging_2582/tillsynsmail/A 34164-2023 tillsynsbegäran mail.docx", "A 34164-2023")</f>
        <v/>
      </c>
      <c r="Z393">
        <f>HYPERLINK("https://klasma.github.io/Logging_2582/fåglar/A 34164-2023 prioriterade fågelarter.docx", "A 34164-2023")</f>
        <v/>
      </c>
    </row>
    <row r="394" ht="15" customHeight="1">
      <c r="A394" t="inlineStr">
        <is>
          <t>A 30326-2025</t>
        </is>
      </c>
      <c r="B394" s="1" t="n">
        <v>45827.50583333334</v>
      </c>
      <c r="C394" s="1" t="n">
        <v>45895</v>
      </c>
      <c r="D394" t="inlineStr">
        <is>
          <t>NORRBOTTENS LÄN</t>
        </is>
      </c>
      <c r="E394" t="inlineStr">
        <is>
          <t>GÄLLIVARE</t>
        </is>
      </c>
      <c r="F394" t="inlineStr">
        <is>
          <t>Sveaskog</t>
        </is>
      </c>
      <c r="G394" t="n">
        <v>14.5</v>
      </c>
      <c r="H394" t="n">
        <v>1</v>
      </c>
      <c r="I394" t="n">
        <v>1</v>
      </c>
      <c r="J394" t="n">
        <v>1</v>
      </c>
      <c r="K394" t="n">
        <v>0</v>
      </c>
      <c r="L394" t="n">
        <v>0</v>
      </c>
      <c r="M394" t="n">
        <v>0</v>
      </c>
      <c r="N394" t="n">
        <v>0</v>
      </c>
      <c r="O394" t="n">
        <v>1</v>
      </c>
      <c r="P394" t="n">
        <v>0</v>
      </c>
      <c r="Q394" t="n">
        <v>2</v>
      </c>
      <c r="R394" s="2" t="inlineStr">
        <is>
          <t>Garnlav
Plattlummer</t>
        </is>
      </c>
      <c r="S394">
        <f>HYPERLINK("https://klasma.github.io/Logging_2523/artfynd/A 30326-2025 artfynd.xlsx", "A 30326-2025")</f>
        <v/>
      </c>
      <c r="T394">
        <f>HYPERLINK("https://klasma.github.io/Logging_2523/kartor/A 30326-2025 karta.png", "A 30326-2025")</f>
        <v/>
      </c>
      <c r="V394">
        <f>HYPERLINK("https://klasma.github.io/Logging_2523/klagomål/A 30326-2025 FSC-klagomål.docx", "A 30326-2025")</f>
        <v/>
      </c>
      <c r="W394">
        <f>HYPERLINK("https://klasma.github.io/Logging_2523/klagomålsmail/A 30326-2025 FSC-klagomål mail.docx", "A 30326-2025")</f>
        <v/>
      </c>
      <c r="X394">
        <f>HYPERLINK("https://klasma.github.io/Logging_2523/tillsyn/A 30326-2025 tillsynsbegäran.docx", "A 30326-2025")</f>
        <v/>
      </c>
      <c r="Y394">
        <f>HYPERLINK("https://klasma.github.io/Logging_2523/tillsynsmail/A 30326-2025 tillsynsbegäran mail.docx", "A 30326-2025")</f>
        <v/>
      </c>
    </row>
    <row r="395" ht="15" customHeight="1">
      <c r="A395" t="inlineStr">
        <is>
          <t>A 61469-2024</t>
        </is>
      </c>
      <c r="B395" s="1" t="n">
        <v>45646</v>
      </c>
      <c r="C395" s="1" t="n">
        <v>45895</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30525-2025</t>
        </is>
      </c>
      <c r="B396" s="1" t="n">
        <v>45831.35403935185</v>
      </c>
      <c r="C396" s="1" t="n">
        <v>45895</v>
      </c>
      <c r="D396" t="inlineStr">
        <is>
          <t>NORRBOTTENS LÄN</t>
        </is>
      </c>
      <c r="E396" t="inlineStr">
        <is>
          <t>ÖVERKALIX</t>
        </is>
      </c>
      <c r="F396" t="inlineStr">
        <is>
          <t>Sveaskog</t>
        </is>
      </c>
      <c r="G396" t="n">
        <v>5.3</v>
      </c>
      <c r="H396" t="n">
        <v>1</v>
      </c>
      <c r="I396" t="n">
        <v>0</v>
      </c>
      <c r="J396" t="n">
        <v>2</v>
      </c>
      <c r="K396" t="n">
        <v>0</v>
      </c>
      <c r="L396" t="n">
        <v>0</v>
      </c>
      <c r="M396" t="n">
        <v>0</v>
      </c>
      <c r="N396" t="n">
        <v>0</v>
      </c>
      <c r="O396" t="n">
        <v>2</v>
      </c>
      <c r="P396" t="n">
        <v>0</v>
      </c>
      <c r="Q396" t="n">
        <v>2</v>
      </c>
      <c r="R396" s="2" t="inlineStr">
        <is>
          <t>Gammelgransskål
Järpe</t>
        </is>
      </c>
      <c r="S396">
        <f>HYPERLINK("https://klasma.github.io/Logging_2513/artfynd/A 30525-2025 artfynd.xlsx", "A 30525-2025")</f>
        <v/>
      </c>
      <c r="T396">
        <f>HYPERLINK("https://klasma.github.io/Logging_2513/kartor/A 30525-2025 karta.png", "A 30525-2025")</f>
        <v/>
      </c>
      <c r="V396">
        <f>HYPERLINK("https://klasma.github.io/Logging_2513/klagomål/A 30525-2025 FSC-klagomål.docx", "A 30525-2025")</f>
        <v/>
      </c>
      <c r="W396">
        <f>HYPERLINK("https://klasma.github.io/Logging_2513/klagomålsmail/A 30525-2025 FSC-klagomål mail.docx", "A 30525-2025")</f>
        <v/>
      </c>
      <c r="X396">
        <f>HYPERLINK("https://klasma.github.io/Logging_2513/tillsyn/A 30525-2025 tillsynsbegäran.docx", "A 30525-2025")</f>
        <v/>
      </c>
      <c r="Y396">
        <f>HYPERLINK("https://klasma.github.io/Logging_2513/tillsynsmail/A 30525-2025 tillsynsbegäran mail.docx", "A 30525-2025")</f>
        <v/>
      </c>
      <c r="Z396">
        <f>HYPERLINK("https://klasma.github.io/Logging_2513/fåglar/A 30525-2025 prioriterade fågelarter.docx", "A 30525-2025")</f>
        <v/>
      </c>
    </row>
    <row r="397" ht="15" customHeight="1">
      <c r="A397" t="inlineStr">
        <is>
          <t>A 31206-2025</t>
        </is>
      </c>
      <c r="B397" s="1" t="n">
        <v>45832.70466435186</v>
      </c>
      <c r="C397" s="1" t="n">
        <v>45895</v>
      </c>
      <c r="D397" t="inlineStr">
        <is>
          <t>NORRBOTTENS LÄN</t>
        </is>
      </c>
      <c r="E397" t="inlineStr">
        <is>
          <t>PAJALA</t>
        </is>
      </c>
      <c r="F397" t="inlineStr">
        <is>
          <t>Sveaskog</t>
        </is>
      </c>
      <c r="G397" t="n">
        <v>3.1</v>
      </c>
      <c r="H397" t="n">
        <v>0</v>
      </c>
      <c r="I397" t="n">
        <v>0</v>
      </c>
      <c r="J397" t="n">
        <v>2</v>
      </c>
      <c r="K397" t="n">
        <v>0</v>
      </c>
      <c r="L397" t="n">
        <v>0</v>
      </c>
      <c r="M397" t="n">
        <v>0</v>
      </c>
      <c r="N397" t="n">
        <v>0</v>
      </c>
      <c r="O397" t="n">
        <v>2</v>
      </c>
      <c r="P397" t="n">
        <v>0</v>
      </c>
      <c r="Q397" t="n">
        <v>2</v>
      </c>
      <c r="R397" s="2" t="inlineStr">
        <is>
          <t>Blå taggsvamp
Orange taggsvamp</t>
        </is>
      </c>
      <c r="S397">
        <f>HYPERLINK("https://klasma.github.io/Logging_2521/artfynd/A 31206-2025 artfynd.xlsx", "A 31206-2025")</f>
        <v/>
      </c>
      <c r="T397">
        <f>HYPERLINK("https://klasma.github.io/Logging_2521/kartor/A 31206-2025 karta.png", "A 31206-2025")</f>
        <v/>
      </c>
      <c r="V397">
        <f>HYPERLINK("https://klasma.github.io/Logging_2521/klagomål/A 31206-2025 FSC-klagomål.docx", "A 31206-2025")</f>
        <v/>
      </c>
      <c r="W397">
        <f>HYPERLINK("https://klasma.github.io/Logging_2521/klagomålsmail/A 31206-2025 FSC-klagomål mail.docx", "A 31206-2025")</f>
        <v/>
      </c>
      <c r="X397">
        <f>HYPERLINK("https://klasma.github.io/Logging_2521/tillsyn/A 31206-2025 tillsynsbegäran.docx", "A 31206-2025")</f>
        <v/>
      </c>
      <c r="Y397">
        <f>HYPERLINK("https://klasma.github.io/Logging_2521/tillsynsmail/A 31206-2025 tillsynsbegäran mail.docx", "A 31206-2025")</f>
        <v/>
      </c>
    </row>
    <row r="398" ht="15" customHeight="1">
      <c r="A398" t="inlineStr">
        <is>
          <t>A 59435-2024</t>
        </is>
      </c>
      <c r="B398" s="1" t="n">
        <v>45638.43048611111</v>
      </c>
      <c r="C398" s="1" t="n">
        <v>45895</v>
      </c>
      <c r="D398" t="inlineStr">
        <is>
          <t>NORRBOTTENS LÄN</t>
        </is>
      </c>
      <c r="E398" t="inlineStr">
        <is>
          <t>BODEN</t>
        </is>
      </c>
      <c r="G398" t="n">
        <v>2.1</v>
      </c>
      <c r="H398" t="n">
        <v>1</v>
      </c>
      <c r="I398" t="n">
        <v>2</v>
      </c>
      <c r="J398" t="n">
        <v>0</v>
      </c>
      <c r="K398" t="n">
        <v>0</v>
      </c>
      <c r="L398" t="n">
        <v>0</v>
      </c>
      <c r="M398" t="n">
        <v>0</v>
      </c>
      <c r="N398" t="n">
        <v>0</v>
      </c>
      <c r="O398" t="n">
        <v>0</v>
      </c>
      <c r="P398" t="n">
        <v>0</v>
      </c>
      <c r="Q398" t="n">
        <v>2</v>
      </c>
      <c r="R398" s="2" t="inlineStr">
        <is>
          <t>Lappranunkel
Ögonpyrola</t>
        </is>
      </c>
      <c r="S398">
        <f>HYPERLINK("https://klasma.github.io/Logging_2582/artfynd/A 59435-2024 artfynd.xlsx", "A 59435-2024")</f>
        <v/>
      </c>
      <c r="T398">
        <f>HYPERLINK("https://klasma.github.io/Logging_2582/kartor/A 59435-2024 karta.png", "A 59435-2024")</f>
        <v/>
      </c>
      <c r="V398">
        <f>HYPERLINK("https://klasma.github.io/Logging_2582/klagomål/A 59435-2024 FSC-klagomål.docx", "A 59435-2024")</f>
        <v/>
      </c>
      <c r="W398">
        <f>HYPERLINK("https://klasma.github.io/Logging_2582/klagomålsmail/A 59435-2024 FSC-klagomål mail.docx", "A 59435-2024")</f>
        <v/>
      </c>
      <c r="X398">
        <f>HYPERLINK("https://klasma.github.io/Logging_2582/tillsyn/A 59435-2024 tillsynsbegäran.docx", "A 59435-2024")</f>
        <v/>
      </c>
      <c r="Y398">
        <f>HYPERLINK("https://klasma.github.io/Logging_2582/tillsynsmail/A 59435-2024 tillsynsbegäran mail.docx", "A 59435-2024")</f>
        <v/>
      </c>
    </row>
    <row r="399" ht="15" customHeight="1">
      <c r="A399" t="inlineStr">
        <is>
          <t>A 31358-2025</t>
        </is>
      </c>
      <c r="B399" s="1" t="n">
        <v>45833.43407407407</v>
      </c>
      <c r="C399" s="1" t="n">
        <v>45895</v>
      </c>
      <c r="D399" t="inlineStr">
        <is>
          <t>NORRBOTTENS LÄN</t>
        </is>
      </c>
      <c r="E399" t="inlineStr">
        <is>
          <t>BODEN</t>
        </is>
      </c>
      <c r="F399" t="inlineStr">
        <is>
          <t>Sveaskog</t>
        </is>
      </c>
      <c r="G399" t="n">
        <v>9.300000000000001</v>
      </c>
      <c r="H399" t="n">
        <v>0</v>
      </c>
      <c r="I399" t="n">
        <v>0</v>
      </c>
      <c r="J399" t="n">
        <v>2</v>
      </c>
      <c r="K399" t="n">
        <v>0</v>
      </c>
      <c r="L399" t="n">
        <v>0</v>
      </c>
      <c r="M399" t="n">
        <v>0</v>
      </c>
      <c r="N399" t="n">
        <v>0</v>
      </c>
      <c r="O399" t="n">
        <v>2</v>
      </c>
      <c r="P399" t="n">
        <v>0</v>
      </c>
      <c r="Q399" t="n">
        <v>2</v>
      </c>
      <c r="R399" s="2" t="inlineStr">
        <is>
          <t>Gränsticka
Tallticka</t>
        </is>
      </c>
      <c r="S399">
        <f>HYPERLINK("https://klasma.github.io/Logging_2582/artfynd/A 31358-2025 artfynd.xlsx", "A 31358-2025")</f>
        <v/>
      </c>
      <c r="T399">
        <f>HYPERLINK("https://klasma.github.io/Logging_2582/kartor/A 31358-2025 karta.png", "A 31358-2025")</f>
        <v/>
      </c>
      <c r="V399">
        <f>HYPERLINK("https://klasma.github.io/Logging_2582/klagomål/A 31358-2025 FSC-klagomål.docx", "A 31358-2025")</f>
        <v/>
      </c>
      <c r="W399">
        <f>HYPERLINK("https://klasma.github.io/Logging_2582/klagomålsmail/A 31358-2025 FSC-klagomål mail.docx", "A 31358-2025")</f>
        <v/>
      </c>
      <c r="X399">
        <f>HYPERLINK("https://klasma.github.io/Logging_2582/tillsyn/A 31358-2025 tillsynsbegäran.docx", "A 31358-2025")</f>
        <v/>
      </c>
      <c r="Y399">
        <f>HYPERLINK("https://klasma.github.io/Logging_2582/tillsynsmail/A 31358-2025 tillsynsbegäran mail.docx", "A 31358-2025")</f>
        <v/>
      </c>
    </row>
    <row r="400" ht="15" customHeight="1">
      <c r="A400" t="inlineStr">
        <is>
          <t>A 31704-2025</t>
        </is>
      </c>
      <c r="B400" s="1" t="n">
        <v>45834.41993055555</v>
      </c>
      <c r="C400" s="1" t="n">
        <v>45895</v>
      </c>
      <c r="D400" t="inlineStr">
        <is>
          <t>NORRBOTTENS LÄN</t>
        </is>
      </c>
      <c r="E400" t="inlineStr">
        <is>
          <t>BODEN</t>
        </is>
      </c>
      <c r="F400" t="inlineStr">
        <is>
          <t>Sveaskog</t>
        </is>
      </c>
      <c r="G400" t="n">
        <v>5.2</v>
      </c>
      <c r="H400" t="n">
        <v>2</v>
      </c>
      <c r="I400" t="n">
        <v>0</v>
      </c>
      <c r="J400" t="n">
        <v>1</v>
      </c>
      <c r="K400" t="n">
        <v>0</v>
      </c>
      <c r="L400" t="n">
        <v>0</v>
      </c>
      <c r="M400" t="n">
        <v>0</v>
      </c>
      <c r="N400" t="n">
        <v>0</v>
      </c>
      <c r="O400" t="n">
        <v>1</v>
      </c>
      <c r="P400" t="n">
        <v>0</v>
      </c>
      <c r="Q400" t="n">
        <v>2</v>
      </c>
      <c r="R400" s="2" t="inlineStr">
        <is>
          <t>Talltita
Grönsiska</t>
        </is>
      </c>
      <c r="S400">
        <f>HYPERLINK("https://klasma.github.io/Logging_2582/artfynd/A 31704-2025 artfynd.xlsx", "A 31704-2025")</f>
        <v/>
      </c>
      <c r="T400">
        <f>HYPERLINK("https://klasma.github.io/Logging_2582/kartor/A 31704-2025 karta.png", "A 31704-2025")</f>
        <v/>
      </c>
      <c r="V400">
        <f>HYPERLINK("https://klasma.github.io/Logging_2582/klagomål/A 31704-2025 FSC-klagomål.docx", "A 31704-2025")</f>
        <v/>
      </c>
      <c r="W400">
        <f>HYPERLINK("https://klasma.github.io/Logging_2582/klagomålsmail/A 31704-2025 FSC-klagomål mail.docx", "A 31704-2025")</f>
        <v/>
      </c>
      <c r="X400">
        <f>HYPERLINK("https://klasma.github.io/Logging_2582/tillsyn/A 31704-2025 tillsynsbegäran.docx", "A 31704-2025")</f>
        <v/>
      </c>
      <c r="Y400">
        <f>HYPERLINK("https://klasma.github.io/Logging_2582/tillsynsmail/A 31704-2025 tillsynsbegäran mail.docx", "A 31704-2025")</f>
        <v/>
      </c>
      <c r="Z400">
        <f>HYPERLINK("https://klasma.github.io/Logging_2582/fåglar/A 31704-2025 prioriterade fågelarter.docx", "A 31704-2025")</f>
        <v/>
      </c>
    </row>
    <row r="401" ht="15" customHeight="1">
      <c r="A401" t="inlineStr">
        <is>
          <t>A 40706-2023</t>
        </is>
      </c>
      <c r="B401" s="1" t="n">
        <v>45170</v>
      </c>
      <c r="C401" s="1" t="n">
        <v>45895</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5728-2025</t>
        </is>
      </c>
      <c r="B402" s="1" t="n">
        <v>45694</v>
      </c>
      <c r="C402" s="1" t="n">
        <v>45895</v>
      </c>
      <c r="D402" t="inlineStr">
        <is>
          <t>NORRBOTTENS LÄN</t>
        </is>
      </c>
      <c r="E402" t="inlineStr">
        <is>
          <t>GÄLLIVARE</t>
        </is>
      </c>
      <c r="F402" t="inlineStr">
        <is>
          <t>SCA</t>
        </is>
      </c>
      <c r="G402" t="n">
        <v>13.1</v>
      </c>
      <c r="H402" t="n">
        <v>0</v>
      </c>
      <c r="I402" t="n">
        <v>0</v>
      </c>
      <c r="J402" t="n">
        <v>2</v>
      </c>
      <c r="K402" t="n">
        <v>0</v>
      </c>
      <c r="L402" t="n">
        <v>0</v>
      </c>
      <c r="M402" t="n">
        <v>0</v>
      </c>
      <c r="N402" t="n">
        <v>0</v>
      </c>
      <c r="O402" t="n">
        <v>2</v>
      </c>
      <c r="P402" t="n">
        <v>0</v>
      </c>
      <c r="Q402" t="n">
        <v>2</v>
      </c>
      <c r="R402" s="2" t="inlineStr">
        <is>
          <t>Garnlav
Rosenticka</t>
        </is>
      </c>
      <c r="S402">
        <f>HYPERLINK("https://klasma.github.io/Logging_2523/artfynd/A 5728-2025 artfynd.xlsx", "A 5728-2025")</f>
        <v/>
      </c>
      <c r="T402">
        <f>HYPERLINK("https://klasma.github.io/Logging_2523/kartor/A 5728-2025 karta.png", "A 5728-2025")</f>
        <v/>
      </c>
      <c r="V402">
        <f>HYPERLINK("https://klasma.github.io/Logging_2523/klagomål/A 5728-2025 FSC-klagomål.docx", "A 5728-2025")</f>
        <v/>
      </c>
      <c r="W402">
        <f>HYPERLINK("https://klasma.github.io/Logging_2523/klagomålsmail/A 5728-2025 FSC-klagomål mail.docx", "A 5728-2025")</f>
        <v/>
      </c>
      <c r="X402">
        <f>HYPERLINK("https://klasma.github.io/Logging_2523/tillsyn/A 5728-2025 tillsynsbegäran.docx", "A 5728-2025")</f>
        <v/>
      </c>
      <c r="Y402">
        <f>HYPERLINK("https://klasma.github.io/Logging_2523/tillsynsmail/A 5728-2025 tillsynsbegäran mail.docx", "A 5728-2025")</f>
        <v/>
      </c>
    </row>
    <row r="403" ht="15" customHeight="1">
      <c r="A403" t="inlineStr">
        <is>
          <t>A 32812-2025</t>
        </is>
      </c>
      <c r="B403" s="1" t="n">
        <v>45839.51643518519</v>
      </c>
      <c r="C403" s="1" t="n">
        <v>45895</v>
      </c>
      <c r="D403" t="inlineStr">
        <is>
          <t>NORRBOTTENS LÄN</t>
        </is>
      </c>
      <c r="E403" t="inlineStr">
        <is>
          <t>ARVIDSJAUR</t>
        </is>
      </c>
      <c r="F403" t="inlineStr">
        <is>
          <t>Sveaskog</t>
        </is>
      </c>
      <c r="G403" t="n">
        <v>29.7</v>
      </c>
      <c r="H403" t="n">
        <v>1</v>
      </c>
      <c r="I403" t="n">
        <v>0</v>
      </c>
      <c r="J403" t="n">
        <v>1</v>
      </c>
      <c r="K403" t="n">
        <v>1</v>
      </c>
      <c r="L403" t="n">
        <v>0</v>
      </c>
      <c r="M403" t="n">
        <v>0</v>
      </c>
      <c r="N403" t="n">
        <v>0</v>
      </c>
      <c r="O403" t="n">
        <v>2</v>
      </c>
      <c r="P403" t="n">
        <v>1</v>
      </c>
      <c r="Q403" t="n">
        <v>2</v>
      </c>
      <c r="R403" s="2" t="inlineStr">
        <is>
          <t>Doftticka
Lunglav</t>
        </is>
      </c>
      <c r="S403">
        <f>HYPERLINK("https://klasma.github.io/Logging_2505/artfynd/A 32812-2025 artfynd.xlsx", "A 32812-2025")</f>
        <v/>
      </c>
      <c r="T403">
        <f>HYPERLINK("https://klasma.github.io/Logging_2505/kartor/A 32812-2025 karta.png", "A 32812-2025")</f>
        <v/>
      </c>
      <c r="V403">
        <f>HYPERLINK("https://klasma.github.io/Logging_2505/klagomål/A 32812-2025 FSC-klagomål.docx", "A 32812-2025")</f>
        <v/>
      </c>
      <c r="W403">
        <f>HYPERLINK("https://klasma.github.io/Logging_2505/klagomålsmail/A 32812-2025 FSC-klagomål mail.docx", "A 32812-2025")</f>
        <v/>
      </c>
      <c r="X403">
        <f>HYPERLINK("https://klasma.github.io/Logging_2505/tillsyn/A 32812-2025 tillsynsbegäran.docx", "A 32812-2025")</f>
        <v/>
      </c>
      <c r="Y403">
        <f>HYPERLINK("https://klasma.github.io/Logging_2505/tillsynsmail/A 32812-2025 tillsynsbegäran mail.docx", "A 32812-2025")</f>
        <v/>
      </c>
    </row>
    <row r="404" ht="15" customHeight="1">
      <c r="A404" t="inlineStr">
        <is>
          <t>A 1385-2023</t>
        </is>
      </c>
      <c r="B404" s="1" t="n">
        <v>44930</v>
      </c>
      <c r="C404" s="1" t="n">
        <v>45895</v>
      </c>
      <c r="D404" t="inlineStr">
        <is>
          <t>NORRBOTTENS LÄN</t>
        </is>
      </c>
      <c r="E404" t="inlineStr">
        <is>
          <t>PAJALA</t>
        </is>
      </c>
      <c r="G404" t="n">
        <v>2.7</v>
      </c>
      <c r="H404" t="n">
        <v>0</v>
      </c>
      <c r="I404" t="n">
        <v>1</v>
      </c>
      <c r="J404" t="n">
        <v>1</v>
      </c>
      <c r="K404" t="n">
        <v>0</v>
      </c>
      <c r="L404" t="n">
        <v>0</v>
      </c>
      <c r="M404" t="n">
        <v>0</v>
      </c>
      <c r="N404" t="n">
        <v>0</v>
      </c>
      <c r="O404" t="n">
        <v>1</v>
      </c>
      <c r="P404" t="n">
        <v>0</v>
      </c>
      <c r="Q404" t="n">
        <v>2</v>
      </c>
      <c r="R404" s="2" t="inlineStr">
        <is>
          <t>Gammelgransskål
Skör kvastmossa</t>
        </is>
      </c>
      <c r="S404">
        <f>HYPERLINK("https://klasma.github.io/Logging_2521/artfynd/A 1385-2023 artfynd.xlsx", "A 1385-2023")</f>
        <v/>
      </c>
      <c r="T404">
        <f>HYPERLINK("https://klasma.github.io/Logging_2521/kartor/A 1385-2023 karta.png", "A 1385-2023")</f>
        <v/>
      </c>
      <c r="V404">
        <f>HYPERLINK("https://klasma.github.io/Logging_2521/klagomål/A 1385-2023 FSC-klagomål.docx", "A 1385-2023")</f>
        <v/>
      </c>
      <c r="W404">
        <f>HYPERLINK("https://klasma.github.io/Logging_2521/klagomålsmail/A 1385-2023 FSC-klagomål mail.docx", "A 1385-2023")</f>
        <v/>
      </c>
      <c r="X404">
        <f>HYPERLINK("https://klasma.github.io/Logging_2521/tillsyn/A 1385-2023 tillsynsbegäran.docx", "A 1385-2023")</f>
        <v/>
      </c>
      <c r="Y404">
        <f>HYPERLINK("https://klasma.github.io/Logging_2521/tillsynsmail/A 1385-2023 tillsynsbegäran mail.docx", "A 1385-2023")</f>
        <v/>
      </c>
    </row>
    <row r="405" ht="15" customHeight="1">
      <c r="A405" t="inlineStr">
        <is>
          <t>A 55908-2023</t>
        </is>
      </c>
      <c r="B405" s="1" t="n">
        <v>45239</v>
      </c>
      <c r="C405" s="1" t="n">
        <v>45895</v>
      </c>
      <c r="D405" t="inlineStr">
        <is>
          <t>NORRBOTTENS LÄN</t>
        </is>
      </c>
      <c r="E405" t="inlineStr">
        <is>
          <t>LULEÅ</t>
        </is>
      </c>
      <c r="G405" t="n">
        <v>39.7</v>
      </c>
      <c r="H405" t="n">
        <v>0</v>
      </c>
      <c r="I405" t="n">
        <v>1</v>
      </c>
      <c r="J405" t="n">
        <v>1</v>
      </c>
      <c r="K405" t="n">
        <v>0</v>
      </c>
      <c r="L405" t="n">
        <v>0</v>
      </c>
      <c r="M405" t="n">
        <v>0</v>
      </c>
      <c r="N405" t="n">
        <v>0</v>
      </c>
      <c r="O405" t="n">
        <v>1</v>
      </c>
      <c r="P405" t="n">
        <v>0</v>
      </c>
      <c r="Q405" t="n">
        <v>2</v>
      </c>
      <c r="R405" s="2" t="inlineStr">
        <is>
          <t>Harticka
Gräsull</t>
        </is>
      </c>
      <c r="S405">
        <f>HYPERLINK("https://klasma.github.io/Logging_2580/artfynd/A 55908-2023 artfynd.xlsx", "A 55908-2023")</f>
        <v/>
      </c>
      <c r="T405">
        <f>HYPERLINK("https://klasma.github.io/Logging_2580/kartor/A 55908-2023 karta.png", "A 55908-2023")</f>
        <v/>
      </c>
      <c r="V405">
        <f>HYPERLINK("https://klasma.github.io/Logging_2580/klagomål/A 55908-2023 FSC-klagomål.docx", "A 55908-2023")</f>
        <v/>
      </c>
      <c r="W405">
        <f>HYPERLINK("https://klasma.github.io/Logging_2580/klagomålsmail/A 55908-2023 FSC-klagomål mail.docx", "A 55908-2023")</f>
        <v/>
      </c>
      <c r="X405">
        <f>HYPERLINK("https://klasma.github.io/Logging_2580/tillsyn/A 55908-2023 tillsynsbegäran.docx", "A 55908-2023")</f>
        <v/>
      </c>
      <c r="Y405">
        <f>HYPERLINK("https://klasma.github.io/Logging_2580/tillsynsmail/A 55908-2023 tillsynsbegäran mail.docx", "A 55908-2023")</f>
        <v/>
      </c>
    </row>
    <row r="406" ht="15" customHeight="1">
      <c r="A406" t="inlineStr">
        <is>
          <t>A 46856-2023</t>
        </is>
      </c>
      <c r="B406" s="1" t="n">
        <v>45199</v>
      </c>
      <c r="C406" s="1" t="n">
        <v>45895</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67917-2021</t>
        </is>
      </c>
      <c r="B407" s="1" t="n">
        <v>44525</v>
      </c>
      <c r="C407" s="1" t="n">
        <v>45895</v>
      </c>
      <c r="D407" t="inlineStr">
        <is>
          <t>NORRBOTTENS LÄN</t>
        </is>
      </c>
      <c r="E407" t="inlineStr">
        <is>
          <t>PITEÅ</t>
        </is>
      </c>
      <c r="F407" t="inlineStr">
        <is>
          <t>Sveaskog</t>
        </is>
      </c>
      <c r="G407" t="n">
        <v>4.2</v>
      </c>
      <c r="H407" t="n">
        <v>0</v>
      </c>
      <c r="I407" t="n">
        <v>1</v>
      </c>
      <c r="J407" t="n">
        <v>1</v>
      </c>
      <c r="K407" t="n">
        <v>0</v>
      </c>
      <c r="L407" t="n">
        <v>0</v>
      </c>
      <c r="M407" t="n">
        <v>0</v>
      </c>
      <c r="N407" t="n">
        <v>0</v>
      </c>
      <c r="O407" t="n">
        <v>1</v>
      </c>
      <c r="P407" t="n">
        <v>0</v>
      </c>
      <c r="Q407" t="n">
        <v>2</v>
      </c>
      <c r="R407" s="2" t="inlineStr">
        <is>
          <t>Lunglav
Stor aspticka</t>
        </is>
      </c>
      <c r="S407">
        <f>HYPERLINK("https://klasma.github.io/Logging_2581/artfynd/A 67917-2021 artfynd.xlsx", "A 67917-2021")</f>
        <v/>
      </c>
      <c r="T407">
        <f>HYPERLINK("https://klasma.github.io/Logging_2581/kartor/A 67917-2021 karta.png", "A 67917-2021")</f>
        <v/>
      </c>
      <c r="V407">
        <f>HYPERLINK("https://klasma.github.io/Logging_2581/klagomål/A 67917-2021 FSC-klagomål.docx", "A 67917-2021")</f>
        <v/>
      </c>
      <c r="W407">
        <f>HYPERLINK("https://klasma.github.io/Logging_2581/klagomålsmail/A 67917-2021 FSC-klagomål mail.docx", "A 67917-2021")</f>
        <v/>
      </c>
      <c r="X407">
        <f>HYPERLINK("https://klasma.github.io/Logging_2581/tillsyn/A 67917-2021 tillsynsbegäran.docx", "A 67917-2021")</f>
        <v/>
      </c>
      <c r="Y407">
        <f>HYPERLINK("https://klasma.github.io/Logging_2581/tillsynsmail/A 67917-2021 tillsynsbegäran mail.docx", "A 67917-2021")</f>
        <v/>
      </c>
    </row>
    <row r="408" ht="15" customHeight="1">
      <c r="A408" t="inlineStr">
        <is>
          <t>A 38607-2025</t>
        </is>
      </c>
      <c r="B408" s="1" t="n">
        <v>45884.53171296296</v>
      </c>
      <c r="C408" s="1" t="n">
        <v>45895</v>
      </c>
      <c r="D408" t="inlineStr">
        <is>
          <t>NORRBOTTENS LÄN</t>
        </is>
      </c>
      <c r="E408" t="inlineStr">
        <is>
          <t>JOKKMOKK</t>
        </is>
      </c>
      <c r="F408" t="inlineStr">
        <is>
          <t>SCA</t>
        </is>
      </c>
      <c r="G408" t="n">
        <v>6.1</v>
      </c>
      <c r="H408" t="n">
        <v>1</v>
      </c>
      <c r="I408" t="n">
        <v>0</v>
      </c>
      <c r="J408" t="n">
        <v>2</v>
      </c>
      <c r="K408" t="n">
        <v>0</v>
      </c>
      <c r="L408" t="n">
        <v>0</v>
      </c>
      <c r="M408" t="n">
        <v>0</v>
      </c>
      <c r="N408" t="n">
        <v>0</v>
      </c>
      <c r="O408" t="n">
        <v>2</v>
      </c>
      <c r="P408" t="n">
        <v>0</v>
      </c>
      <c r="Q408" t="n">
        <v>2</v>
      </c>
      <c r="R408" s="2" t="inlineStr">
        <is>
          <t>Gammelgransskål
Järpe</t>
        </is>
      </c>
      <c r="S408">
        <f>HYPERLINK("https://klasma.github.io/Logging_2510/artfynd/A 38607-2025 artfynd.xlsx", "A 38607-2025")</f>
        <v/>
      </c>
      <c r="T408">
        <f>HYPERLINK("https://klasma.github.io/Logging_2510/kartor/A 38607-2025 karta.png", "A 38607-2025")</f>
        <v/>
      </c>
      <c r="V408">
        <f>HYPERLINK("https://klasma.github.io/Logging_2510/klagomål/A 38607-2025 FSC-klagomål.docx", "A 38607-2025")</f>
        <v/>
      </c>
      <c r="W408">
        <f>HYPERLINK("https://klasma.github.io/Logging_2510/klagomålsmail/A 38607-2025 FSC-klagomål mail.docx", "A 38607-2025")</f>
        <v/>
      </c>
      <c r="X408">
        <f>HYPERLINK("https://klasma.github.io/Logging_2510/tillsyn/A 38607-2025 tillsynsbegäran.docx", "A 38607-2025")</f>
        <v/>
      </c>
      <c r="Y408">
        <f>HYPERLINK("https://klasma.github.io/Logging_2510/tillsynsmail/A 38607-2025 tillsynsbegäran mail.docx", "A 38607-2025")</f>
        <v/>
      </c>
      <c r="Z408">
        <f>HYPERLINK("https://klasma.github.io/Logging_2510/fåglar/A 38607-2025 prioriterade fågelarter.docx", "A 38607-2025")</f>
        <v/>
      </c>
    </row>
    <row r="409" ht="15" customHeight="1">
      <c r="A409" t="inlineStr">
        <is>
          <t>A 34385-2025</t>
        </is>
      </c>
      <c r="B409" s="1" t="n">
        <v>45846.56134259259</v>
      </c>
      <c r="C409" s="1" t="n">
        <v>45895</v>
      </c>
      <c r="D409" t="inlineStr">
        <is>
          <t>NORRBOTTENS LÄN</t>
        </is>
      </c>
      <c r="E409" t="inlineStr">
        <is>
          <t>KALIX</t>
        </is>
      </c>
      <c r="F409" t="inlineStr">
        <is>
          <t>Sveaskog</t>
        </is>
      </c>
      <c r="G409" t="n">
        <v>9.9</v>
      </c>
      <c r="H409" t="n">
        <v>1</v>
      </c>
      <c r="I409" t="n">
        <v>0</v>
      </c>
      <c r="J409" t="n">
        <v>1</v>
      </c>
      <c r="K409" t="n">
        <v>1</v>
      </c>
      <c r="L409" t="n">
        <v>0</v>
      </c>
      <c r="M409" t="n">
        <v>0</v>
      </c>
      <c r="N409" t="n">
        <v>0</v>
      </c>
      <c r="O409" t="n">
        <v>2</v>
      </c>
      <c r="P409" t="n">
        <v>1</v>
      </c>
      <c r="Q409" t="n">
        <v>2</v>
      </c>
      <c r="R409" s="2" t="inlineStr">
        <is>
          <t>Knärot
Garnlav</t>
        </is>
      </c>
      <c r="S409">
        <f>HYPERLINK("https://klasma.github.io/Logging_2514/artfynd/A 34385-2025 artfynd.xlsx", "A 34385-2025")</f>
        <v/>
      </c>
      <c r="T409">
        <f>HYPERLINK("https://klasma.github.io/Logging_2514/kartor/A 34385-2025 karta.png", "A 34385-2025")</f>
        <v/>
      </c>
      <c r="U409">
        <f>HYPERLINK("https://klasma.github.io/Logging_2514/knärot/A 34385-2025 karta knärot.png", "A 34385-2025")</f>
        <v/>
      </c>
      <c r="V409">
        <f>HYPERLINK("https://klasma.github.io/Logging_2514/klagomål/A 34385-2025 FSC-klagomål.docx", "A 34385-2025")</f>
        <v/>
      </c>
      <c r="W409">
        <f>HYPERLINK("https://klasma.github.io/Logging_2514/klagomålsmail/A 34385-2025 FSC-klagomål mail.docx", "A 34385-2025")</f>
        <v/>
      </c>
      <c r="X409">
        <f>HYPERLINK("https://klasma.github.io/Logging_2514/tillsyn/A 34385-2025 tillsynsbegäran.docx", "A 34385-2025")</f>
        <v/>
      </c>
      <c r="Y409">
        <f>HYPERLINK("https://klasma.github.io/Logging_2514/tillsynsmail/A 34385-2025 tillsynsbegäran mail.docx", "A 34385-2025")</f>
        <v/>
      </c>
    </row>
    <row r="410" ht="15" customHeight="1">
      <c r="A410" t="inlineStr">
        <is>
          <t>A 50237-2022</t>
        </is>
      </c>
      <c r="B410" s="1" t="n">
        <v>44865</v>
      </c>
      <c r="C410" s="1" t="n">
        <v>45895</v>
      </c>
      <c r="D410" t="inlineStr">
        <is>
          <t>NORRBOTTENS LÄN</t>
        </is>
      </c>
      <c r="E410" t="inlineStr">
        <is>
          <t>JOKKMOKK</t>
        </is>
      </c>
      <c r="F410" t="inlineStr">
        <is>
          <t>Sveaskog</t>
        </is>
      </c>
      <c r="G410" t="n">
        <v>13.4</v>
      </c>
      <c r="H410" t="n">
        <v>1</v>
      </c>
      <c r="I410" t="n">
        <v>1</v>
      </c>
      <c r="J410" t="n">
        <v>0</v>
      </c>
      <c r="K410" t="n">
        <v>0</v>
      </c>
      <c r="L410" t="n">
        <v>0</v>
      </c>
      <c r="M410" t="n">
        <v>0</v>
      </c>
      <c r="N410" t="n">
        <v>0</v>
      </c>
      <c r="O410" t="n">
        <v>0</v>
      </c>
      <c r="P410" t="n">
        <v>0</v>
      </c>
      <c r="Q410" t="n">
        <v>2</v>
      </c>
      <c r="R410" s="2" t="inlineStr">
        <is>
          <t>Vedticka
Lavskrika</t>
        </is>
      </c>
      <c r="S410">
        <f>HYPERLINK("https://klasma.github.io/Logging_2510/artfynd/A 50237-2022 artfynd.xlsx", "A 50237-2022")</f>
        <v/>
      </c>
      <c r="T410">
        <f>HYPERLINK("https://klasma.github.io/Logging_2510/kartor/A 50237-2022 karta.png", "A 50237-2022")</f>
        <v/>
      </c>
      <c r="V410">
        <f>HYPERLINK("https://klasma.github.io/Logging_2510/klagomål/A 50237-2022 FSC-klagomål.docx", "A 50237-2022")</f>
        <v/>
      </c>
      <c r="W410">
        <f>HYPERLINK("https://klasma.github.io/Logging_2510/klagomålsmail/A 50237-2022 FSC-klagomål mail.docx", "A 50237-2022")</f>
        <v/>
      </c>
      <c r="X410">
        <f>HYPERLINK("https://klasma.github.io/Logging_2510/tillsyn/A 50237-2022 tillsynsbegäran.docx", "A 50237-2022")</f>
        <v/>
      </c>
      <c r="Y410">
        <f>HYPERLINK("https://klasma.github.io/Logging_2510/tillsynsmail/A 50237-2022 tillsynsbegäran mail.docx", "A 50237-2022")</f>
        <v/>
      </c>
      <c r="Z410">
        <f>HYPERLINK("https://klasma.github.io/Logging_2510/fåglar/A 50237-2022 prioriterade fågelarter.docx", "A 50237-2022")</f>
        <v/>
      </c>
    </row>
    <row r="411" ht="15" customHeight="1">
      <c r="A411" t="inlineStr">
        <is>
          <t>A 55038-2024</t>
        </is>
      </c>
      <c r="B411" s="1" t="n">
        <v>45621</v>
      </c>
      <c r="C411" s="1" t="n">
        <v>45895</v>
      </c>
      <c r="D411" t="inlineStr">
        <is>
          <t>NORRBOTTENS LÄN</t>
        </is>
      </c>
      <c r="E411" t="inlineStr">
        <is>
          <t>ÄLVSBYN</t>
        </is>
      </c>
      <c r="F411" t="inlineStr">
        <is>
          <t>Sveaskog</t>
        </is>
      </c>
      <c r="G411" t="n">
        <v>39</v>
      </c>
      <c r="H411" t="n">
        <v>0</v>
      </c>
      <c r="I411" t="n">
        <v>1</v>
      </c>
      <c r="J411" t="n">
        <v>1</v>
      </c>
      <c r="K411" t="n">
        <v>0</v>
      </c>
      <c r="L411" t="n">
        <v>0</v>
      </c>
      <c r="M411" t="n">
        <v>0</v>
      </c>
      <c r="N411" t="n">
        <v>0</v>
      </c>
      <c r="O411" t="n">
        <v>1</v>
      </c>
      <c r="P411" t="n">
        <v>0</v>
      </c>
      <c r="Q411" t="n">
        <v>2</v>
      </c>
      <c r="R411" s="2" t="inlineStr">
        <is>
          <t>Lunglav
Stuplav</t>
        </is>
      </c>
      <c r="S411">
        <f>HYPERLINK("https://klasma.github.io/Logging_2560/artfynd/A 55038-2024 artfynd.xlsx", "A 55038-2024")</f>
        <v/>
      </c>
      <c r="T411">
        <f>HYPERLINK("https://klasma.github.io/Logging_2560/kartor/A 55038-2024 karta.png", "A 55038-2024")</f>
        <v/>
      </c>
      <c r="V411">
        <f>HYPERLINK("https://klasma.github.io/Logging_2560/klagomål/A 55038-2024 FSC-klagomål.docx", "A 55038-2024")</f>
        <v/>
      </c>
      <c r="W411">
        <f>HYPERLINK("https://klasma.github.io/Logging_2560/klagomålsmail/A 55038-2024 FSC-klagomål mail.docx", "A 55038-2024")</f>
        <v/>
      </c>
      <c r="X411">
        <f>HYPERLINK("https://klasma.github.io/Logging_2560/tillsyn/A 55038-2024 tillsynsbegäran.docx", "A 55038-2024")</f>
        <v/>
      </c>
      <c r="Y411">
        <f>HYPERLINK("https://klasma.github.io/Logging_2560/tillsynsmail/A 55038-2024 tillsynsbegäran mail.docx", "A 55038-2024")</f>
        <v/>
      </c>
    </row>
    <row r="412" ht="15" customHeight="1">
      <c r="A412" t="inlineStr">
        <is>
          <t>A 34361-2025</t>
        </is>
      </c>
      <c r="B412" s="1" t="n">
        <v>45846.48820601852</v>
      </c>
      <c r="C412" s="1" t="n">
        <v>45895</v>
      </c>
      <c r="D412" t="inlineStr">
        <is>
          <t>NORRBOTTENS LÄN</t>
        </is>
      </c>
      <c r="E412" t="inlineStr">
        <is>
          <t>PITEÅ</t>
        </is>
      </c>
      <c r="F412" t="inlineStr">
        <is>
          <t>Övriga statliga verk och myndigheter</t>
        </is>
      </c>
      <c r="G412" t="n">
        <v>2.7</v>
      </c>
      <c r="H412" t="n">
        <v>2</v>
      </c>
      <c r="I412" t="n">
        <v>0</v>
      </c>
      <c r="J412" t="n">
        <v>1</v>
      </c>
      <c r="K412" t="n">
        <v>0</v>
      </c>
      <c r="L412" t="n">
        <v>0</v>
      </c>
      <c r="M412" t="n">
        <v>0</v>
      </c>
      <c r="N412" t="n">
        <v>0</v>
      </c>
      <c r="O412" t="n">
        <v>1</v>
      </c>
      <c r="P412" t="n">
        <v>0</v>
      </c>
      <c r="Q412" t="n">
        <v>2</v>
      </c>
      <c r="R412" s="2" t="inlineStr">
        <is>
          <t>Spillkråka
Revlummer</t>
        </is>
      </c>
      <c r="S412">
        <f>HYPERLINK("https://klasma.github.io/Logging_2581/artfynd/A 34361-2025 artfynd.xlsx", "A 34361-2025")</f>
        <v/>
      </c>
      <c r="T412">
        <f>HYPERLINK("https://klasma.github.io/Logging_2581/kartor/A 34361-2025 karta.png", "A 34361-2025")</f>
        <v/>
      </c>
      <c r="V412">
        <f>HYPERLINK("https://klasma.github.io/Logging_2581/klagomål/A 34361-2025 FSC-klagomål.docx", "A 34361-2025")</f>
        <v/>
      </c>
      <c r="W412">
        <f>HYPERLINK("https://klasma.github.io/Logging_2581/klagomålsmail/A 34361-2025 FSC-klagomål mail.docx", "A 34361-2025")</f>
        <v/>
      </c>
      <c r="X412">
        <f>HYPERLINK("https://klasma.github.io/Logging_2581/tillsyn/A 34361-2025 tillsynsbegäran.docx", "A 34361-2025")</f>
        <v/>
      </c>
      <c r="Y412">
        <f>HYPERLINK("https://klasma.github.io/Logging_2581/tillsynsmail/A 34361-2025 tillsynsbegäran mail.docx", "A 34361-2025")</f>
        <v/>
      </c>
      <c r="Z412">
        <f>HYPERLINK("https://klasma.github.io/Logging_2581/fåglar/A 34361-2025 prioriterade fågelarter.docx", "A 34361-2025")</f>
        <v/>
      </c>
    </row>
    <row r="413" ht="15" customHeight="1">
      <c r="A413" t="inlineStr">
        <is>
          <t>A 6180-2023</t>
        </is>
      </c>
      <c r="B413" s="1" t="n">
        <v>44964</v>
      </c>
      <c r="C413" s="1" t="n">
        <v>45895</v>
      </c>
      <c r="D413" t="inlineStr">
        <is>
          <t>NORRBOTTENS LÄN</t>
        </is>
      </c>
      <c r="E413" t="inlineStr">
        <is>
          <t>PAJALA</t>
        </is>
      </c>
      <c r="G413" t="n">
        <v>16.3</v>
      </c>
      <c r="H413" t="n">
        <v>1</v>
      </c>
      <c r="I413" t="n">
        <v>0</v>
      </c>
      <c r="J413" t="n">
        <v>2</v>
      </c>
      <c r="K413" t="n">
        <v>0</v>
      </c>
      <c r="L413" t="n">
        <v>0</v>
      </c>
      <c r="M413" t="n">
        <v>0</v>
      </c>
      <c r="N413" t="n">
        <v>0</v>
      </c>
      <c r="O413" t="n">
        <v>2</v>
      </c>
      <c r="P413" t="n">
        <v>0</v>
      </c>
      <c r="Q413" t="n">
        <v>2</v>
      </c>
      <c r="R413" s="2" t="inlineStr">
        <is>
          <t>Knottrig blåslav
Tretåig hackspett</t>
        </is>
      </c>
      <c r="S413">
        <f>HYPERLINK("https://klasma.github.io/Logging_2521/artfynd/A 6180-2023 artfynd.xlsx", "A 6180-2023")</f>
        <v/>
      </c>
      <c r="T413">
        <f>HYPERLINK("https://klasma.github.io/Logging_2521/kartor/A 6180-2023 karta.png", "A 6180-2023")</f>
        <v/>
      </c>
      <c r="V413">
        <f>HYPERLINK("https://klasma.github.io/Logging_2521/klagomål/A 6180-2023 FSC-klagomål.docx", "A 6180-2023")</f>
        <v/>
      </c>
      <c r="W413">
        <f>HYPERLINK("https://klasma.github.io/Logging_2521/klagomålsmail/A 6180-2023 FSC-klagomål mail.docx", "A 6180-2023")</f>
        <v/>
      </c>
      <c r="X413">
        <f>HYPERLINK("https://klasma.github.io/Logging_2521/tillsyn/A 6180-2023 tillsynsbegäran.docx", "A 6180-2023")</f>
        <v/>
      </c>
      <c r="Y413">
        <f>HYPERLINK("https://klasma.github.io/Logging_2521/tillsynsmail/A 6180-2023 tillsynsbegäran mail.docx", "A 6180-2023")</f>
        <v/>
      </c>
      <c r="Z413">
        <f>HYPERLINK("https://klasma.github.io/Logging_2521/fåglar/A 6180-2023 prioriterade fågelarter.docx", "A 6180-2023")</f>
        <v/>
      </c>
    </row>
    <row r="414" ht="15" customHeight="1">
      <c r="A414" t="inlineStr">
        <is>
          <t>A 45030-2023</t>
        </is>
      </c>
      <c r="B414" s="1" t="n">
        <v>45190</v>
      </c>
      <c r="C414" s="1" t="n">
        <v>45895</v>
      </c>
      <c r="D414" t="inlineStr">
        <is>
          <t>NORRBOTTENS LÄN</t>
        </is>
      </c>
      <c r="E414" t="inlineStr">
        <is>
          <t>ARJEPLOG</t>
        </is>
      </c>
      <c r="F414" t="inlineStr">
        <is>
          <t>Övriga statliga verk och myndigheter</t>
        </is>
      </c>
      <c r="G414" t="n">
        <v>3.8</v>
      </c>
      <c r="H414" t="n">
        <v>0</v>
      </c>
      <c r="I414" t="n">
        <v>0</v>
      </c>
      <c r="J414" t="n">
        <v>2</v>
      </c>
      <c r="K414" t="n">
        <v>0</v>
      </c>
      <c r="L414" t="n">
        <v>0</v>
      </c>
      <c r="M414" t="n">
        <v>0</v>
      </c>
      <c r="N414" t="n">
        <v>0</v>
      </c>
      <c r="O414" t="n">
        <v>2</v>
      </c>
      <c r="P414" t="n">
        <v>0</v>
      </c>
      <c r="Q414" t="n">
        <v>2</v>
      </c>
      <c r="R414" s="2" t="inlineStr">
        <is>
          <t>Harticka
Ullticka</t>
        </is>
      </c>
      <c r="S414">
        <f>HYPERLINK("https://klasma.github.io/Logging_2506/artfynd/A 45030-2023 artfynd.xlsx", "A 45030-2023")</f>
        <v/>
      </c>
      <c r="T414">
        <f>HYPERLINK("https://klasma.github.io/Logging_2506/kartor/A 45030-2023 karta.png", "A 45030-2023")</f>
        <v/>
      </c>
      <c r="V414">
        <f>HYPERLINK("https://klasma.github.io/Logging_2506/klagomål/A 45030-2023 FSC-klagomål.docx", "A 45030-2023")</f>
        <v/>
      </c>
      <c r="W414">
        <f>HYPERLINK("https://klasma.github.io/Logging_2506/klagomålsmail/A 45030-2023 FSC-klagomål mail.docx", "A 45030-2023")</f>
        <v/>
      </c>
      <c r="X414">
        <f>HYPERLINK("https://klasma.github.io/Logging_2506/tillsyn/A 45030-2023 tillsynsbegäran.docx", "A 45030-2023")</f>
        <v/>
      </c>
      <c r="Y414">
        <f>HYPERLINK("https://klasma.github.io/Logging_2506/tillsynsmail/A 45030-2023 tillsynsbegäran mail.docx", "A 45030-2023")</f>
        <v/>
      </c>
    </row>
    <row r="415" ht="15" customHeight="1">
      <c r="A415" t="inlineStr">
        <is>
          <t>A 11634-2025</t>
        </is>
      </c>
      <c r="B415" s="1" t="n">
        <v>45726</v>
      </c>
      <c r="C415" s="1" t="n">
        <v>45895</v>
      </c>
      <c r="D415" t="inlineStr">
        <is>
          <t>NORRBOTTENS LÄN</t>
        </is>
      </c>
      <c r="E415" t="inlineStr">
        <is>
          <t>ARVIDSJAUR</t>
        </is>
      </c>
      <c r="F415" t="inlineStr">
        <is>
          <t>Allmännings- och besparingsskogar</t>
        </is>
      </c>
      <c r="G415" t="n">
        <v>13.8</v>
      </c>
      <c r="H415" t="n">
        <v>0</v>
      </c>
      <c r="I415" t="n">
        <v>1</v>
      </c>
      <c r="J415" t="n">
        <v>1</v>
      </c>
      <c r="K415" t="n">
        <v>0</v>
      </c>
      <c r="L415" t="n">
        <v>0</v>
      </c>
      <c r="M415" t="n">
        <v>0</v>
      </c>
      <c r="N415" t="n">
        <v>0</v>
      </c>
      <c r="O415" t="n">
        <v>1</v>
      </c>
      <c r="P415" t="n">
        <v>0</v>
      </c>
      <c r="Q415" t="n">
        <v>2</v>
      </c>
      <c r="R415" s="2" t="inlineStr">
        <is>
          <t>Lunglav
Skinnlav</t>
        </is>
      </c>
      <c r="S415">
        <f>HYPERLINK("https://klasma.github.io/Logging_2505/artfynd/A 11634-2025 artfynd.xlsx", "A 11634-2025")</f>
        <v/>
      </c>
      <c r="T415">
        <f>HYPERLINK("https://klasma.github.io/Logging_2505/kartor/A 11634-2025 karta.png", "A 11634-2025")</f>
        <v/>
      </c>
      <c r="V415">
        <f>HYPERLINK("https://klasma.github.io/Logging_2505/klagomål/A 11634-2025 FSC-klagomål.docx", "A 11634-2025")</f>
        <v/>
      </c>
      <c r="W415">
        <f>HYPERLINK("https://klasma.github.io/Logging_2505/klagomålsmail/A 11634-2025 FSC-klagomål mail.docx", "A 11634-2025")</f>
        <v/>
      </c>
      <c r="X415">
        <f>HYPERLINK("https://klasma.github.io/Logging_2505/tillsyn/A 11634-2025 tillsynsbegäran.docx", "A 11634-2025")</f>
        <v/>
      </c>
      <c r="Y415">
        <f>HYPERLINK("https://klasma.github.io/Logging_2505/tillsynsmail/A 11634-2025 tillsynsbegäran mail.docx", "A 11634-2025")</f>
        <v/>
      </c>
    </row>
    <row r="416" ht="15" customHeight="1">
      <c r="A416" t="inlineStr">
        <is>
          <t>A 40118-2025</t>
        </is>
      </c>
      <c r="B416" s="1" t="n">
        <v>45894.51905092593</v>
      </c>
      <c r="C416" s="1" t="n">
        <v>45895</v>
      </c>
      <c r="D416" t="inlineStr">
        <is>
          <t>NORRBOTTENS LÄN</t>
        </is>
      </c>
      <c r="E416" t="inlineStr">
        <is>
          <t>ÄLVSBYN</t>
        </is>
      </c>
      <c r="F416" t="inlineStr">
        <is>
          <t>Sveaskog</t>
        </is>
      </c>
      <c r="G416" t="n">
        <v>24.3</v>
      </c>
      <c r="H416" t="n">
        <v>1</v>
      </c>
      <c r="I416" t="n">
        <v>0</v>
      </c>
      <c r="J416" t="n">
        <v>1</v>
      </c>
      <c r="K416" t="n">
        <v>1</v>
      </c>
      <c r="L416" t="n">
        <v>0</v>
      </c>
      <c r="M416" t="n">
        <v>0</v>
      </c>
      <c r="N416" t="n">
        <v>0</v>
      </c>
      <c r="O416" t="n">
        <v>2</v>
      </c>
      <c r="P416" t="n">
        <v>1</v>
      </c>
      <c r="Q416" t="n">
        <v>2</v>
      </c>
      <c r="R416" s="2" t="inlineStr">
        <is>
          <t>Knärot
Lunglav</t>
        </is>
      </c>
      <c r="S416">
        <f>HYPERLINK("https://klasma.github.io/Logging_2560/artfynd/A 40118-2025 artfynd.xlsx", "A 40118-2025")</f>
        <v/>
      </c>
      <c r="T416">
        <f>HYPERLINK("https://klasma.github.io/Logging_2560/kartor/A 40118-2025 karta.png", "A 40118-2025")</f>
        <v/>
      </c>
      <c r="U416">
        <f>HYPERLINK("https://klasma.github.io/Logging_2560/knärot/A 40118-2025 karta knärot.png", "A 40118-2025")</f>
        <v/>
      </c>
      <c r="V416">
        <f>HYPERLINK("https://klasma.github.io/Logging_2560/klagomål/A 40118-2025 FSC-klagomål.docx", "A 40118-2025")</f>
        <v/>
      </c>
      <c r="W416">
        <f>HYPERLINK("https://klasma.github.io/Logging_2560/klagomålsmail/A 40118-2025 FSC-klagomål mail.docx", "A 40118-2025")</f>
        <v/>
      </c>
      <c r="X416">
        <f>HYPERLINK("https://klasma.github.io/Logging_2560/tillsyn/A 40118-2025 tillsynsbegäran.docx", "A 40118-2025")</f>
        <v/>
      </c>
      <c r="Y416">
        <f>HYPERLINK("https://klasma.github.io/Logging_2560/tillsynsmail/A 40118-2025 tillsynsbegäran mail.docx", "A 40118-2025")</f>
        <v/>
      </c>
    </row>
    <row r="417" ht="15" customHeight="1">
      <c r="A417" t="inlineStr">
        <is>
          <t>A 46152-2021</t>
        </is>
      </c>
      <c r="B417" s="1" t="n">
        <v>44442.42032407408</v>
      </c>
      <c r="C417" s="1" t="n">
        <v>45895</v>
      </c>
      <c r="D417" t="inlineStr">
        <is>
          <t>NORRBOTTENS LÄN</t>
        </is>
      </c>
      <c r="E417" t="inlineStr">
        <is>
          <t>KALIX</t>
        </is>
      </c>
      <c r="F417" t="inlineStr">
        <is>
          <t>Sveaskog</t>
        </is>
      </c>
      <c r="G417" t="n">
        <v>1.8</v>
      </c>
      <c r="H417" t="n">
        <v>1</v>
      </c>
      <c r="I417" t="n">
        <v>0</v>
      </c>
      <c r="J417" t="n">
        <v>2</v>
      </c>
      <c r="K417" t="n">
        <v>0</v>
      </c>
      <c r="L417" t="n">
        <v>0</v>
      </c>
      <c r="M417" t="n">
        <v>0</v>
      </c>
      <c r="N417" t="n">
        <v>0</v>
      </c>
      <c r="O417" t="n">
        <v>2</v>
      </c>
      <c r="P417" t="n">
        <v>0</v>
      </c>
      <c r="Q417" t="n">
        <v>2</v>
      </c>
      <c r="R417" s="2" t="inlineStr">
        <is>
          <t>Garnlav
Tretåig hackspett</t>
        </is>
      </c>
      <c r="S417">
        <f>HYPERLINK("https://klasma.github.io/Logging_2514/artfynd/A 46152-2021 artfynd.xlsx", "A 46152-2021")</f>
        <v/>
      </c>
      <c r="T417">
        <f>HYPERLINK("https://klasma.github.io/Logging_2514/kartor/A 46152-2021 karta.png", "A 46152-2021")</f>
        <v/>
      </c>
      <c r="V417">
        <f>HYPERLINK("https://klasma.github.io/Logging_2514/klagomål/A 46152-2021 FSC-klagomål.docx", "A 46152-2021")</f>
        <v/>
      </c>
      <c r="W417">
        <f>HYPERLINK("https://klasma.github.io/Logging_2514/klagomålsmail/A 46152-2021 FSC-klagomål mail.docx", "A 46152-2021")</f>
        <v/>
      </c>
      <c r="X417">
        <f>HYPERLINK("https://klasma.github.io/Logging_2514/tillsyn/A 46152-2021 tillsynsbegäran.docx", "A 46152-2021")</f>
        <v/>
      </c>
      <c r="Y417">
        <f>HYPERLINK("https://klasma.github.io/Logging_2514/tillsynsmail/A 46152-2021 tillsynsbegäran mail.docx", "A 46152-2021")</f>
        <v/>
      </c>
      <c r="Z417">
        <f>HYPERLINK("https://klasma.github.io/Logging_2514/fåglar/A 46152-2021 prioriterade fågelarter.docx", "A 46152-2021")</f>
        <v/>
      </c>
    </row>
    <row r="418" ht="15" customHeight="1">
      <c r="A418" t="inlineStr">
        <is>
          <t>A 38727-2025</t>
        </is>
      </c>
      <c r="B418" s="1" t="n">
        <v>45887</v>
      </c>
      <c r="C418" s="1" t="n">
        <v>45895</v>
      </c>
      <c r="D418" t="inlineStr">
        <is>
          <t>NORRBOTTENS LÄN</t>
        </is>
      </c>
      <c r="E418" t="inlineStr">
        <is>
          <t>ÄLVSBYN</t>
        </is>
      </c>
      <c r="F418" t="inlineStr">
        <is>
          <t>Sveaskog</t>
        </is>
      </c>
      <c r="G418" t="n">
        <v>3.6</v>
      </c>
      <c r="H418" t="n">
        <v>2</v>
      </c>
      <c r="I418" t="n">
        <v>0</v>
      </c>
      <c r="J418" t="n">
        <v>0</v>
      </c>
      <c r="K418" t="n">
        <v>1</v>
      </c>
      <c r="L418" t="n">
        <v>0</v>
      </c>
      <c r="M418" t="n">
        <v>0</v>
      </c>
      <c r="N418" t="n">
        <v>0</v>
      </c>
      <c r="O418" t="n">
        <v>1</v>
      </c>
      <c r="P418" t="n">
        <v>1</v>
      </c>
      <c r="Q418" t="n">
        <v>2</v>
      </c>
      <c r="R418" s="2" t="inlineStr">
        <is>
          <t>Knärot
Fläcknycklar</t>
        </is>
      </c>
      <c r="S418">
        <f>HYPERLINK("https://klasma.github.io/Logging_2560/artfynd/A 38727-2025 artfynd.xlsx", "A 38727-2025")</f>
        <v/>
      </c>
      <c r="T418">
        <f>HYPERLINK("https://klasma.github.io/Logging_2560/kartor/A 38727-2025 karta.png", "A 38727-2025")</f>
        <v/>
      </c>
      <c r="U418">
        <f>HYPERLINK("https://klasma.github.io/Logging_2560/knärot/A 38727-2025 karta knärot.png", "A 38727-2025")</f>
        <v/>
      </c>
      <c r="V418">
        <f>HYPERLINK("https://klasma.github.io/Logging_2560/klagomål/A 38727-2025 FSC-klagomål.docx", "A 38727-2025")</f>
        <v/>
      </c>
      <c r="W418">
        <f>HYPERLINK("https://klasma.github.io/Logging_2560/klagomålsmail/A 38727-2025 FSC-klagomål mail.docx", "A 38727-2025")</f>
        <v/>
      </c>
      <c r="X418">
        <f>HYPERLINK("https://klasma.github.io/Logging_2560/tillsyn/A 38727-2025 tillsynsbegäran.docx", "A 38727-2025")</f>
        <v/>
      </c>
      <c r="Y418">
        <f>HYPERLINK("https://klasma.github.io/Logging_2560/tillsynsmail/A 38727-2025 tillsynsbegäran mail.docx", "A 38727-2025")</f>
        <v/>
      </c>
    </row>
    <row r="419" ht="15" customHeight="1">
      <c r="A419" t="inlineStr">
        <is>
          <t>A 42233-2022</t>
        </is>
      </c>
      <c r="B419" s="1" t="n">
        <v>44830</v>
      </c>
      <c r="C419" s="1" t="n">
        <v>45895</v>
      </c>
      <c r="D419" t="inlineStr">
        <is>
          <t>NORRBOTTENS LÄN</t>
        </is>
      </c>
      <c r="E419" t="inlineStr">
        <is>
          <t>BODEN</t>
        </is>
      </c>
      <c r="G419" t="n">
        <v>3.6</v>
      </c>
      <c r="H419" t="n">
        <v>2</v>
      </c>
      <c r="I419" t="n">
        <v>0</v>
      </c>
      <c r="J419" t="n">
        <v>1</v>
      </c>
      <c r="K419" t="n">
        <v>0</v>
      </c>
      <c r="L419" t="n">
        <v>0</v>
      </c>
      <c r="M419" t="n">
        <v>0</v>
      </c>
      <c r="N419" t="n">
        <v>0</v>
      </c>
      <c r="O419" t="n">
        <v>1</v>
      </c>
      <c r="P419" t="n">
        <v>0</v>
      </c>
      <c r="Q419" t="n">
        <v>2</v>
      </c>
      <c r="R419" s="2" t="inlineStr">
        <is>
          <t>Svartvit flugsnappare
Enkelbeckasin</t>
        </is>
      </c>
      <c r="S419">
        <f>HYPERLINK("https://klasma.github.io/Logging_2582/artfynd/A 42233-2022 artfynd.xlsx", "A 42233-2022")</f>
        <v/>
      </c>
      <c r="T419">
        <f>HYPERLINK("https://klasma.github.io/Logging_2582/kartor/A 42233-2022 karta.png", "A 42233-2022")</f>
        <v/>
      </c>
      <c r="V419">
        <f>HYPERLINK("https://klasma.github.io/Logging_2582/klagomål/A 42233-2022 FSC-klagomål.docx", "A 42233-2022")</f>
        <v/>
      </c>
      <c r="W419">
        <f>HYPERLINK("https://klasma.github.io/Logging_2582/klagomålsmail/A 42233-2022 FSC-klagomål mail.docx", "A 42233-2022")</f>
        <v/>
      </c>
      <c r="X419">
        <f>HYPERLINK("https://klasma.github.io/Logging_2582/tillsyn/A 42233-2022 tillsynsbegäran.docx", "A 42233-2022")</f>
        <v/>
      </c>
      <c r="Y419">
        <f>HYPERLINK("https://klasma.github.io/Logging_2582/tillsynsmail/A 42233-2022 tillsynsbegäran mail.docx", "A 42233-2022")</f>
        <v/>
      </c>
      <c r="Z419">
        <f>HYPERLINK("https://klasma.github.io/Logging_2582/fåglar/A 42233-2022 prioriterade fågelarter.docx", "A 42233-2022")</f>
        <v/>
      </c>
    </row>
    <row r="420" ht="15" customHeight="1">
      <c r="A420" t="inlineStr">
        <is>
          <t>A 14184-2025</t>
        </is>
      </c>
      <c r="B420" s="1" t="n">
        <v>45740.54351851852</v>
      </c>
      <c r="C420" s="1" t="n">
        <v>45895</v>
      </c>
      <c r="D420" t="inlineStr">
        <is>
          <t>NORRBOTTENS LÄN</t>
        </is>
      </c>
      <c r="E420" t="inlineStr">
        <is>
          <t>LULEÅ</t>
        </is>
      </c>
      <c r="G420" t="n">
        <v>9.1</v>
      </c>
      <c r="H420" t="n">
        <v>0</v>
      </c>
      <c r="I420" t="n">
        <v>1</v>
      </c>
      <c r="J420" t="n">
        <v>1</v>
      </c>
      <c r="K420" t="n">
        <v>0</v>
      </c>
      <c r="L420" t="n">
        <v>0</v>
      </c>
      <c r="M420" t="n">
        <v>0</v>
      </c>
      <c r="N420" t="n">
        <v>0</v>
      </c>
      <c r="O420" t="n">
        <v>1</v>
      </c>
      <c r="P420" t="n">
        <v>0</v>
      </c>
      <c r="Q420" t="n">
        <v>2</v>
      </c>
      <c r="R420" s="2" t="inlineStr">
        <is>
          <t>Granticka
Stuplav</t>
        </is>
      </c>
      <c r="S420">
        <f>HYPERLINK("https://klasma.github.io/Logging_2580/artfynd/A 14184-2025 artfynd.xlsx", "A 14184-2025")</f>
        <v/>
      </c>
      <c r="T420">
        <f>HYPERLINK("https://klasma.github.io/Logging_2580/kartor/A 14184-2025 karta.png", "A 14184-2025")</f>
        <v/>
      </c>
      <c r="V420">
        <f>HYPERLINK("https://klasma.github.io/Logging_2580/klagomål/A 14184-2025 FSC-klagomål.docx", "A 14184-2025")</f>
        <v/>
      </c>
      <c r="W420">
        <f>HYPERLINK("https://klasma.github.io/Logging_2580/klagomålsmail/A 14184-2025 FSC-klagomål mail.docx", "A 14184-2025")</f>
        <v/>
      </c>
      <c r="X420">
        <f>HYPERLINK("https://klasma.github.io/Logging_2580/tillsyn/A 14184-2025 tillsynsbegäran.docx", "A 14184-2025")</f>
        <v/>
      </c>
      <c r="Y420">
        <f>HYPERLINK("https://klasma.github.io/Logging_2580/tillsynsmail/A 14184-2025 tillsynsbegäran mail.docx", "A 14184-2025")</f>
        <v/>
      </c>
    </row>
    <row r="421" ht="15" customHeight="1">
      <c r="A421" t="inlineStr">
        <is>
          <t>A 32818-2024</t>
        </is>
      </c>
      <c r="B421" s="1" t="n">
        <v>45516</v>
      </c>
      <c r="C421" s="1" t="n">
        <v>45895</v>
      </c>
      <c r="D421" t="inlineStr">
        <is>
          <t>NORRBOTTENS LÄN</t>
        </is>
      </c>
      <c r="E421" t="inlineStr">
        <is>
          <t>ÄLVSBYN</t>
        </is>
      </c>
      <c r="F421" t="inlineStr">
        <is>
          <t>Sveaskog</t>
        </is>
      </c>
      <c r="G421" t="n">
        <v>7.6</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32818-2024 artfynd.xlsx", "A 32818-2024")</f>
        <v/>
      </c>
      <c r="T421">
        <f>HYPERLINK("https://klasma.github.io/Logging_2560/kartor/A 32818-2024 karta.png", "A 32818-2024")</f>
        <v/>
      </c>
      <c r="V421">
        <f>HYPERLINK("https://klasma.github.io/Logging_2560/klagomål/A 32818-2024 FSC-klagomål.docx", "A 32818-2024")</f>
        <v/>
      </c>
      <c r="W421">
        <f>HYPERLINK("https://klasma.github.io/Logging_2560/klagomålsmail/A 32818-2024 FSC-klagomål mail.docx", "A 32818-2024")</f>
        <v/>
      </c>
      <c r="X421">
        <f>HYPERLINK("https://klasma.github.io/Logging_2560/tillsyn/A 32818-2024 tillsynsbegäran.docx", "A 32818-2024")</f>
        <v/>
      </c>
      <c r="Y421">
        <f>HYPERLINK("https://klasma.github.io/Logging_2560/tillsynsmail/A 32818-2024 tillsynsbegäran mail.docx", "A 32818-2024")</f>
        <v/>
      </c>
    </row>
    <row r="422" ht="15" customHeight="1">
      <c r="A422" t="inlineStr">
        <is>
          <t>A 19871-2024</t>
        </is>
      </c>
      <c r="B422" s="1" t="n">
        <v>45433</v>
      </c>
      <c r="C422" s="1" t="n">
        <v>45895</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15827-2025</t>
        </is>
      </c>
      <c r="B423" s="1" t="n">
        <v>45748</v>
      </c>
      <c r="C423" s="1" t="n">
        <v>45895</v>
      </c>
      <c r="D423" t="inlineStr">
        <is>
          <t>NORRBOTTENS LÄN</t>
        </is>
      </c>
      <c r="E423" t="inlineStr">
        <is>
          <t>JOKKMOKK</t>
        </is>
      </c>
      <c r="G423" t="n">
        <v>23</v>
      </c>
      <c r="H423" t="n">
        <v>0</v>
      </c>
      <c r="I423" t="n">
        <v>0</v>
      </c>
      <c r="J423" t="n">
        <v>2</v>
      </c>
      <c r="K423" t="n">
        <v>0</v>
      </c>
      <c r="L423" t="n">
        <v>0</v>
      </c>
      <c r="M423" t="n">
        <v>0</v>
      </c>
      <c r="N423" t="n">
        <v>0</v>
      </c>
      <c r="O423" t="n">
        <v>2</v>
      </c>
      <c r="P423" t="n">
        <v>0</v>
      </c>
      <c r="Q423" t="n">
        <v>2</v>
      </c>
      <c r="R423" s="2" t="inlineStr">
        <is>
          <t>Dvärgbägarlav
Vaddporing</t>
        </is>
      </c>
      <c r="S423">
        <f>HYPERLINK("https://klasma.github.io/Logging_2510/artfynd/A 15827-2025 artfynd.xlsx", "A 15827-2025")</f>
        <v/>
      </c>
      <c r="T423">
        <f>HYPERLINK("https://klasma.github.io/Logging_2510/kartor/A 15827-2025 karta.png", "A 15827-2025")</f>
        <v/>
      </c>
      <c r="V423">
        <f>HYPERLINK("https://klasma.github.io/Logging_2510/klagomål/A 15827-2025 FSC-klagomål.docx", "A 15827-2025")</f>
        <v/>
      </c>
      <c r="W423">
        <f>HYPERLINK("https://klasma.github.io/Logging_2510/klagomålsmail/A 15827-2025 FSC-klagomål mail.docx", "A 15827-2025")</f>
        <v/>
      </c>
      <c r="X423">
        <f>HYPERLINK("https://klasma.github.io/Logging_2510/tillsyn/A 15827-2025 tillsynsbegäran.docx", "A 15827-2025")</f>
        <v/>
      </c>
      <c r="Y423">
        <f>HYPERLINK("https://klasma.github.io/Logging_2510/tillsynsmail/A 15827-2025 tillsynsbegäran mail.docx", "A 15827-2025")</f>
        <v/>
      </c>
    </row>
    <row r="424" ht="15" customHeight="1">
      <c r="A424" t="inlineStr">
        <is>
          <t>A 31829-2023</t>
        </is>
      </c>
      <c r="B424" s="1" t="n">
        <v>45106</v>
      </c>
      <c r="C424" s="1" t="n">
        <v>45895</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45779-2024</t>
        </is>
      </c>
      <c r="B425" s="1" t="n">
        <v>45579</v>
      </c>
      <c r="C425" s="1" t="n">
        <v>45895</v>
      </c>
      <c r="D425" t="inlineStr">
        <is>
          <t>NORRBOTTENS LÄN</t>
        </is>
      </c>
      <c r="E425" t="inlineStr">
        <is>
          <t>ARJEPLOG</t>
        </is>
      </c>
      <c r="F425" t="inlineStr">
        <is>
          <t>Sveaskog</t>
        </is>
      </c>
      <c r="G425" t="n">
        <v>6.8</v>
      </c>
      <c r="H425" t="n">
        <v>0</v>
      </c>
      <c r="I425" t="n">
        <v>0</v>
      </c>
      <c r="J425" t="n">
        <v>2</v>
      </c>
      <c r="K425" t="n">
        <v>0</v>
      </c>
      <c r="L425" t="n">
        <v>0</v>
      </c>
      <c r="M425" t="n">
        <v>0</v>
      </c>
      <c r="N425" t="n">
        <v>0</v>
      </c>
      <c r="O425" t="n">
        <v>2</v>
      </c>
      <c r="P425" t="n">
        <v>0</v>
      </c>
      <c r="Q425" t="n">
        <v>2</v>
      </c>
      <c r="R425" s="2" t="inlineStr">
        <is>
          <t>Granticka
Ullticka</t>
        </is>
      </c>
      <c r="S425">
        <f>HYPERLINK("https://klasma.github.io/Logging_2506/artfynd/A 45779-2024 artfynd.xlsx", "A 45779-2024")</f>
        <v/>
      </c>
      <c r="T425">
        <f>HYPERLINK("https://klasma.github.io/Logging_2506/kartor/A 45779-2024 karta.png", "A 45779-2024")</f>
        <v/>
      </c>
      <c r="V425">
        <f>HYPERLINK("https://klasma.github.io/Logging_2506/klagomål/A 45779-2024 FSC-klagomål.docx", "A 45779-2024")</f>
        <v/>
      </c>
      <c r="W425">
        <f>HYPERLINK("https://klasma.github.io/Logging_2506/klagomålsmail/A 45779-2024 FSC-klagomål mail.docx", "A 45779-2024")</f>
        <v/>
      </c>
      <c r="X425">
        <f>HYPERLINK("https://klasma.github.io/Logging_2506/tillsyn/A 45779-2024 tillsynsbegäran.docx", "A 45779-2024")</f>
        <v/>
      </c>
      <c r="Y425">
        <f>HYPERLINK("https://klasma.github.io/Logging_2506/tillsynsmail/A 45779-2024 tillsynsbegäran mail.docx", "A 45779-2024")</f>
        <v/>
      </c>
    </row>
    <row r="426" ht="15" customHeight="1">
      <c r="A426" t="inlineStr">
        <is>
          <t>A 22906-2023</t>
        </is>
      </c>
      <c r="B426" s="1" t="n">
        <v>45072</v>
      </c>
      <c r="C426" s="1" t="n">
        <v>45895</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16255-2024</t>
        </is>
      </c>
      <c r="B427" s="1" t="n">
        <v>45407</v>
      </c>
      <c r="C427" s="1" t="n">
        <v>45895</v>
      </c>
      <c r="D427" t="inlineStr">
        <is>
          <t>NORRBOTTENS LÄN</t>
        </is>
      </c>
      <c r="E427" t="inlineStr">
        <is>
          <t>ÄLVSBYN</t>
        </is>
      </c>
      <c r="F427" t="inlineStr">
        <is>
          <t>SCA</t>
        </is>
      </c>
      <c r="G427" t="n">
        <v>18.5</v>
      </c>
      <c r="H427" t="n">
        <v>1</v>
      </c>
      <c r="I427" t="n">
        <v>1</v>
      </c>
      <c r="J427" t="n">
        <v>1</v>
      </c>
      <c r="K427" t="n">
        <v>0</v>
      </c>
      <c r="L427" t="n">
        <v>0</v>
      </c>
      <c r="M427" t="n">
        <v>0</v>
      </c>
      <c r="N427" t="n">
        <v>0</v>
      </c>
      <c r="O427" t="n">
        <v>1</v>
      </c>
      <c r="P427" t="n">
        <v>0</v>
      </c>
      <c r="Q427" t="n">
        <v>2</v>
      </c>
      <c r="R427" s="2" t="inlineStr">
        <is>
          <t>Gammelgransskål
Lappranunkel</t>
        </is>
      </c>
      <c r="S427">
        <f>HYPERLINK("https://klasma.github.io/Logging_2560/artfynd/A 16255-2024 artfynd.xlsx", "A 16255-2024")</f>
        <v/>
      </c>
      <c r="T427">
        <f>HYPERLINK("https://klasma.github.io/Logging_2560/kartor/A 16255-2024 karta.png", "A 16255-2024")</f>
        <v/>
      </c>
      <c r="V427">
        <f>HYPERLINK("https://klasma.github.io/Logging_2560/klagomål/A 16255-2024 FSC-klagomål.docx", "A 16255-2024")</f>
        <v/>
      </c>
      <c r="W427">
        <f>HYPERLINK("https://klasma.github.io/Logging_2560/klagomålsmail/A 16255-2024 FSC-klagomål mail.docx", "A 16255-2024")</f>
        <v/>
      </c>
      <c r="X427">
        <f>HYPERLINK("https://klasma.github.io/Logging_2560/tillsyn/A 16255-2024 tillsynsbegäran.docx", "A 16255-2024")</f>
        <v/>
      </c>
      <c r="Y427">
        <f>HYPERLINK("https://klasma.github.io/Logging_2560/tillsynsmail/A 16255-2024 tillsynsbegäran mail.docx", "A 16255-2024")</f>
        <v/>
      </c>
    </row>
    <row r="428" ht="15" customHeight="1">
      <c r="A428" t="inlineStr">
        <is>
          <t>A 62537-2023</t>
        </is>
      </c>
      <c r="B428" s="1" t="n">
        <v>45268.71260416666</v>
      </c>
      <c r="C428" s="1" t="n">
        <v>45895</v>
      </c>
      <c r="D428" t="inlineStr">
        <is>
          <t>NORRBOTTENS LÄN</t>
        </is>
      </c>
      <c r="E428" t="inlineStr">
        <is>
          <t>KALIX</t>
        </is>
      </c>
      <c r="G428" t="n">
        <v>6.9</v>
      </c>
      <c r="H428" t="n">
        <v>1</v>
      </c>
      <c r="I428" t="n">
        <v>1</v>
      </c>
      <c r="J428" t="n">
        <v>0</v>
      </c>
      <c r="K428" t="n">
        <v>0</v>
      </c>
      <c r="L428" t="n">
        <v>0</v>
      </c>
      <c r="M428" t="n">
        <v>0</v>
      </c>
      <c r="N428" t="n">
        <v>0</v>
      </c>
      <c r="O428" t="n">
        <v>0</v>
      </c>
      <c r="P428" t="n">
        <v>0</v>
      </c>
      <c r="Q428" t="n">
        <v>2</v>
      </c>
      <c r="R428" s="2" t="inlineStr">
        <is>
          <t>Tibast
Äkta lopplummer</t>
        </is>
      </c>
      <c r="S428">
        <f>HYPERLINK("https://klasma.github.io/Logging_2514/artfynd/A 62537-2023 artfynd.xlsx", "A 62537-2023")</f>
        <v/>
      </c>
      <c r="T428">
        <f>HYPERLINK("https://klasma.github.io/Logging_2514/kartor/A 62537-2023 karta.png", "A 62537-2023")</f>
        <v/>
      </c>
      <c r="V428">
        <f>HYPERLINK("https://klasma.github.io/Logging_2514/klagomål/A 62537-2023 FSC-klagomål.docx", "A 62537-2023")</f>
        <v/>
      </c>
      <c r="W428">
        <f>HYPERLINK("https://klasma.github.io/Logging_2514/klagomålsmail/A 62537-2023 FSC-klagomål mail.docx", "A 62537-2023")</f>
        <v/>
      </c>
      <c r="X428">
        <f>HYPERLINK("https://klasma.github.io/Logging_2514/tillsyn/A 62537-2023 tillsynsbegäran.docx", "A 62537-2023")</f>
        <v/>
      </c>
      <c r="Y428">
        <f>HYPERLINK("https://klasma.github.io/Logging_2514/tillsynsmail/A 62537-2023 tillsynsbegäran mail.docx", "A 62537-2023")</f>
        <v/>
      </c>
    </row>
    <row r="429" ht="15" customHeight="1">
      <c r="A429" t="inlineStr">
        <is>
          <t>A 15155-2025</t>
        </is>
      </c>
      <c r="B429" s="1" t="n">
        <v>45744</v>
      </c>
      <c r="C429" s="1" t="n">
        <v>45895</v>
      </c>
      <c r="D429" t="inlineStr">
        <is>
          <t>NORRBOTTENS LÄN</t>
        </is>
      </c>
      <c r="E429" t="inlineStr">
        <is>
          <t>GÄLLIVARE</t>
        </is>
      </c>
      <c r="F429" t="inlineStr">
        <is>
          <t>Sveaskog</t>
        </is>
      </c>
      <c r="G429" t="n">
        <v>1.9</v>
      </c>
      <c r="H429" t="n">
        <v>1</v>
      </c>
      <c r="I429" t="n">
        <v>0</v>
      </c>
      <c r="J429" t="n">
        <v>2</v>
      </c>
      <c r="K429" t="n">
        <v>0</v>
      </c>
      <c r="L429" t="n">
        <v>0</v>
      </c>
      <c r="M429" t="n">
        <v>0</v>
      </c>
      <c r="N429" t="n">
        <v>0</v>
      </c>
      <c r="O429" t="n">
        <v>2</v>
      </c>
      <c r="P429" t="n">
        <v>0</v>
      </c>
      <c r="Q429" t="n">
        <v>2</v>
      </c>
      <c r="R429" s="2" t="inlineStr">
        <is>
          <t>Mospindling
Talltita</t>
        </is>
      </c>
      <c r="S429">
        <f>HYPERLINK("https://klasma.github.io/Logging_2523/artfynd/A 15155-2025 artfynd.xlsx", "A 15155-2025")</f>
        <v/>
      </c>
      <c r="T429">
        <f>HYPERLINK("https://klasma.github.io/Logging_2523/kartor/A 15155-2025 karta.png", "A 15155-2025")</f>
        <v/>
      </c>
      <c r="V429">
        <f>HYPERLINK("https://klasma.github.io/Logging_2523/klagomål/A 15155-2025 FSC-klagomål.docx", "A 15155-2025")</f>
        <v/>
      </c>
      <c r="W429">
        <f>HYPERLINK("https://klasma.github.io/Logging_2523/klagomålsmail/A 15155-2025 FSC-klagomål mail.docx", "A 15155-2025")</f>
        <v/>
      </c>
      <c r="X429">
        <f>HYPERLINK("https://klasma.github.io/Logging_2523/tillsyn/A 15155-2025 tillsynsbegäran.docx", "A 15155-2025")</f>
        <v/>
      </c>
      <c r="Y429">
        <f>HYPERLINK("https://klasma.github.io/Logging_2523/tillsynsmail/A 15155-2025 tillsynsbegäran mail.docx", "A 15155-2025")</f>
        <v/>
      </c>
      <c r="Z429">
        <f>HYPERLINK("https://klasma.github.io/Logging_2523/fåglar/A 15155-2025 prioriterade fågelarter.docx", "A 15155-2025")</f>
        <v/>
      </c>
    </row>
    <row r="430" ht="15" customHeight="1">
      <c r="A430" t="inlineStr">
        <is>
          <t>A 40698-2024</t>
        </is>
      </c>
      <c r="B430" s="1" t="n">
        <v>45558.41456018519</v>
      </c>
      <c r="C430" s="1" t="n">
        <v>45895</v>
      </c>
      <c r="D430" t="inlineStr">
        <is>
          <t>NORRBOTTENS LÄN</t>
        </is>
      </c>
      <c r="E430" t="inlineStr">
        <is>
          <t>PAJALA</t>
        </is>
      </c>
      <c r="F430" t="inlineStr">
        <is>
          <t>Sveaskog</t>
        </is>
      </c>
      <c r="G430" t="n">
        <v>7.5</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HYPERLINK("https://klasma.github.io/Logging_2521/artfynd/A 40698-2024 artfynd.xlsx", "A 40698-2024")</f>
        <v/>
      </c>
      <c r="T430">
        <f>HYPERLINK("https://klasma.github.io/Logging_2521/kartor/A 40698-2024 karta.png", "A 40698-2024")</f>
        <v/>
      </c>
      <c r="V430">
        <f>HYPERLINK("https://klasma.github.io/Logging_2521/klagomål/A 40698-2024 FSC-klagomål.docx", "A 40698-2024")</f>
        <v/>
      </c>
      <c r="W430">
        <f>HYPERLINK("https://klasma.github.io/Logging_2521/klagomålsmail/A 40698-2024 FSC-klagomål mail.docx", "A 40698-2024")</f>
        <v/>
      </c>
      <c r="X430">
        <f>HYPERLINK("https://klasma.github.io/Logging_2521/tillsyn/A 40698-2024 tillsynsbegäran.docx", "A 40698-2024")</f>
        <v/>
      </c>
      <c r="Y430">
        <f>HYPERLINK("https://klasma.github.io/Logging_2521/tillsynsmail/A 40698-2024 tillsynsbegäran mail.docx", "A 40698-2024")</f>
        <v/>
      </c>
    </row>
    <row r="431" ht="15" customHeight="1">
      <c r="A431" t="inlineStr">
        <is>
          <t>A 50085-2021</t>
        </is>
      </c>
      <c r="B431" s="1" t="n">
        <v>44456</v>
      </c>
      <c r="C431" s="1" t="n">
        <v>45895</v>
      </c>
      <c r="D431" t="inlineStr">
        <is>
          <t>NORRBOTTENS LÄN</t>
        </is>
      </c>
      <c r="E431" t="inlineStr">
        <is>
          <t>LULEÅ</t>
        </is>
      </c>
      <c r="F431" t="inlineStr">
        <is>
          <t>Sveaskog</t>
        </is>
      </c>
      <c r="G431" t="n">
        <v>5.1</v>
      </c>
      <c r="H431" t="n">
        <v>0</v>
      </c>
      <c r="I431" t="n">
        <v>0</v>
      </c>
      <c r="J431" t="n">
        <v>1</v>
      </c>
      <c r="K431" t="n">
        <v>0</v>
      </c>
      <c r="L431" t="n">
        <v>0</v>
      </c>
      <c r="M431" t="n">
        <v>0</v>
      </c>
      <c r="N431" t="n">
        <v>0</v>
      </c>
      <c r="O431" t="n">
        <v>1</v>
      </c>
      <c r="P431" t="n">
        <v>0</v>
      </c>
      <c r="Q431" t="n">
        <v>1</v>
      </c>
      <c r="R431" s="2" t="inlineStr">
        <is>
          <t>Granticka</t>
        </is>
      </c>
      <c r="S431">
        <f>HYPERLINK("https://klasma.github.io/Logging_2580/artfynd/A 50085-2021 artfynd.xlsx", "A 50085-2021")</f>
        <v/>
      </c>
      <c r="T431">
        <f>HYPERLINK("https://klasma.github.io/Logging_2580/kartor/A 50085-2021 karta.png", "A 50085-2021")</f>
        <v/>
      </c>
      <c r="V431">
        <f>HYPERLINK("https://klasma.github.io/Logging_2580/klagomål/A 50085-2021 FSC-klagomål.docx", "A 50085-2021")</f>
        <v/>
      </c>
      <c r="W431">
        <f>HYPERLINK("https://klasma.github.io/Logging_2580/klagomålsmail/A 50085-2021 FSC-klagomål mail.docx", "A 50085-2021")</f>
        <v/>
      </c>
      <c r="X431">
        <f>HYPERLINK("https://klasma.github.io/Logging_2580/tillsyn/A 50085-2021 tillsynsbegäran.docx", "A 50085-2021")</f>
        <v/>
      </c>
      <c r="Y431">
        <f>HYPERLINK("https://klasma.github.io/Logging_2580/tillsynsmail/A 50085-2021 tillsynsbegäran mail.docx", "A 50085-2021")</f>
        <v/>
      </c>
    </row>
    <row r="432" ht="15" customHeight="1">
      <c r="A432" t="inlineStr">
        <is>
          <t>A 43092-2021</t>
        </is>
      </c>
      <c r="B432" s="1" t="n">
        <v>44431</v>
      </c>
      <c r="C432" s="1" t="n">
        <v>45895</v>
      </c>
      <c r="D432" t="inlineStr">
        <is>
          <t>NORRBOTTENS LÄN</t>
        </is>
      </c>
      <c r="E432" t="inlineStr">
        <is>
          <t>GÄLLIVARE</t>
        </is>
      </c>
      <c r="G432" t="n">
        <v>0.9</v>
      </c>
      <c r="H432" t="n">
        <v>1</v>
      </c>
      <c r="I432" t="n">
        <v>0</v>
      </c>
      <c r="J432" t="n">
        <v>1</v>
      </c>
      <c r="K432" t="n">
        <v>0</v>
      </c>
      <c r="L432" t="n">
        <v>0</v>
      </c>
      <c r="M432" t="n">
        <v>0</v>
      </c>
      <c r="N432" t="n">
        <v>0</v>
      </c>
      <c r="O432" t="n">
        <v>1</v>
      </c>
      <c r="P432" t="n">
        <v>0</v>
      </c>
      <c r="Q432" t="n">
        <v>1</v>
      </c>
      <c r="R432" s="2" t="inlineStr">
        <is>
          <t>Utter</t>
        </is>
      </c>
      <c r="S432">
        <f>HYPERLINK("https://klasma.github.io/Logging_2523/artfynd/A 43092-2021 artfynd.xlsx", "A 43092-2021")</f>
        <v/>
      </c>
      <c r="T432">
        <f>HYPERLINK("https://klasma.github.io/Logging_2523/kartor/A 43092-2021 karta.png", "A 43092-2021")</f>
        <v/>
      </c>
      <c r="V432">
        <f>HYPERLINK("https://klasma.github.io/Logging_2523/klagomål/A 43092-2021 FSC-klagomål.docx", "A 43092-2021")</f>
        <v/>
      </c>
      <c r="W432">
        <f>HYPERLINK("https://klasma.github.io/Logging_2523/klagomålsmail/A 43092-2021 FSC-klagomål mail.docx", "A 43092-2021")</f>
        <v/>
      </c>
      <c r="X432">
        <f>HYPERLINK("https://klasma.github.io/Logging_2523/tillsyn/A 43092-2021 tillsynsbegäran.docx", "A 43092-2021")</f>
        <v/>
      </c>
      <c r="Y432">
        <f>HYPERLINK("https://klasma.github.io/Logging_2523/tillsynsmail/A 43092-2021 tillsynsbegäran mail.docx", "A 43092-2021")</f>
        <v/>
      </c>
    </row>
    <row r="433" ht="15" customHeight="1">
      <c r="A433" t="inlineStr">
        <is>
          <t>A 13467-2022</t>
        </is>
      </c>
      <c r="B433" s="1" t="n">
        <v>44645</v>
      </c>
      <c r="C433" s="1" t="n">
        <v>45895</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45017-2021</t>
        </is>
      </c>
      <c r="B434" s="1" t="n">
        <v>44438</v>
      </c>
      <c r="C434" s="1" t="n">
        <v>45895</v>
      </c>
      <c r="D434" t="inlineStr">
        <is>
          <t>NORRBOTTENS LÄN</t>
        </is>
      </c>
      <c r="E434" t="inlineStr">
        <is>
          <t>GÄLLIVARE</t>
        </is>
      </c>
      <c r="F434" t="inlineStr">
        <is>
          <t>SCA</t>
        </is>
      </c>
      <c r="G434" t="n">
        <v>4.8</v>
      </c>
      <c r="H434" t="n">
        <v>0</v>
      </c>
      <c r="I434" t="n">
        <v>0</v>
      </c>
      <c r="J434" t="n">
        <v>1</v>
      </c>
      <c r="K434" t="n">
        <v>0</v>
      </c>
      <c r="L434" t="n">
        <v>0</v>
      </c>
      <c r="M434" t="n">
        <v>0</v>
      </c>
      <c r="N434" t="n">
        <v>0</v>
      </c>
      <c r="O434" t="n">
        <v>1</v>
      </c>
      <c r="P434" t="n">
        <v>0</v>
      </c>
      <c r="Q434" t="n">
        <v>1</v>
      </c>
      <c r="R434" s="2" t="inlineStr">
        <is>
          <t>Garnlav</t>
        </is>
      </c>
      <c r="S434">
        <f>HYPERLINK("https://klasma.github.io/Logging_2523/artfynd/A 45017-2021 artfynd.xlsx", "A 45017-2021")</f>
        <v/>
      </c>
      <c r="T434">
        <f>HYPERLINK("https://klasma.github.io/Logging_2523/kartor/A 45017-2021 karta.png", "A 45017-2021")</f>
        <v/>
      </c>
      <c r="V434">
        <f>HYPERLINK("https://klasma.github.io/Logging_2523/klagomål/A 45017-2021 FSC-klagomål.docx", "A 45017-2021")</f>
        <v/>
      </c>
      <c r="W434">
        <f>HYPERLINK("https://klasma.github.io/Logging_2523/klagomålsmail/A 45017-2021 FSC-klagomål mail.docx", "A 45017-2021")</f>
        <v/>
      </c>
      <c r="X434">
        <f>HYPERLINK("https://klasma.github.io/Logging_2523/tillsyn/A 45017-2021 tillsynsbegäran.docx", "A 45017-2021")</f>
        <v/>
      </c>
      <c r="Y434">
        <f>HYPERLINK("https://klasma.github.io/Logging_2523/tillsynsmail/A 45017-2021 tillsynsbegäran mail.docx", "A 45017-2021")</f>
        <v/>
      </c>
    </row>
    <row r="435" ht="15" customHeight="1">
      <c r="A435" t="inlineStr">
        <is>
          <t>A 34184-2022</t>
        </is>
      </c>
      <c r="B435" s="1" t="n">
        <v>44791.61581018518</v>
      </c>
      <c r="C435" s="1" t="n">
        <v>45895</v>
      </c>
      <c r="D435" t="inlineStr">
        <is>
          <t>NORRBOTTENS LÄN</t>
        </is>
      </c>
      <c r="E435" t="inlineStr">
        <is>
          <t>KALIX</t>
        </is>
      </c>
      <c r="F435" t="inlineStr">
        <is>
          <t>Sveaskog</t>
        </is>
      </c>
      <c r="G435" t="n">
        <v>15.2</v>
      </c>
      <c r="H435" t="n">
        <v>0</v>
      </c>
      <c r="I435" t="n">
        <v>0</v>
      </c>
      <c r="J435" t="n">
        <v>1</v>
      </c>
      <c r="K435" t="n">
        <v>0</v>
      </c>
      <c r="L435" t="n">
        <v>0</v>
      </c>
      <c r="M435" t="n">
        <v>0</v>
      </c>
      <c r="N435" t="n">
        <v>0</v>
      </c>
      <c r="O435" t="n">
        <v>1</v>
      </c>
      <c r="P435" t="n">
        <v>0</v>
      </c>
      <c r="Q435" t="n">
        <v>1</v>
      </c>
      <c r="R435" s="2" t="inlineStr">
        <is>
          <t>Garnlav</t>
        </is>
      </c>
      <c r="S435">
        <f>HYPERLINK("https://klasma.github.io/Logging_2514/artfynd/A 34184-2022 artfynd.xlsx", "A 34184-2022")</f>
        <v/>
      </c>
      <c r="T435">
        <f>HYPERLINK("https://klasma.github.io/Logging_2514/kartor/A 34184-2022 karta.png", "A 34184-2022")</f>
        <v/>
      </c>
      <c r="V435">
        <f>HYPERLINK("https://klasma.github.io/Logging_2514/klagomål/A 34184-2022 FSC-klagomål.docx", "A 34184-2022")</f>
        <v/>
      </c>
      <c r="W435">
        <f>HYPERLINK("https://klasma.github.io/Logging_2514/klagomålsmail/A 34184-2022 FSC-klagomål mail.docx", "A 34184-2022")</f>
        <v/>
      </c>
      <c r="X435">
        <f>HYPERLINK("https://klasma.github.io/Logging_2514/tillsyn/A 34184-2022 tillsynsbegäran.docx", "A 34184-2022")</f>
        <v/>
      </c>
      <c r="Y435">
        <f>HYPERLINK("https://klasma.github.io/Logging_2514/tillsynsmail/A 34184-2022 tillsynsbegäran mail.docx", "A 34184-2022")</f>
        <v/>
      </c>
    </row>
    <row r="436" ht="15" customHeight="1">
      <c r="A436" t="inlineStr">
        <is>
          <t>A 47954-2022</t>
        </is>
      </c>
      <c r="B436" s="1" t="n">
        <v>44855</v>
      </c>
      <c r="C436" s="1" t="n">
        <v>45895</v>
      </c>
      <c r="D436" t="inlineStr">
        <is>
          <t>NORRBOTTENS LÄN</t>
        </is>
      </c>
      <c r="E436" t="inlineStr">
        <is>
          <t>ARVIDSJAUR</t>
        </is>
      </c>
      <c r="F436" t="inlineStr">
        <is>
          <t>Sveaskog</t>
        </is>
      </c>
      <c r="G436" t="n">
        <v>3.3</v>
      </c>
      <c r="H436" t="n">
        <v>1</v>
      </c>
      <c r="I436" t="n">
        <v>0</v>
      </c>
      <c r="J436" t="n">
        <v>1</v>
      </c>
      <c r="K436" t="n">
        <v>0</v>
      </c>
      <c r="L436" t="n">
        <v>0</v>
      </c>
      <c r="M436" t="n">
        <v>0</v>
      </c>
      <c r="N436" t="n">
        <v>0</v>
      </c>
      <c r="O436" t="n">
        <v>1</v>
      </c>
      <c r="P436" t="n">
        <v>0</v>
      </c>
      <c r="Q436" t="n">
        <v>1</v>
      </c>
      <c r="R436" s="2" t="inlineStr">
        <is>
          <t>Spillkråka</t>
        </is>
      </c>
      <c r="S436">
        <f>HYPERLINK("https://klasma.github.io/Logging_2505/artfynd/A 47954-2022 artfynd.xlsx", "A 47954-2022")</f>
        <v/>
      </c>
      <c r="T436">
        <f>HYPERLINK("https://klasma.github.io/Logging_2505/kartor/A 47954-2022 karta.png", "A 47954-2022")</f>
        <v/>
      </c>
      <c r="V436">
        <f>HYPERLINK("https://klasma.github.io/Logging_2505/klagomål/A 47954-2022 FSC-klagomål.docx", "A 47954-2022")</f>
        <v/>
      </c>
      <c r="W436">
        <f>HYPERLINK("https://klasma.github.io/Logging_2505/klagomålsmail/A 47954-2022 FSC-klagomål mail.docx", "A 47954-2022")</f>
        <v/>
      </c>
      <c r="X436">
        <f>HYPERLINK("https://klasma.github.io/Logging_2505/tillsyn/A 47954-2022 tillsynsbegäran.docx", "A 47954-2022")</f>
        <v/>
      </c>
      <c r="Y436">
        <f>HYPERLINK("https://klasma.github.io/Logging_2505/tillsynsmail/A 47954-2022 tillsynsbegäran mail.docx", "A 47954-2022")</f>
        <v/>
      </c>
      <c r="Z436">
        <f>HYPERLINK("https://klasma.github.io/Logging_2505/fåglar/A 47954-2022 prioriterade fågelarter.docx", "A 47954-2022")</f>
        <v/>
      </c>
    </row>
    <row r="437" ht="15" customHeight="1">
      <c r="A437" t="inlineStr">
        <is>
          <t>A 19368-2021</t>
        </is>
      </c>
      <c r="B437" s="1" t="n">
        <v>44309</v>
      </c>
      <c r="C437" s="1" t="n">
        <v>45895</v>
      </c>
      <c r="D437" t="inlineStr">
        <is>
          <t>NORRBOTTENS LÄN</t>
        </is>
      </c>
      <c r="E437" t="inlineStr">
        <is>
          <t>PITEÅ</t>
        </is>
      </c>
      <c r="G437" t="n">
        <v>5.8</v>
      </c>
      <c r="H437" t="n">
        <v>1</v>
      </c>
      <c r="I437" t="n">
        <v>0</v>
      </c>
      <c r="J437" t="n">
        <v>0</v>
      </c>
      <c r="K437" t="n">
        <v>0</v>
      </c>
      <c r="L437" t="n">
        <v>0</v>
      </c>
      <c r="M437" t="n">
        <v>0</v>
      </c>
      <c r="N437" t="n">
        <v>0</v>
      </c>
      <c r="O437" t="n">
        <v>0</v>
      </c>
      <c r="P437" t="n">
        <v>0</v>
      </c>
      <c r="Q437" t="n">
        <v>1</v>
      </c>
      <c r="R437" s="2" t="inlineStr">
        <is>
          <t>Citronfläckad kärrtrollslända</t>
        </is>
      </c>
      <c r="S437">
        <f>HYPERLINK("https://klasma.github.io/Logging_2581/artfynd/A 19368-2021 artfynd.xlsx", "A 19368-2021")</f>
        <v/>
      </c>
      <c r="T437">
        <f>HYPERLINK("https://klasma.github.io/Logging_2581/kartor/A 19368-2021 karta.png", "A 19368-2021")</f>
        <v/>
      </c>
      <c r="V437">
        <f>HYPERLINK("https://klasma.github.io/Logging_2581/klagomål/A 19368-2021 FSC-klagomål.docx", "A 19368-2021")</f>
        <v/>
      </c>
      <c r="W437">
        <f>HYPERLINK("https://klasma.github.io/Logging_2581/klagomålsmail/A 19368-2021 FSC-klagomål mail.docx", "A 19368-2021")</f>
        <v/>
      </c>
      <c r="X437">
        <f>HYPERLINK("https://klasma.github.io/Logging_2581/tillsyn/A 19368-2021 tillsynsbegäran.docx", "A 19368-2021")</f>
        <v/>
      </c>
      <c r="Y437">
        <f>HYPERLINK("https://klasma.github.io/Logging_2581/tillsynsmail/A 19368-2021 tillsynsbegäran mail.docx", "A 19368-2021")</f>
        <v/>
      </c>
    </row>
    <row r="438" ht="15" customHeight="1">
      <c r="A438" t="inlineStr">
        <is>
          <t>A 38620-2022</t>
        </is>
      </c>
      <c r="B438" s="1" t="n">
        <v>44813.61173611111</v>
      </c>
      <c r="C438" s="1" t="n">
        <v>45895</v>
      </c>
      <c r="D438" t="inlineStr">
        <is>
          <t>NORRBOTTENS LÄN</t>
        </is>
      </c>
      <c r="E438" t="inlineStr">
        <is>
          <t>ÄLVSBYN</t>
        </is>
      </c>
      <c r="F438" t="inlineStr">
        <is>
          <t>Sveaskog</t>
        </is>
      </c>
      <c r="G438" t="n">
        <v>3.4</v>
      </c>
      <c r="H438" t="n">
        <v>0</v>
      </c>
      <c r="I438" t="n">
        <v>0</v>
      </c>
      <c r="J438" t="n">
        <v>1</v>
      </c>
      <c r="K438" t="n">
        <v>0</v>
      </c>
      <c r="L438" t="n">
        <v>0</v>
      </c>
      <c r="M438" t="n">
        <v>0</v>
      </c>
      <c r="N438" t="n">
        <v>0</v>
      </c>
      <c r="O438" t="n">
        <v>1</v>
      </c>
      <c r="P438" t="n">
        <v>0</v>
      </c>
      <c r="Q438" t="n">
        <v>1</v>
      </c>
      <c r="R438" s="2" t="inlineStr">
        <is>
          <t>Blå taggsvamp</t>
        </is>
      </c>
      <c r="S438">
        <f>HYPERLINK("https://klasma.github.io/Logging_2560/artfynd/A 38620-2022 artfynd.xlsx", "A 38620-2022")</f>
        <v/>
      </c>
      <c r="T438">
        <f>HYPERLINK("https://klasma.github.io/Logging_2560/kartor/A 38620-2022 karta.png", "A 38620-2022")</f>
        <v/>
      </c>
      <c r="V438">
        <f>HYPERLINK("https://klasma.github.io/Logging_2560/klagomål/A 38620-2022 FSC-klagomål.docx", "A 38620-2022")</f>
        <v/>
      </c>
      <c r="W438">
        <f>HYPERLINK("https://klasma.github.io/Logging_2560/klagomålsmail/A 38620-2022 FSC-klagomål mail.docx", "A 38620-2022")</f>
        <v/>
      </c>
      <c r="X438">
        <f>HYPERLINK("https://klasma.github.io/Logging_2560/tillsyn/A 38620-2022 tillsynsbegäran.docx", "A 38620-2022")</f>
        <v/>
      </c>
      <c r="Y438">
        <f>HYPERLINK("https://klasma.github.io/Logging_2560/tillsynsmail/A 38620-2022 tillsynsbegäran mail.docx", "A 38620-2022")</f>
        <v/>
      </c>
    </row>
    <row r="439" ht="15" customHeight="1">
      <c r="A439" t="inlineStr">
        <is>
          <t>A 43055-2022</t>
        </is>
      </c>
      <c r="B439" s="1" t="n">
        <v>44833</v>
      </c>
      <c r="C439" s="1" t="n">
        <v>45895</v>
      </c>
      <c r="D439" t="inlineStr">
        <is>
          <t>NORRBOTTENS LÄN</t>
        </is>
      </c>
      <c r="E439" t="inlineStr">
        <is>
          <t>ÖVERTORNEÅ</t>
        </is>
      </c>
      <c r="F439" t="inlineStr">
        <is>
          <t>Sveaskog</t>
        </is>
      </c>
      <c r="G439" t="n">
        <v>0.7</v>
      </c>
      <c r="H439" t="n">
        <v>1</v>
      </c>
      <c r="I439" t="n">
        <v>0</v>
      </c>
      <c r="J439" t="n">
        <v>0</v>
      </c>
      <c r="K439" t="n">
        <v>0</v>
      </c>
      <c r="L439" t="n">
        <v>0</v>
      </c>
      <c r="M439" t="n">
        <v>0</v>
      </c>
      <c r="N439" t="n">
        <v>0</v>
      </c>
      <c r="O439" t="n">
        <v>0</v>
      </c>
      <c r="P439" t="n">
        <v>0</v>
      </c>
      <c r="Q439" t="n">
        <v>1</v>
      </c>
      <c r="R439" s="2" t="inlineStr">
        <is>
          <t>Fläcknycklar</t>
        </is>
      </c>
      <c r="S439">
        <f>HYPERLINK("https://klasma.github.io/Logging_2518/artfynd/A 43055-2022 artfynd.xlsx", "A 43055-2022")</f>
        <v/>
      </c>
      <c r="T439">
        <f>HYPERLINK("https://klasma.github.io/Logging_2518/kartor/A 43055-2022 karta.png", "A 43055-2022")</f>
        <v/>
      </c>
      <c r="V439">
        <f>HYPERLINK("https://klasma.github.io/Logging_2518/klagomål/A 43055-2022 FSC-klagomål.docx", "A 43055-2022")</f>
        <v/>
      </c>
      <c r="W439">
        <f>HYPERLINK("https://klasma.github.io/Logging_2518/klagomålsmail/A 43055-2022 FSC-klagomål mail.docx", "A 43055-2022")</f>
        <v/>
      </c>
      <c r="X439">
        <f>HYPERLINK("https://klasma.github.io/Logging_2518/tillsyn/A 43055-2022 tillsynsbegäran.docx", "A 43055-2022")</f>
        <v/>
      </c>
      <c r="Y439">
        <f>HYPERLINK("https://klasma.github.io/Logging_2518/tillsynsmail/A 43055-2022 tillsynsbegäran mail.docx", "A 43055-2022")</f>
        <v/>
      </c>
    </row>
    <row r="440" ht="15" customHeight="1">
      <c r="A440" t="inlineStr">
        <is>
          <t>A 1090-2022</t>
        </is>
      </c>
      <c r="B440" s="1" t="n">
        <v>44571</v>
      </c>
      <c r="C440" s="1" t="n">
        <v>45895</v>
      </c>
      <c r="D440" t="inlineStr">
        <is>
          <t>NORRBOTTENS LÄN</t>
        </is>
      </c>
      <c r="E440" t="inlineStr">
        <is>
          <t>ÖVERTORNEÅ</t>
        </is>
      </c>
      <c r="G440" t="n">
        <v>23.1</v>
      </c>
      <c r="H440" t="n">
        <v>0</v>
      </c>
      <c r="I440" t="n">
        <v>1</v>
      </c>
      <c r="J440" t="n">
        <v>0</v>
      </c>
      <c r="K440" t="n">
        <v>0</v>
      </c>
      <c r="L440" t="n">
        <v>0</v>
      </c>
      <c r="M440" t="n">
        <v>0</v>
      </c>
      <c r="N440" t="n">
        <v>0</v>
      </c>
      <c r="O440" t="n">
        <v>0</v>
      </c>
      <c r="P440" t="n">
        <v>0</v>
      </c>
      <c r="Q440" t="n">
        <v>1</v>
      </c>
      <c r="R440" s="2" t="inlineStr">
        <is>
          <t>Grönpyrola</t>
        </is>
      </c>
      <c r="S440">
        <f>HYPERLINK("https://klasma.github.io/Logging_2518/artfynd/A 1090-2022 artfynd.xlsx", "A 1090-2022")</f>
        <v/>
      </c>
      <c r="T440">
        <f>HYPERLINK("https://klasma.github.io/Logging_2518/kartor/A 1090-2022 karta.png", "A 1090-2022")</f>
        <v/>
      </c>
      <c r="V440">
        <f>HYPERLINK("https://klasma.github.io/Logging_2518/klagomål/A 1090-2022 FSC-klagomål.docx", "A 1090-2022")</f>
        <v/>
      </c>
      <c r="W440">
        <f>HYPERLINK("https://klasma.github.io/Logging_2518/klagomålsmail/A 1090-2022 FSC-klagomål mail.docx", "A 1090-2022")</f>
        <v/>
      </c>
      <c r="X440">
        <f>HYPERLINK("https://klasma.github.io/Logging_2518/tillsyn/A 1090-2022 tillsynsbegäran.docx", "A 1090-2022")</f>
        <v/>
      </c>
      <c r="Y440">
        <f>HYPERLINK("https://klasma.github.io/Logging_2518/tillsynsmail/A 1090-2022 tillsynsbegäran mail.docx", "A 1090-2022")</f>
        <v/>
      </c>
    </row>
    <row r="441" ht="15" customHeight="1">
      <c r="A441" t="inlineStr">
        <is>
          <t>A 15687-2021</t>
        </is>
      </c>
      <c r="B441" s="1" t="n">
        <v>44286</v>
      </c>
      <c r="C441" s="1" t="n">
        <v>45895</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60797-2021</t>
        </is>
      </c>
      <c r="B442" s="1" t="n">
        <v>44495</v>
      </c>
      <c r="C442" s="1" t="n">
        <v>45895</v>
      </c>
      <c r="D442" t="inlineStr">
        <is>
          <t>NORRBOTTENS LÄN</t>
        </is>
      </c>
      <c r="E442" t="inlineStr">
        <is>
          <t>PITEÅ</t>
        </is>
      </c>
      <c r="F442" t="inlineStr">
        <is>
          <t>Sveaskog</t>
        </is>
      </c>
      <c r="G442" t="n">
        <v>4.9</v>
      </c>
      <c r="H442" t="n">
        <v>0</v>
      </c>
      <c r="I442" t="n">
        <v>0</v>
      </c>
      <c r="J442" t="n">
        <v>1</v>
      </c>
      <c r="K442" t="n">
        <v>0</v>
      </c>
      <c r="L442" t="n">
        <v>0</v>
      </c>
      <c r="M442" t="n">
        <v>0</v>
      </c>
      <c r="N442" t="n">
        <v>0</v>
      </c>
      <c r="O442" t="n">
        <v>1</v>
      </c>
      <c r="P442" t="n">
        <v>0</v>
      </c>
      <c r="Q442" t="n">
        <v>1</v>
      </c>
      <c r="R442" s="2" t="inlineStr">
        <is>
          <t>Granticka</t>
        </is>
      </c>
      <c r="S442">
        <f>HYPERLINK("https://klasma.github.io/Logging_2581/artfynd/A 60797-2021 artfynd.xlsx", "A 60797-2021")</f>
        <v/>
      </c>
      <c r="T442">
        <f>HYPERLINK("https://klasma.github.io/Logging_2581/kartor/A 60797-2021 karta.png", "A 60797-2021")</f>
        <v/>
      </c>
      <c r="V442">
        <f>HYPERLINK("https://klasma.github.io/Logging_2581/klagomål/A 60797-2021 FSC-klagomål.docx", "A 60797-2021")</f>
        <v/>
      </c>
      <c r="W442">
        <f>HYPERLINK("https://klasma.github.io/Logging_2581/klagomålsmail/A 60797-2021 FSC-klagomål mail.docx", "A 60797-2021")</f>
        <v/>
      </c>
      <c r="X442">
        <f>HYPERLINK("https://klasma.github.io/Logging_2581/tillsyn/A 60797-2021 tillsynsbegäran.docx", "A 60797-2021")</f>
        <v/>
      </c>
      <c r="Y442">
        <f>HYPERLINK("https://klasma.github.io/Logging_2581/tillsynsmail/A 60797-2021 tillsynsbegäran mail.docx", "A 60797-2021")</f>
        <v/>
      </c>
    </row>
    <row r="443" ht="15" customHeight="1">
      <c r="A443" t="inlineStr">
        <is>
          <t>A 45810-2022</t>
        </is>
      </c>
      <c r="B443" s="1" t="n">
        <v>44844</v>
      </c>
      <c r="C443" s="1" t="n">
        <v>45895</v>
      </c>
      <c r="D443" t="inlineStr">
        <is>
          <t>NORRBOTTENS LÄN</t>
        </is>
      </c>
      <c r="E443" t="inlineStr">
        <is>
          <t>KIRUNA</t>
        </is>
      </c>
      <c r="F443" t="inlineStr">
        <is>
          <t>Övriga statliga verk och myndigheter</t>
        </is>
      </c>
      <c r="G443" t="n">
        <v>6.8</v>
      </c>
      <c r="H443" t="n">
        <v>1</v>
      </c>
      <c r="I443" t="n">
        <v>0</v>
      </c>
      <c r="J443" t="n">
        <v>0</v>
      </c>
      <c r="K443" t="n">
        <v>0</v>
      </c>
      <c r="L443" t="n">
        <v>0</v>
      </c>
      <c r="M443" t="n">
        <v>0</v>
      </c>
      <c r="N443" t="n">
        <v>0</v>
      </c>
      <c r="O443" t="n">
        <v>0</v>
      </c>
      <c r="P443" t="n">
        <v>0</v>
      </c>
      <c r="Q443" t="n">
        <v>1</v>
      </c>
      <c r="R443" s="2" t="inlineStr">
        <is>
          <t>Revlummer</t>
        </is>
      </c>
      <c r="S443">
        <f>HYPERLINK("https://klasma.github.io/Logging_2584/artfynd/A 45810-2022 artfynd.xlsx", "A 45810-2022")</f>
        <v/>
      </c>
      <c r="T443">
        <f>HYPERLINK("https://klasma.github.io/Logging_2584/kartor/A 45810-2022 karta.png", "A 45810-2022")</f>
        <v/>
      </c>
      <c r="V443">
        <f>HYPERLINK("https://klasma.github.io/Logging_2584/klagomål/A 45810-2022 FSC-klagomål.docx", "A 45810-2022")</f>
        <v/>
      </c>
      <c r="W443">
        <f>HYPERLINK("https://klasma.github.io/Logging_2584/klagomålsmail/A 45810-2022 FSC-klagomål mail.docx", "A 45810-2022")</f>
        <v/>
      </c>
      <c r="X443">
        <f>HYPERLINK("https://klasma.github.io/Logging_2584/tillsyn/A 45810-2022 tillsynsbegäran.docx", "A 45810-2022")</f>
        <v/>
      </c>
      <c r="Y443">
        <f>HYPERLINK("https://klasma.github.io/Logging_2584/tillsynsmail/A 45810-2022 tillsynsbegäran mail.docx", "A 45810-2022")</f>
        <v/>
      </c>
    </row>
    <row r="444" ht="15" customHeight="1">
      <c r="A444" t="inlineStr">
        <is>
          <t>A 51168-2020</t>
        </is>
      </c>
      <c r="B444" s="1" t="n">
        <v>44106</v>
      </c>
      <c r="C444" s="1" t="n">
        <v>45895</v>
      </c>
      <c r="D444" t="inlineStr">
        <is>
          <t>NORRBOTTENS LÄN</t>
        </is>
      </c>
      <c r="E444" t="inlineStr">
        <is>
          <t>PITEÅ</t>
        </is>
      </c>
      <c r="G444" t="n">
        <v>1.1</v>
      </c>
      <c r="H444" t="n">
        <v>0</v>
      </c>
      <c r="I444" t="n">
        <v>0</v>
      </c>
      <c r="J444" t="n">
        <v>1</v>
      </c>
      <c r="K444" t="n">
        <v>0</v>
      </c>
      <c r="L444" t="n">
        <v>0</v>
      </c>
      <c r="M444" t="n">
        <v>0</v>
      </c>
      <c r="N444" t="n">
        <v>0</v>
      </c>
      <c r="O444" t="n">
        <v>1</v>
      </c>
      <c r="P444" t="n">
        <v>0</v>
      </c>
      <c r="Q444" t="n">
        <v>1</v>
      </c>
      <c r="R444" s="2" t="inlineStr">
        <is>
          <t>Tallticka</t>
        </is>
      </c>
      <c r="S444">
        <f>HYPERLINK("https://klasma.github.io/Logging_2581/artfynd/A 51168-2020 artfynd.xlsx", "A 51168-2020")</f>
        <v/>
      </c>
      <c r="T444">
        <f>HYPERLINK("https://klasma.github.io/Logging_2581/kartor/A 51168-2020 karta.png", "A 51168-2020")</f>
        <v/>
      </c>
      <c r="V444">
        <f>HYPERLINK("https://klasma.github.io/Logging_2581/klagomål/A 51168-2020 FSC-klagomål.docx", "A 51168-2020")</f>
        <v/>
      </c>
      <c r="W444">
        <f>HYPERLINK("https://klasma.github.io/Logging_2581/klagomålsmail/A 51168-2020 FSC-klagomål mail.docx", "A 51168-2020")</f>
        <v/>
      </c>
      <c r="X444">
        <f>HYPERLINK("https://klasma.github.io/Logging_2581/tillsyn/A 51168-2020 tillsynsbegäran.docx", "A 51168-2020")</f>
        <v/>
      </c>
      <c r="Y444">
        <f>HYPERLINK("https://klasma.github.io/Logging_2581/tillsynsmail/A 51168-2020 tillsynsbegäran mail.docx", "A 51168-2020")</f>
        <v/>
      </c>
    </row>
    <row r="445" ht="15" customHeight="1">
      <c r="A445" t="inlineStr">
        <is>
          <t>A 16470-2022</t>
        </is>
      </c>
      <c r="B445" s="1" t="n">
        <v>44671</v>
      </c>
      <c r="C445" s="1" t="n">
        <v>45895</v>
      </c>
      <c r="D445" t="inlineStr">
        <is>
          <t>NORRBOTTENS LÄN</t>
        </is>
      </c>
      <c r="E445" t="inlineStr">
        <is>
          <t>ÄLVSBYN</t>
        </is>
      </c>
      <c r="F445" t="inlineStr">
        <is>
          <t>Sveaskog</t>
        </is>
      </c>
      <c r="G445" t="n">
        <v>6.6</v>
      </c>
      <c r="H445" t="n">
        <v>0</v>
      </c>
      <c r="I445" t="n">
        <v>0</v>
      </c>
      <c r="J445" t="n">
        <v>1</v>
      </c>
      <c r="K445" t="n">
        <v>0</v>
      </c>
      <c r="L445" t="n">
        <v>0</v>
      </c>
      <c r="M445" t="n">
        <v>0</v>
      </c>
      <c r="N445" t="n">
        <v>0</v>
      </c>
      <c r="O445" t="n">
        <v>1</v>
      </c>
      <c r="P445" t="n">
        <v>0</v>
      </c>
      <c r="Q445" t="n">
        <v>1</v>
      </c>
      <c r="R445" s="2" t="inlineStr">
        <is>
          <t>Tallticka</t>
        </is>
      </c>
      <c r="S445">
        <f>HYPERLINK("https://klasma.github.io/Logging_2560/artfynd/A 16470-2022 artfynd.xlsx", "A 16470-2022")</f>
        <v/>
      </c>
      <c r="T445">
        <f>HYPERLINK("https://klasma.github.io/Logging_2560/kartor/A 16470-2022 karta.png", "A 16470-2022")</f>
        <v/>
      </c>
      <c r="V445">
        <f>HYPERLINK("https://klasma.github.io/Logging_2560/klagomål/A 16470-2022 FSC-klagomål.docx", "A 16470-2022")</f>
        <v/>
      </c>
      <c r="W445">
        <f>HYPERLINK("https://klasma.github.io/Logging_2560/klagomålsmail/A 16470-2022 FSC-klagomål mail.docx", "A 16470-2022")</f>
        <v/>
      </c>
      <c r="X445">
        <f>HYPERLINK("https://klasma.github.io/Logging_2560/tillsyn/A 16470-2022 tillsynsbegäran.docx", "A 16470-2022")</f>
        <v/>
      </c>
      <c r="Y445">
        <f>HYPERLINK("https://klasma.github.io/Logging_2560/tillsynsmail/A 16470-2022 tillsynsbegäran mail.docx", "A 16470-2022")</f>
        <v/>
      </c>
    </row>
    <row r="446" ht="15" customHeight="1">
      <c r="A446" t="inlineStr">
        <is>
          <t>A 43663-2020</t>
        </is>
      </c>
      <c r="B446" s="1" t="n">
        <v>44082</v>
      </c>
      <c r="C446" s="1" t="n">
        <v>45895</v>
      </c>
      <c r="D446" t="inlineStr">
        <is>
          <t>NORRBOTTENS LÄN</t>
        </is>
      </c>
      <c r="E446" t="inlineStr">
        <is>
          <t>LULEÅ</t>
        </is>
      </c>
      <c r="F446" t="inlineStr">
        <is>
          <t>Sveaskog</t>
        </is>
      </c>
      <c r="G446" t="n">
        <v>2.3</v>
      </c>
      <c r="H446" t="n">
        <v>0</v>
      </c>
      <c r="I446" t="n">
        <v>0</v>
      </c>
      <c r="J446" t="n">
        <v>1</v>
      </c>
      <c r="K446" t="n">
        <v>0</v>
      </c>
      <c r="L446" t="n">
        <v>0</v>
      </c>
      <c r="M446" t="n">
        <v>0</v>
      </c>
      <c r="N446" t="n">
        <v>0</v>
      </c>
      <c r="O446" t="n">
        <v>1</v>
      </c>
      <c r="P446" t="n">
        <v>0</v>
      </c>
      <c r="Q446" t="n">
        <v>1</v>
      </c>
      <c r="R446" s="2" t="inlineStr">
        <is>
          <t>Garnlav</t>
        </is>
      </c>
      <c r="S446">
        <f>HYPERLINK("https://klasma.github.io/Logging_2580/artfynd/A 43663-2020 artfynd.xlsx", "A 43663-2020")</f>
        <v/>
      </c>
      <c r="T446">
        <f>HYPERLINK("https://klasma.github.io/Logging_2580/kartor/A 43663-2020 karta.png", "A 43663-2020")</f>
        <v/>
      </c>
      <c r="V446">
        <f>HYPERLINK("https://klasma.github.io/Logging_2580/klagomål/A 43663-2020 FSC-klagomål.docx", "A 43663-2020")</f>
        <v/>
      </c>
      <c r="W446">
        <f>HYPERLINK("https://klasma.github.io/Logging_2580/klagomålsmail/A 43663-2020 FSC-klagomål mail.docx", "A 43663-2020")</f>
        <v/>
      </c>
      <c r="X446">
        <f>HYPERLINK("https://klasma.github.io/Logging_2580/tillsyn/A 43663-2020 tillsynsbegäran.docx", "A 43663-2020")</f>
        <v/>
      </c>
      <c r="Y446">
        <f>HYPERLINK("https://klasma.github.io/Logging_2580/tillsynsmail/A 43663-2020 tillsynsbegäran mail.docx", "A 43663-2020")</f>
        <v/>
      </c>
    </row>
    <row r="447" ht="15" customHeight="1">
      <c r="A447" t="inlineStr">
        <is>
          <t>A 13716-2021</t>
        </is>
      </c>
      <c r="B447" s="1" t="n">
        <v>44274</v>
      </c>
      <c r="C447" s="1" t="n">
        <v>45895</v>
      </c>
      <c r="D447" t="inlineStr">
        <is>
          <t>NORRBOTTENS LÄN</t>
        </is>
      </c>
      <c r="E447" t="inlineStr">
        <is>
          <t>KALIX</t>
        </is>
      </c>
      <c r="G447" t="n">
        <v>5</v>
      </c>
      <c r="H447" t="n">
        <v>0</v>
      </c>
      <c r="I447" t="n">
        <v>0</v>
      </c>
      <c r="J447" t="n">
        <v>1</v>
      </c>
      <c r="K447" t="n">
        <v>0</v>
      </c>
      <c r="L447" t="n">
        <v>0</v>
      </c>
      <c r="M447" t="n">
        <v>0</v>
      </c>
      <c r="N447" t="n">
        <v>0</v>
      </c>
      <c r="O447" t="n">
        <v>1</v>
      </c>
      <c r="P447" t="n">
        <v>0</v>
      </c>
      <c r="Q447" t="n">
        <v>1</v>
      </c>
      <c r="R447" s="2" t="inlineStr">
        <is>
          <t>Lunglav</t>
        </is>
      </c>
      <c r="S447">
        <f>HYPERLINK("https://klasma.github.io/Logging_2514/artfynd/A 13716-2021 artfynd.xlsx", "A 13716-2021")</f>
        <v/>
      </c>
      <c r="T447">
        <f>HYPERLINK("https://klasma.github.io/Logging_2514/kartor/A 13716-2021 karta.png", "A 13716-2021")</f>
        <v/>
      </c>
      <c r="V447">
        <f>HYPERLINK("https://klasma.github.io/Logging_2514/klagomål/A 13716-2021 FSC-klagomål.docx", "A 13716-2021")</f>
        <v/>
      </c>
      <c r="W447">
        <f>HYPERLINK("https://klasma.github.io/Logging_2514/klagomålsmail/A 13716-2021 FSC-klagomål mail.docx", "A 13716-2021")</f>
        <v/>
      </c>
      <c r="X447">
        <f>HYPERLINK("https://klasma.github.io/Logging_2514/tillsyn/A 13716-2021 tillsynsbegäran.docx", "A 13716-2021")</f>
        <v/>
      </c>
      <c r="Y447">
        <f>HYPERLINK("https://klasma.github.io/Logging_2514/tillsynsmail/A 13716-2021 tillsynsbegäran mail.docx", "A 13716-2021")</f>
        <v/>
      </c>
    </row>
    <row r="448" ht="15" customHeight="1">
      <c r="A448" t="inlineStr">
        <is>
          <t>A 13647-2022</t>
        </is>
      </c>
      <c r="B448" s="1" t="n">
        <v>44648</v>
      </c>
      <c r="C448" s="1" t="n">
        <v>45895</v>
      </c>
      <c r="D448" t="inlineStr">
        <is>
          <t>NORRBOTTENS LÄN</t>
        </is>
      </c>
      <c r="E448" t="inlineStr">
        <is>
          <t>BODEN</t>
        </is>
      </c>
      <c r="F448" t="inlineStr">
        <is>
          <t>Sveaskog</t>
        </is>
      </c>
      <c r="G448" t="n">
        <v>3.8</v>
      </c>
      <c r="H448" t="n">
        <v>0</v>
      </c>
      <c r="I448" t="n">
        <v>0</v>
      </c>
      <c r="J448" t="n">
        <v>1</v>
      </c>
      <c r="K448" t="n">
        <v>0</v>
      </c>
      <c r="L448" t="n">
        <v>0</v>
      </c>
      <c r="M448" t="n">
        <v>0</v>
      </c>
      <c r="N448" t="n">
        <v>0</v>
      </c>
      <c r="O448" t="n">
        <v>1</v>
      </c>
      <c r="P448" t="n">
        <v>0</v>
      </c>
      <c r="Q448" t="n">
        <v>1</v>
      </c>
      <c r="R448" s="2" t="inlineStr">
        <is>
          <t>Gammelgransskål</t>
        </is>
      </c>
      <c r="S448">
        <f>HYPERLINK("https://klasma.github.io/Logging_2582/artfynd/A 13647-2022 artfynd.xlsx", "A 13647-2022")</f>
        <v/>
      </c>
      <c r="T448">
        <f>HYPERLINK("https://klasma.github.io/Logging_2582/kartor/A 13647-2022 karta.png", "A 13647-2022")</f>
        <v/>
      </c>
      <c r="V448">
        <f>HYPERLINK("https://klasma.github.io/Logging_2582/klagomål/A 13647-2022 FSC-klagomål.docx", "A 13647-2022")</f>
        <v/>
      </c>
      <c r="W448">
        <f>HYPERLINK("https://klasma.github.io/Logging_2582/klagomålsmail/A 13647-2022 FSC-klagomål mail.docx", "A 13647-2022")</f>
        <v/>
      </c>
      <c r="X448">
        <f>HYPERLINK("https://klasma.github.io/Logging_2582/tillsyn/A 13647-2022 tillsynsbegäran.docx", "A 13647-2022")</f>
        <v/>
      </c>
      <c r="Y448">
        <f>HYPERLINK("https://klasma.github.io/Logging_2582/tillsynsmail/A 13647-2022 tillsynsbegäran mail.docx", "A 13647-2022")</f>
        <v/>
      </c>
    </row>
    <row r="449" ht="15" customHeight="1">
      <c r="A449" t="inlineStr">
        <is>
          <t>A 36594-2021</t>
        </is>
      </c>
      <c r="B449" s="1" t="n">
        <v>44391</v>
      </c>
      <c r="C449" s="1" t="n">
        <v>45895</v>
      </c>
      <c r="D449" t="inlineStr">
        <is>
          <t>NORRBOTTENS LÄN</t>
        </is>
      </c>
      <c r="E449" t="inlineStr">
        <is>
          <t>JOKKMOKK</t>
        </is>
      </c>
      <c r="F449" t="inlineStr">
        <is>
          <t>Sveaskog</t>
        </is>
      </c>
      <c r="G449" t="n">
        <v>5.8</v>
      </c>
      <c r="H449" t="n">
        <v>1</v>
      </c>
      <c r="I449" t="n">
        <v>0</v>
      </c>
      <c r="J449" t="n">
        <v>0</v>
      </c>
      <c r="K449" t="n">
        <v>1</v>
      </c>
      <c r="L449" t="n">
        <v>0</v>
      </c>
      <c r="M449" t="n">
        <v>0</v>
      </c>
      <c r="N449" t="n">
        <v>0</v>
      </c>
      <c r="O449" t="n">
        <v>1</v>
      </c>
      <c r="P449" t="n">
        <v>1</v>
      </c>
      <c r="Q449" t="n">
        <v>1</v>
      </c>
      <c r="R449" s="2" t="inlineStr">
        <is>
          <t>Doftticka</t>
        </is>
      </c>
      <c r="S449">
        <f>HYPERLINK("https://klasma.github.io/Logging_2510/artfynd/A 36594-2021 artfynd.xlsx", "A 36594-2021")</f>
        <v/>
      </c>
      <c r="T449">
        <f>HYPERLINK("https://klasma.github.io/Logging_2510/kartor/A 36594-2021 karta.png", "A 36594-2021")</f>
        <v/>
      </c>
      <c r="V449">
        <f>HYPERLINK("https://klasma.github.io/Logging_2510/klagomål/A 36594-2021 FSC-klagomål.docx", "A 36594-2021")</f>
        <v/>
      </c>
      <c r="W449">
        <f>HYPERLINK("https://klasma.github.io/Logging_2510/klagomålsmail/A 36594-2021 FSC-klagomål mail.docx", "A 36594-2021")</f>
        <v/>
      </c>
      <c r="X449">
        <f>HYPERLINK("https://klasma.github.io/Logging_2510/tillsyn/A 36594-2021 tillsynsbegäran.docx", "A 36594-2021")</f>
        <v/>
      </c>
      <c r="Y449">
        <f>HYPERLINK("https://klasma.github.io/Logging_2510/tillsynsmail/A 36594-2021 tillsynsbegäran mail.docx", "A 36594-2021")</f>
        <v/>
      </c>
    </row>
    <row r="450" ht="15" customHeight="1">
      <c r="A450" t="inlineStr">
        <is>
          <t>A 44253-2022</t>
        </is>
      </c>
      <c r="B450" s="1" t="n">
        <v>44839.5678125</v>
      </c>
      <c r="C450" s="1" t="n">
        <v>45895</v>
      </c>
      <c r="D450" t="inlineStr">
        <is>
          <t>NORRBOTTENS LÄN</t>
        </is>
      </c>
      <c r="E450" t="inlineStr">
        <is>
          <t>LULEÅ</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HYPERLINK("https://klasma.github.io/Logging_2580/artfynd/A 44253-2022 artfynd.xlsx", "A 44253-2022")</f>
        <v/>
      </c>
      <c r="T450">
        <f>HYPERLINK("https://klasma.github.io/Logging_2580/kartor/A 44253-2022 karta.png", "A 44253-2022")</f>
        <v/>
      </c>
      <c r="V450">
        <f>HYPERLINK("https://klasma.github.io/Logging_2580/klagomål/A 44253-2022 FSC-klagomål.docx", "A 44253-2022")</f>
        <v/>
      </c>
      <c r="W450">
        <f>HYPERLINK("https://klasma.github.io/Logging_2580/klagomålsmail/A 44253-2022 FSC-klagomål mail.docx", "A 44253-2022")</f>
        <v/>
      </c>
      <c r="X450">
        <f>HYPERLINK("https://klasma.github.io/Logging_2580/tillsyn/A 44253-2022 tillsynsbegäran.docx", "A 44253-2022")</f>
        <v/>
      </c>
      <c r="Y450">
        <f>HYPERLINK("https://klasma.github.io/Logging_2580/tillsynsmail/A 44253-2022 tillsynsbegäran mail.docx", "A 44253-2022")</f>
        <v/>
      </c>
      <c r="Z450">
        <f>HYPERLINK("https://klasma.github.io/Logging_2580/fåglar/A 44253-2022 prioriterade fågelarter.docx", "A 44253-2022")</f>
        <v/>
      </c>
    </row>
    <row r="451" ht="15" customHeight="1">
      <c r="A451" t="inlineStr">
        <is>
          <t>A 56067-2021</t>
        </is>
      </c>
      <c r="B451" s="1" t="n">
        <v>44477</v>
      </c>
      <c r="C451" s="1" t="n">
        <v>45895</v>
      </c>
      <c r="D451" t="inlineStr">
        <is>
          <t>NORRBOTTENS LÄN</t>
        </is>
      </c>
      <c r="E451" t="inlineStr">
        <is>
          <t>LULEÅ</t>
        </is>
      </c>
      <c r="F451" t="inlineStr">
        <is>
          <t>Sveaskog</t>
        </is>
      </c>
      <c r="G451" t="n">
        <v>1.3</v>
      </c>
      <c r="H451" t="n">
        <v>0</v>
      </c>
      <c r="I451" t="n">
        <v>1</v>
      </c>
      <c r="J451" t="n">
        <v>0</v>
      </c>
      <c r="K451" t="n">
        <v>0</v>
      </c>
      <c r="L451" t="n">
        <v>0</v>
      </c>
      <c r="M451" t="n">
        <v>0</v>
      </c>
      <c r="N451" t="n">
        <v>0</v>
      </c>
      <c r="O451" t="n">
        <v>0</v>
      </c>
      <c r="P451" t="n">
        <v>0</v>
      </c>
      <c r="Q451" t="n">
        <v>1</v>
      </c>
      <c r="R451" s="2" t="inlineStr">
        <is>
          <t>Zontaggsvamp</t>
        </is>
      </c>
      <c r="S451">
        <f>HYPERLINK("https://klasma.github.io/Logging_2580/artfynd/A 56067-2021 artfynd.xlsx", "A 56067-2021")</f>
        <v/>
      </c>
      <c r="T451">
        <f>HYPERLINK("https://klasma.github.io/Logging_2580/kartor/A 56067-2021 karta.png", "A 56067-2021")</f>
        <v/>
      </c>
      <c r="V451">
        <f>HYPERLINK("https://klasma.github.io/Logging_2580/klagomål/A 56067-2021 FSC-klagomål.docx", "A 56067-2021")</f>
        <v/>
      </c>
      <c r="W451">
        <f>HYPERLINK("https://klasma.github.io/Logging_2580/klagomålsmail/A 56067-2021 FSC-klagomål mail.docx", "A 56067-2021")</f>
        <v/>
      </c>
      <c r="X451">
        <f>HYPERLINK("https://klasma.github.io/Logging_2580/tillsyn/A 56067-2021 tillsynsbegäran.docx", "A 56067-2021")</f>
        <v/>
      </c>
      <c r="Y451">
        <f>HYPERLINK("https://klasma.github.io/Logging_2580/tillsynsmail/A 56067-2021 tillsynsbegäran mail.docx", "A 56067-2021")</f>
        <v/>
      </c>
    </row>
    <row r="452" ht="15" customHeight="1">
      <c r="A452" t="inlineStr">
        <is>
          <t>A 60597-2021</t>
        </is>
      </c>
      <c r="B452" s="1" t="n">
        <v>44496</v>
      </c>
      <c r="C452" s="1" t="n">
        <v>45895</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69535-2020</t>
        </is>
      </c>
      <c r="B453" s="1" t="n">
        <v>44194</v>
      </c>
      <c r="C453" s="1" t="n">
        <v>45895</v>
      </c>
      <c r="D453" t="inlineStr">
        <is>
          <t>NORRBOTTENS LÄN</t>
        </is>
      </c>
      <c r="E453" t="inlineStr">
        <is>
          <t>ÖVERTORNEÅ</t>
        </is>
      </c>
      <c r="F453" t="inlineStr">
        <is>
          <t>Sveaskog</t>
        </is>
      </c>
      <c r="G453" t="n">
        <v>1.2</v>
      </c>
      <c r="H453" t="n">
        <v>0</v>
      </c>
      <c r="I453" t="n">
        <v>1</v>
      </c>
      <c r="J453" t="n">
        <v>0</v>
      </c>
      <c r="K453" t="n">
        <v>0</v>
      </c>
      <c r="L453" t="n">
        <v>0</v>
      </c>
      <c r="M453" t="n">
        <v>0</v>
      </c>
      <c r="N453" t="n">
        <v>0</v>
      </c>
      <c r="O453" t="n">
        <v>0</v>
      </c>
      <c r="P453" t="n">
        <v>0</v>
      </c>
      <c r="Q453" t="n">
        <v>1</v>
      </c>
      <c r="R453" s="2" t="inlineStr">
        <is>
          <t>Stuplav</t>
        </is>
      </c>
      <c r="S453">
        <f>HYPERLINK("https://klasma.github.io/Logging_2518/artfynd/A 69535-2020 artfynd.xlsx", "A 69535-2020")</f>
        <v/>
      </c>
      <c r="T453">
        <f>HYPERLINK("https://klasma.github.io/Logging_2518/kartor/A 69535-2020 karta.png", "A 69535-2020")</f>
        <v/>
      </c>
      <c r="V453">
        <f>HYPERLINK("https://klasma.github.io/Logging_2518/klagomål/A 69535-2020 FSC-klagomål.docx", "A 69535-2020")</f>
        <v/>
      </c>
      <c r="W453">
        <f>HYPERLINK("https://klasma.github.io/Logging_2518/klagomålsmail/A 69535-2020 FSC-klagomål mail.docx", "A 69535-2020")</f>
        <v/>
      </c>
      <c r="X453">
        <f>HYPERLINK("https://klasma.github.io/Logging_2518/tillsyn/A 69535-2020 tillsynsbegäran.docx", "A 69535-2020")</f>
        <v/>
      </c>
      <c r="Y453">
        <f>HYPERLINK("https://klasma.github.io/Logging_2518/tillsynsmail/A 69535-2020 tillsynsbegäran mail.docx", "A 69535-2020")</f>
        <v/>
      </c>
    </row>
    <row r="454" ht="15" customHeight="1">
      <c r="A454" t="inlineStr">
        <is>
          <t>A 47498-2022</t>
        </is>
      </c>
      <c r="B454" s="1" t="n">
        <v>44853</v>
      </c>
      <c r="C454" s="1" t="n">
        <v>45895</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44768-2022</t>
        </is>
      </c>
      <c r="B455" s="1" t="n">
        <v>44840</v>
      </c>
      <c r="C455" s="1" t="n">
        <v>45895</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35037-2022</t>
        </is>
      </c>
      <c r="B456" s="1" t="n">
        <v>44796</v>
      </c>
      <c r="C456" s="1" t="n">
        <v>45895</v>
      </c>
      <c r="D456" t="inlineStr">
        <is>
          <t>NORRBOTTENS LÄN</t>
        </is>
      </c>
      <c r="E456" t="inlineStr">
        <is>
          <t>BODEN</t>
        </is>
      </c>
      <c r="G456" t="n">
        <v>0.6</v>
      </c>
      <c r="H456" t="n">
        <v>1</v>
      </c>
      <c r="I456" t="n">
        <v>0</v>
      </c>
      <c r="J456" t="n">
        <v>1</v>
      </c>
      <c r="K456" t="n">
        <v>0</v>
      </c>
      <c r="L456" t="n">
        <v>0</v>
      </c>
      <c r="M456" t="n">
        <v>0</v>
      </c>
      <c r="N456" t="n">
        <v>0</v>
      </c>
      <c r="O456" t="n">
        <v>1</v>
      </c>
      <c r="P456" t="n">
        <v>0</v>
      </c>
      <c r="Q456" t="n">
        <v>1</v>
      </c>
      <c r="R456" s="2" t="inlineStr">
        <is>
          <t>Rödvingetrast</t>
        </is>
      </c>
      <c r="S456">
        <f>HYPERLINK("https://klasma.github.io/Logging_2582/artfynd/A 35037-2022 artfynd.xlsx", "A 35037-2022")</f>
        <v/>
      </c>
      <c r="T456">
        <f>HYPERLINK("https://klasma.github.io/Logging_2582/kartor/A 35037-2022 karta.png", "A 35037-2022")</f>
        <v/>
      </c>
      <c r="V456">
        <f>HYPERLINK("https://klasma.github.io/Logging_2582/klagomål/A 35037-2022 FSC-klagomål.docx", "A 35037-2022")</f>
        <v/>
      </c>
      <c r="W456">
        <f>HYPERLINK("https://klasma.github.io/Logging_2582/klagomålsmail/A 35037-2022 FSC-klagomål mail.docx", "A 35037-2022")</f>
        <v/>
      </c>
      <c r="X456">
        <f>HYPERLINK("https://klasma.github.io/Logging_2582/tillsyn/A 35037-2022 tillsynsbegäran.docx", "A 35037-2022")</f>
        <v/>
      </c>
      <c r="Y456">
        <f>HYPERLINK("https://klasma.github.io/Logging_2582/tillsynsmail/A 35037-2022 tillsynsbegäran mail.docx", "A 35037-2022")</f>
        <v/>
      </c>
      <c r="Z456">
        <f>HYPERLINK("https://klasma.github.io/Logging_2582/fåglar/A 35037-2022 prioriterade fågelarter.docx", "A 35037-2022")</f>
        <v/>
      </c>
    </row>
    <row r="457" ht="15" customHeight="1">
      <c r="A457" t="inlineStr">
        <is>
          <t>A 57994-2021</t>
        </is>
      </c>
      <c r="B457" s="1" t="n">
        <v>44487</v>
      </c>
      <c r="C457" s="1" t="n">
        <v>45895</v>
      </c>
      <c r="D457" t="inlineStr">
        <is>
          <t>NORRBOTTENS LÄN</t>
        </is>
      </c>
      <c r="E457" t="inlineStr">
        <is>
          <t>ARVIDSJAUR</t>
        </is>
      </c>
      <c r="F457" t="inlineStr">
        <is>
          <t>Sveaskog</t>
        </is>
      </c>
      <c r="G457" t="n">
        <v>12.9</v>
      </c>
      <c r="H457" t="n">
        <v>1</v>
      </c>
      <c r="I457" t="n">
        <v>0</v>
      </c>
      <c r="J457" t="n">
        <v>1</v>
      </c>
      <c r="K457" t="n">
        <v>0</v>
      </c>
      <c r="L457" t="n">
        <v>0</v>
      </c>
      <c r="M457" t="n">
        <v>0</v>
      </c>
      <c r="N457" t="n">
        <v>0</v>
      </c>
      <c r="O457" t="n">
        <v>1</v>
      </c>
      <c r="P457" t="n">
        <v>0</v>
      </c>
      <c r="Q457" t="n">
        <v>1</v>
      </c>
      <c r="R457" s="2" t="inlineStr">
        <is>
          <t>Kungsörn</t>
        </is>
      </c>
      <c r="S457">
        <f>HYPERLINK("https://klasma.github.io/Logging_2505/artfynd/A 57994-2021 artfynd.xlsx", "A 57994-2021")</f>
        <v/>
      </c>
      <c r="T457">
        <f>HYPERLINK("https://klasma.github.io/Logging_2505/kartor/A 57994-2021 karta.png", "A 57994-2021")</f>
        <v/>
      </c>
      <c r="V457">
        <f>HYPERLINK("https://klasma.github.io/Logging_2505/klagomål/A 57994-2021 FSC-klagomål.docx", "A 57994-2021")</f>
        <v/>
      </c>
      <c r="W457">
        <f>HYPERLINK("https://klasma.github.io/Logging_2505/klagomålsmail/A 57994-2021 FSC-klagomål mail.docx", "A 57994-2021")</f>
        <v/>
      </c>
      <c r="X457">
        <f>HYPERLINK("https://klasma.github.io/Logging_2505/tillsyn/A 57994-2021 tillsynsbegäran.docx", "A 57994-2021")</f>
        <v/>
      </c>
      <c r="Y457">
        <f>HYPERLINK("https://klasma.github.io/Logging_2505/tillsynsmail/A 57994-2021 tillsynsbegäran mail.docx", "A 57994-2021")</f>
        <v/>
      </c>
      <c r="Z457">
        <f>HYPERLINK("https://klasma.github.io/Logging_2505/fåglar/A 57994-2021 prioriterade fågelarter.docx", "A 57994-2021")</f>
        <v/>
      </c>
    </row>
    <row r="458" ht="15" customHeight="1">
      <c r="A458" t="inlineStr">
        <is>
          <t>A 40779-2021</t>
        </is>
      </c>
      <c r="B458" s="1" t="n">
        <v>44421</v>
      </c>
      <c r="C458" s="1" t="n">
        <v>45895</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58201-2021</t>
        </is>
      </c>
      <c r="B459" s="1" t="n">
        <v>44487</v>
      </c>
      <c r="C459" s="1" t="n">
        <v>45895</v>
      </c>
      <c r="D459" t="inlineStr">
        <is>
          <t>NORRBOTTENS LÄN</t>
        </is>
      </c>
      <c r="E459" t="inlineStr">
        <is>
          <t>ÄLVSBYN</t>
        </is>
      </c>
      <c r="F459" t="inlineStr">
        <is>
          <t>Sveaskog</t>
        </is>
      </c>
      <c r="G459" t="n">
        <v>13.4</v>
      </c>
      <c r="H459" t="n">
        <v>1</v>
      </c>
      <c r="I459" t="n">
        <v>0</v>
      </c>
      <c r="J459" t="n">
        <v>0</v>
      </c>
      <c r="K459" t="n">
        <v>1</v>
      </c>
      <c r="L459" t="n">
        <v>0</v>
      </c>
      <c r="M459" t="n">
        <v>0</v>
      </c>
      <c r="N459" t="n">
        <v>0</v>
      </c>
      <c r="O459" t="n">
        <v>1</v>
      </c>
      <c r="P459" t="n">
        <v>1</v>
      </c>
      <c r="Q459" t="n">
        <v>1</v>
      </c>
      <c r="R459" s="2" t="inlineStr">
        <is>
          <t>Lappuggla</t>
        </is>
      </c>
      <c r="S459">
        <f>HYPERLINK("https://klasma.github.io/Logging_2560/artfynd/A 58201-2021 artfynd.xlsx", "A 58201-2021")</f>
        <v/>
      </c>
      <c r="T459">
        <f>HYPERLINK("https://klasma.github.io/Logging_2560/kartor/A 58201-2021 karta.png", "A 58201-2021")</f>
        <v/>
      </c>
      <c r="V459">
        <f>HYPERLINK("https://klasma.github.io/Logging_2560/klagomål/A 58201-2021 FSC-klagomål.docx", "A 58201-2021")</f>
        <v/>
      </c>
      <c r="W459">
        <f>HYPERLINK("https://klasma.github.io/Logging_2560/klagomålsmail/A 58201-2021 FSC-klagomål mail.docx", "A 58201-2021")</f>
        <v/>
      </c>
      <c r="X459">
        <f>HYPERLINK("https://klasma.github.io/Logging_2560/tillsyn/A 58201-2021 tillsynsbegäran.docx", "A 58201-2021")</f>
        <v/>
      </c>
      <c r="Y459">
        <f>HYPERLINK("https://klasma.github.io/Logging_2560/tillsynsmail/A 58201-2021 tillsynsbegäran mail.docx", "A 58201-2021")</f>
        <v/>
      </c>
      <c r="Z459">
        <f>HYPERLINK("https://klasma.github.io/Logging_2560/fåglar/A 58201-2021 prioriterade fågelarter.docx", "A 58201-2021")</f>
        <v/>
      </c>
    </row>
    <row r="460" ht="15" customHeight="1">
      <c r="A460" t="inlineStr">
        <is>
          <t>A 45184-2020</t>
        </is>
      </c>
      <c r="B460" s="1" t="n">
        <v>44088</v>
      </c>
      <c r="C460" s="1" t="n">
        <v>45895</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25729-2022</t>
        </is>
      </c>
      <c r="B461" s="1" t="n">
        <v>44733</v>
      </c>
      <c r="C461" s="1" t="n">
        <v>45895</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71289-2021</t>
        </is>
      </c>
      <c r="B462" s="1" t="n">
        <v>44538</v>
      </c>
      <c r="C462" s="1" t="n">
        <v>45895</v>
      </c>
      <c r="D462" t="inlineStr">
        <is>
          <t>NORRBOTTENS LÄN</t>
        </is>
      </c>
      <c r="E462" t="inlineStr">
        <is>
          <t>PITEÅ</t>
        </is>
      </c>
      <c r="G462" t="n">
        <v>3.8</v>
      </c>
      <c r="H462" t="n">
        <v>0</v>
      </c>
      <c r="I462" t="n">
        <v>0</v>
      </c>
      <c r="J462" t="n">
        <v>1</v>
      </c>
      <c r="K462" t="n">
        <v>0</v>
      </c>
      <c r="L462" t="n">
        <v>0</v>
      </c>
      <c r="M462" t="n">
        <v>0</v>
      </c>
      <c r="N462" t="n">
        <v>0</v>
      </c>
      <c r="O462" t="n">
        <v>1</v>
      </c>
      <c r="P462" t="n">
        <v>0</v>
      </c>
      <c r="Q462" t="n">
        <v>1</v>
      </c>
      <c r="R462" s="2" t="inlineStr">
        <is>
          <t>Tallticka</t>
        </is>
      </c>
      <c r="S462">
        <f>HYPERLINK("https://klasma.github.io/Logging_2581/artfynd/A 71289-2021 artfynd.xlsx", "A 71289-2021")</f>
        <v/>
      </c>
      <c r="T462">
        <f>HYPERLINK("https://klasma.github.io/Logging_2581/kartor/A 71289-2021 karta.png", "A 71289-2021")</f>
        <v/>
      </c>
      <c r="V462">
        <f>HYPERLINK("https://klasma.github.io/Logging_2581/klagomål/A 71289-2021 FSC-klagomål.docx", "A 71289-2021")</f>
        <v/>
      </c>
      <c r="W462">
        <f>HYPERLINK("https://klasma.github.io/Logging_2581/klagomålsmail/A 71289-2021 FSC-klagomål mail.docx", "A 71289-2021")</f>
        <v/>
      </c>
      <c r="X462">
        <f>HYPERLINK("https://klasma.github.io/Logging_2581/tillsyn/A 71289-2021 tillsynsbegäran.docx", "A 71289-2021")</f>
        <v/>
      </c>
      <c r="Y462">
        <f>HYPERLINK("https://klasma.github.io/Logging_2581/tillsynsmail/A 71289-2021 tillsynsbegäran mail.docx", "A 71289-2021")</f>
        <v/>
      </c>
    </row>
    <row r="463" ht="15" customHeight="1">
      <c r="A463" t="inlineStr">
        <is>
          <t>A 15137-2022</t>
        </is>
      </c>
      <c r="B463" s="1" t="n">
        <v>44658</v>
      </c>
      <c r="C463" s="1" t="n">
        <v>45895</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47030-2021</t>
        </is>
      </c>
      <c r="B464" s="1" t="n">
        <v>44446.60008101852</v>
      </c>
      <c r="C464" s="1" t="n">
        <v>45895</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57926-2021</t>
        </is>
      </c>
      <c r="B465" s="1" t="n">
        <v>44487</v>
      </c>
      <c r="C465" s="1" t="n">
        <v>45895</v>
      </c>
      <c r="D465" t="inlineStr">
        <is>
          <t>NORRBOTTENS LÄN</t>
        </is>
      </c>
      <c r="E465" t="inlineStr">
        <is>
          <t>ARVIDSJAUR</t>
        </is>
      </c>
      <c r="F465" t="inlineStr">
        <is>
          <t>Sveaskog</t>
        </is>
      </c>
      <c r="G465" t="n">
        <v>28.6</v>
      </c>
      <c r="H465" t="n">
        <v>0</v>
      </c>
      <c r="I465" t="n">
        <v>0</v>
      </c>
      <c r="J465" t="n">
        <v>1</v>
      </c>
      <c r="K465" t="n">
        <v>0</v>
      </c>
      <c r="L465" t="n">
        <v>0</v>
      </c>
      <c r="M465" t="n">
        <v>0</v>
      </c>
      <c r="N465" t="n">
        <v>0</v>
      </c>
      <c r="O465" t="n">
        <v>1</v>
      </c>
      <c r="P465" t="n">
        <v>0</v>
      </c>
      <c r="Q465" t="n">
        <v>1</v>
      </c>
      <c r="R465" s="2" t="inlineStr">
        <is>
          <t>Tallticka</t>
        </is>
      </c>
      <c r="S465">
        <f>HYPERLINK("https://klasma.github.io/Logging_2505/artfynd/A 57926-2021 artfynd.xlsx", "A 57926-2021")</f>
        <v/>
      </c>
      <c r="T465">
        <f>HYPERLINK("https://klasma.github.io/Logging_2505/kartor/A 57926-2021 karta.png", "A 57926-2021")</f>
        <v/>
      </c>
      <c r="V465">
        <f>HYPERLINK("https://klasma.github.io/Logging_2505/klagomål/A 57926-2021 FSC-klagomål.docx", "A 57926-2021")</f>
        <v/>
      </c>
      <c r="W465">
        <f>HYPERLINK("https://klasma.github.io/Logging_2505/klagomålsmail/A 57926-2021 FSC-klagomål mail.docx", "A 57926-2021")</f>
        <v/>
      </c>
      <c r="X465">
        <f>HYPERLINK("https://klasma.github.io/Logging_2505/tillsyn/A 57926-2021 tillsynsbegäran.docx", "A 57926-2021")</f>
        <v/>
      </c>
      <c r="Y465">
        <f>HYPERLINK("https://klasma.github.io/Logging_2505/tillsynsmail/A 57926-2021 tillsynsbegäran mail.docx", "A 57926-2021")</f>
        <v/>
      </c>
    </row>
    <row r="466" ht="15" customHeight="1">
      <c r="A466" t="inlineStr">
        <is>
          <t>A 39289-2021</t>
        </is>
      </c>
      <c r="B466" s="1" t="n">
        <v>44413</v>
      </c>
      <c r="C466" s="1" t="n">
        <v>45895</v>
      </c>
      <c r="D466" t="inlineStr">
        <is>
          <t>NORRBOTTENS LÄN</t>
        </is>
      </c>
      <c r="E466" t="inlineStr">
        <is>
          <t>PAJALA</t>
        </is>
      </c>
      <c r="F466" t="inlineStr">
        <is>
          <t>Sveaskog</t>
        </is>
      </c>
      <c r="G466" t="n">
        <v>10.7</v>
      </c>
      <c r="H466" t="n">
        <v>1</v>
      </c>
      <c r="I466" t="n">
        <v>0</v>
      </c>
      <c r="J466" t="n">
        <v>0</v>
      </c>
      <c r="K466" t="n">
        <v>0</v>
      </c>
      <c r="L466" t="n">
        <v>0</v>
      </c>
      <c r="M466" t="n">
        <v>0</v>
      </c>
      <c r="N466" t="n">
        <v>0</v>
      </c>
      <c r="O466" t="n">
        <v>0</v>
      </c>
      <c r="P466" t="n">
        <v>0</v>
      </c>
      <c r="Q466" t="n">
        <v>1</v>
      </c>
      <c r="R466" s="2" t="inlineStr">
        <is>
          <t>Revlummer</t>
        </is>
      </c>
      <c r="S466">
        <f>HYPERLINK("https://klasma.github.io/Logging_2521/artfynd/A 39289-2021 artfynd.xlsx", "A 39289-2021")</f>
        <v/>
      </c>
      <c r="T466">
        <f>HYPERLINK("https://klasma.github.io/Logging_2521/kartor/A 39289-2021 karta.png", "A 39289-2021")</f>
        <v/>
      </c>
      <c r="V466">
        <f>HYPERLINK("https://klasma.github.io/Logging_2521/klagomål/A 39289-2021 FSC-klagomål.docx", "A 39289-2021")</f>
        <v/>
      </c>
      <c r="W466">
        <f>HYPERLINK("https://klasma.github.io/Logging_2521/klagomålsmail/A 39289-2021 FSC-klagomål mail.docx", "A 39289-2021")</f>
        <v/>
      </c>
      <c r="X466">
        <f>HYPERLINK("https://klasma.github.io/Logging_2521/tillsyn/A 39289-2021 tillsynsbegäran.docx", "A 39289-2021")</f>
        <v/>
      </c>
      <c r="Y466">
        <f>HYPERLINK("https://klasma.github.io/Logging_2521/tillsynsmail/A 39289-2021 tillsynsbegäran mail.docx", "A 39289-2021")</f>
        <v/>
      </c>
    </row>
    <row r="467" ht="15" customHeight="1">
      <c r="A467" t="inlineStr">
        <is>
          <t>A 30881-2021</t>
        </is>
      </c>
      <c r="B467" s="1" t="n">
        <v>44365</v>
      </c>
      <c r="C467" s="1" t="n">
        <v>45895</v>
      </c>
      <c r="D467" t="inlineStr">
        <is>
          <t>NORRBOTTENS LÄN</t>
        </is>
      </c>
      <c r="E467" t="inlineStr">
        <is>
          <t>BODEN</t>
        </is>
      </c>
      <c r="F467" t="inlineStr">
        <is>
          <t>Sveaskog</t>
        </is>
      </c>
      <c r="G467" t="n">
        <v>1</v>
      </c>
      <c r="H467" t="n">
        <v>0</v>
      </c>
      <c r="I467" t="n">
        <v>0</v>
      </c>
      <c r="J467" t="n">
        <v>0</v>
      </c>
      <c r="K467" t="n">
        <v>1</v>
      </c>
      <c r="L467" t="n">
        <v>0</v>
      </c>
      <c r="M467" t="n">
        <v>0</v>
      </c>
      <c r="N467" t="n">
        <v>0</v>
      </c>
      <c r="O467" t="n">
        <v>1</v>
      </c>
      <c r="P467" t="n">
        <v>1</v>
      </c>
      <c r="Q467" t="n">
        <v>1</v>
      </c>
      <c r="R467" s="2" t="inlineStr">
        <is>
          <t>Tallgråticka</t>
        </is>
      </c>
      <c r="S467">
        <f>HYPERLINK("https://klasma.github.io/Logging_2582/artfynd/A 30881-2021 artfynd.xlsx", "A 30881-2021")</f>
        <v/>
      </c>
      <c r="T467">
        <f>HYPERLINK("https://klasma.github.io/Logging_2582/kartor/A 30881-2021 karta.png", "A 30881-2021")</f>
        <v/>
      </c>
      <c r="V467">
        <f>HYPERLINK("https://klasma.github.io/Logging_2582/klagomål/A 30881-2021 FSC-klagomål.docx", "A 30881-2021")</f>
        <v/>
      </c>
      <c r="W467">
        <f>HYPERLINK("https://klasma.github.io/Logging_2582/klagomålsmail/A 30881-2021 FSC-klagomål mail.docx", "A 30881-2021")</f>
        <v/>
      </c>
      <c r="X467">
        <f>HYPERLINK("https://klasma.github.io/Logging_2582/tillsyn/A 30881-2021 tillsynsbegäran.docx", "A 30881-2021")</f>
        <v/>
      </c>
      <c r="Y467">
        <f>HYPERLINK("https://klasma.github.io/Logging_2582/tillsynsmail/A 30881-2021 tillsynsbegäran mail.docx", "A 30881-2021")</f>
        <v/>
      </c>
    </row>
    <row r="468" ht="15" customHeight="1">
      <c r="A468" t="inlineStr">
        <is>
          <t>A 25517-2021</t>
        </is>
      </c>
      <c r="B468" s="1" t="n">
        <v>44342</v>
      </c>
      <c r="C468" s="1" t="n">
        <v>45895</v>
      </c>
      <c r="D468" t="inlineStr">
        <is>
          <t>NORRBOTTENS LÄN</t>
        </is>
      </c>
      <c r="E468" t="inlineStr">
        <is>
          <t>PITEÅ</t>
        </is>
      </c>
      <c r="F468" t="inlineStr">
        <is>
          <t>SCA</t>
        </is>
      </c>
      <c r="G468" t="n">
        <v>2.3</v>
      </c>
      <c r="H468" t="n">
        <v>0</v>
      </c>
      <c r="I468" t="n">
        <v>1</v>
      </c>
      <c r="J468" t="n">
        <v>0</v>
      </c>
      <c r="K468" t="n">
        <v>0</v>
      </c>
      <c r="L468" t="n">
        <v>0</v>
      </c>
      <c r="M468" t="n">
        <v>0</v>
      </c>
      <c r="N468" t="n">
        <v>0</v>
      </c>
      <c r="O468" t="n">
        <v>0</v>
      </c>
      <c r="P468" t="n">
        <v>0</v>
      </c>
      <c r="Q468" t="n">
        <v>1</v>
      </c>
      <c r="R468" s="2" t="inlineStr">
        <is>
          <t>Skinnlav</t>
        </is>
      </c>
      <c r="S468">
        <f>HYPERLINK("https://klasma.github.io/Logging_2581/artfynd/A 25517-2021 artfynd.xlsx", "A 25517-2021")</f>
        <v/>
      </c>
      <c r="T468">
        <f>HYPERLINK("https://klasma.github.io/Logging_2581/kartor/A 25517-2021 karta.png", "A 25517-2021")</f>
        <v/>
      </c>
      <c r="V468">
        <f>HYPERLINK("https://klasma.github.io/Logging_2581/klagomål/A 25517-2021 FSC-klagomål.docx", "A 25517-2021")</f>
        <v/>
      </c>
      <c r="W468">
        <f>HYPERLINK("https://klasma.github.io/Logging_2581/klagomålsmail/A 25517-2021 FSC-klagomål mail.docx", "A 25517-2021")</f>
        <v/>
      </c>
      <c r="X468">
        <f>HYPERLINK("https://klasma.github.io/Logging_2581/tillsyn/A 25517-2021 tillsynsbegäran.docx", "A 25517-2021")</f>
        <v/>
      </c>
      <c r="Y468">
        <f>HYPERLINK("https://klasma.github.io/Logging_2581/tillsynsmail/A 25517-2021 tillsynsbegäran mail.docx", "A 25517-2021")</f>
        <v/>
      </c>
    </row>
    <row r="469" ht="15" customHeight="1">
      <c r="A469" t="inlineStr">
        <is>
          <t>A 52537-2023</t>
        </is>
      </c>
      <c r="B469" s="1" t="n">
        <v>45225</v>
      </c>
      <c r="C469" s="1" t="n">
        <v>45895</v>
      </c>
      <c r="D469" t="inlineStr">
        <is>
          <t>NORRBOTTENS LÄN</t>
        </is>
      </c>
      <c r="E469" t="inlineStr">
        <is>
          <t>JOKKMOKK</t>
        </is>
      </c>
      <c r="F469" t="inlineStr">
        <is>
          <t>Övriga statliga verk och myndigheter</t>
        </is>
      </c>
      <c r="G469" t="n">
        <v>15.3</v>
      </c>
      <c r="H469" t="n">
        <v>0</v>
      </c>
      <c r="I469" t="n">
        <v>0</v>
      </c>
      <c r="J469" t="n">
        <v>1</v>
      </c>
      <c r="K469" t="n">
        <v>0</v>
      </c>
      <c r="L469" t="n">
        <v>0</v>
      </c>
      <c r="M469" t="n">
        <v>0</v>
      </c>
      <c r="N469" t="n">
        <v>0</v>
      </c>
      <c r="O469" t="n">
        <v>1</v>
      </c>
      <c r="P469" t="n">
        <v>0</v>
      </c>
      <c r="Q469" t="n">
        <v>1</v>
      </c>
      <c r="R469" s="2" t="inlineStr">
        <is>
          <t>Reliktbock</t>
        </is>
      </c>
      <c r="S469">
        <f>HYPERLINK("https://klasma.github.io/Logging_2510/artfynd/A 52537-2023 artfynd.xlsx", "A 52537-2023")</f>
        <v/>
      </c>
      <c r="T469">
        <f>HYPERLINK("https://klasma.github.io/Logging_2510/kartor/A 52537-2023 karta.png", "A 52537-2023")</f>
        <v/>
      </c>
      <c r="V469">
        <f>HYPERLINK("https://klasma.github.io/Logging_2510/klagomål/A 52537-2023 FSC-klagomål.docx", "A 52537-2023")</f>
        <v/>
      </c>
      <c r="W469">
        <f>HYPERLINK("https://klasma.github.io/Logging_2510/klagomålsmail/A 52537-2023 FSC-klagomål mail.docx", "A 52537-2023")</f>
        <v/>
      </c>
      <c r="X469">
        <f>HYPERLINK("https://klasma.github.io/Logging_2510/tillsyn/A 52537-2023 tillsynsbegäran.docx", "A 52537-2023")</f>
        <v/>
      </c>
      <c r="Y469">
        <f>HYPERLINK("https://klasma.github.io/Logging_2510/tillsynsmail/A 52537-2023 tillsynsbegäran mail.docx", "A 52537-2023")</f>
        <v/>
      </c>
    </row>
    <row r="470" ht="15" customHeight="1">
      <c r="A470" t="inlineStr">
        <is>
          <t>A 30239-2021</t>
        </is>
      </c>
      <c r="B470" s="1" t="n">
        <v>44363.75064814815</v>
      </c>
      <c r="C470" s="1" t="n">
        <v>45895</v>
      </c>
      <c r="D470" t="inlineStr">
        <is>
          <t>NORRBOTTENS LÄN</t>
        </is>
      </c>
      <c r="E470" t="inlineStr">
        <is>
          <t>PAJALA</t>
        </is>
      </c>
      <c r="F470" t="inlineStr">
        <is>
          <t>Sveaskog</t>
        </is>
      </c>
      <c r="G470" t="n">
        <v>22.8</v>
      </c>
      <c r="H470" t="n">
        <v>0</v>
      </c>
      <c r="I470" t="n">
        <v>0</v>
      </c>
      <c r="J470" t="n">
        <v>0</v>
      </c>
      <c r="K470" t="n">
        <v>1</v>
      </c>
      <c r="L470" t="n">
        <v>0</v>
      </c>
      <c r="M470" t="n">
        <v>0</v>
      </c>
      <c r="N470" t="n">
        <v>0</v>
      </c>
      <c r="O470" t="n">
        <v>1</v>
      </c>
      <c r="P470" t="n">
        <v>1</v>
      </c>
      <c r="Q470" t="n">
        <v>1</v>
      </c>
      <c r="R470" s="2" t="inlineStr">
        <is>
          <t>Gräddporing</t>
        </is>
      </c>
      <c r="S470">
        <f>HYPERLINK("https://klasma.github.io/Logging_2521/artfynd/A 30239-2021 artfynd.xlsx", "A 30239-2021")</f>
        <v/>
      </c>
      <c r="T470">
        <f>HYPERLINK("https://klasma.github.io/Logging_2521/kartor/A 30239-2021 karta.png", "A 30239-2021")</f>
        <v/>
      </c>
      <c r="V470">
        <f>HYPERLINK("https://klasma.github.io/Logging_2521/klagomål/A 30239-2021 FSC-klagomål.docx", "A 30239-2021")</f>
        <v/>
      </c>
      <c r="W470">
        <f>HYPERLINK("https://klasma.github.io/Logging_2521/klagomålsmail/A 30239-2021 FSC-klagomål mail.docx", "A 30239-2021")</f>
        <v/>
      </c>
      <c r="X470">
        <f>HYPERLINK("https://klasma.github.io/Logging_2521/tillsyn/A 30239-2021 tillsynsbegäran.docx", "A 30239-2021")</f>
        <v/>
      </c>
      <c r="Y470">
        <f>HYPERLINK("https://klasma.github.io/Logging_2521/tillsynsmail/A 30239-2021 tillsynsbegäran mail.docx", "A 30239-2021")</f>
        <v/>
      </c>
    </row>
    <row r="471" ht="15" customHeight="1">
      <c r="A471" t="inlineStr">
        <is>
          <t>A 67324-2020</t>
        </is>
      </c>
      <c r="B471" s="1" t="n">
        <v>44181</v>
      </c>
      <c r="C471" s="1" t="n">
        <v>45895</v>
      </c>
      <c r="D471" t="inlineStr">
        <is>
          <t>NORRBOTTENS LÄN</t>
        </is>
      </c>
      <c r="E471" t="inlineStr">
        <is>
          <t>KALIX</t>
        </is>
      </c>
      <c r="F471" t="inlineStr">
        <is>
          <t>Sveaskog</t>
        </is>
      </c>
      <c r="G471" t="n">
        <v>3.4</v>
      </c>
      <c r="H471" t="n">
        <v>0</v>
      </c>
      <c r="I471" t="n">
        <v>0</v>
      </c>
      <c r="J471" t="n">
        <v>1</v>
      </c>
      <c r="K471" t="n">
        <v>0</v>
      </c>
      <c r="L471" t="n">
        <v>0</v>
      </c>
      <c r="M471" t="n">
        <v>0</v>
      </c>
      <c r="N471" t="n">
        <v>0</v>
      </c>
      <c r="O471" t="n">
        <v>1</v>
      </c>
      <c r="P471" t="n">
        <v>0</v>
      </c>
      <c r="Q471" t="n">
        <v>1</v>
      </c>
      <c r="R471" s="2" t="inlineStr">
        <is>
          <t>Gammelgransskål</t>
        </is>
      </c>
      <c r="S471">
        <f>HYPERLINK("https://klasma.github.io/Logging_2514/artfynd/A 67324-2020 artfynd.xlsx", "A 67324-2020")</f>
        <v/>
      </c>
      <c r="T471">
        <f>HYPERLINK("https://klasma.github.io/Logging_2514/kartor/A 67324-2020 karta.png", "A 67324-2020")</f>
        <v/>
      </c>
      <c r="V471">
        <f>HYPERLINK("https://klasma.github.io/Logging_2514/klagomål/A 67324-2020 FSC-klagomål.docx", "A 67324-2020")</f>
        <v/>
      </c>
      <c r="W471">
        <f>HYPERLINK("https://klasma.github.io/Logging_2514/klagomålsmail/A 67324-2020 FSC-klagomål mail.docx", "A 67324-2020")</f>
        <v/>
      </c>
      <c r="X471">
        <f>HYPERLINK("https://klasma.github.io/Logging_2514/tillsyn/A 67324-2020 tillsynsbegäran.docx", "A 67324-2020")</f>
        <v/>
      </c>
      <c r="Y471">
        <f>HYPERLINK("https://klasma.github.io/Logging_2514/tillsynsmail/A 67324-2020 tillsynsbegäran mail.docx", "A 67324-2020")</f>
        <v/>
      </c>
    </row>
    <row r="472" ht="15" customHeight="1">
      <c r="A472" t="inlineStr">
        <is>
          <t>A 34186-2022</t>
        </is>
      </c>
      <c r="B472" s="1" t="n">
        <v>44791.61888888889</v>
      </c>
      <c r="C472" s="1" t="n">
        <v>45895</v>
      </c>
      <c r="D472" t="inlineStr">
        <is>
          <t>NORRBOTTENS LÄN</t>
        </is>
      </c>
      <c r="E472" t="inlineStr">
        <is>
          <t>ÖVERTORNEÅ</t>
        </is>
      </c>
      <c r="F472" t="inlineStr">
        <is>
          <t>Sveaskog</t>
        </is>
      </c>
      <c r="G472" t="n">
        <v>33</v>
      </c>
      <c r="H472" t="n">
        <v>0</v>
      </c>
      <c r="I472" t="n">
        <v>1</v>
      </c>
      <c r="J472" t="n">
        <v>0</v>
      </c>
      <c r="K472" t="n">
        <v>0</v>
      </c>
      <c r="L472" t="n">
        <v>0</v>
      </c>
      <c r="M472" t="n">
        <v>0</v>
      </c>
      <c r="N472" t="n">
        <v>0</v>
      </c>
      <c r="O472" t="n">
        <v>0</v>
      </c>
      <c r="P472" t="n">
        <v>0</v>
      </c>
      <c r="Q472" t="n">
        <v>1</v>
      </c>
      <c r="R472" s="2" t="inlineStr">
        <is>
          <t>Stor aspticka</t>
        </is>
      </c>
      <c r="S472">
        <f>HYPERLINK("https://klasma.github.io/Logging_2518/artfynd/A 34186-2022 artfynd.xlsx", "A 34186-2022")</f>
        <v/>
      </c>
      <c r="T472">
        <f>HYPERLINK("https://klasma.github.io/Logging_2518/kartor/A 34186-2022 karta.png", "A 34186-2022")</f>
        <v/>
      </c>
      <c r="V472">
        <f>HYPERLINK("https://klasma.github.io/Logging_2518/klagomål/A 34186-2022 FSC-klagomål.docx", "A 34186-2022")</f>
        <v/>
      </c>
      <c r="W472">
        <f>HYPERLINK("https://klasma.github.io/Logging_2518/klagomålsmail/A 34186-2022 FSC-klagomål mail.docx", "A 34186-2022")</f>
        <v/>
      </c>
      <c r="X472">
        <f>HYPERLINK("https://klasma.github.io/Logging_2518/tillsyn/A 34186-2022 tillsynsbegäran.docx", "A 34186-2022")</f>
        <v/>
      </c>
      <c r="Y472">
        <f>HYPERLINK("https://klasma.github.io/Logging_2518/tillsynsmail/A 34186-2022 tillsynsbegäran mail.docx", "A 34186-2022")</f>
        <v/>
      </c>
    </row>
    <row r="473" ht="15" customHeight="1">
      <c r="A473" t="inlineStr">
        <is>
          <t>A 40466-2023</t>
        </is>
      </c>
      <c r="B473" s="1" t="n">
        <v>45170</v>
      </c>
      <c r="C473" s="1" t="n">
        <v>45895</v>
      </c>
      <c r="D473" t="inlineStr">
        <is>
          <t>NORRBOTTENS LÄN</t>
        </is>
      </c>
      <c r="E473" t="inlineStr">
        <is>
          <t>JOKKMOKK</t>
        </is>
      </c>
      <c r="F473" t="inlineStr">
        <is>
          <t>Sveaskog</t>
        </is>
      </c>
      <c r="G473" t="n">
        <v>1.5</v>
      </c>
      <c r="H473" t="n">
        <v>0</v>
      </c>
      <c r="I473" t="n">
        <v>0</v>
      </c>
      <c r="J473" t="n">
        <v>1</v>
      </c>
      <c r="K473" t="n">
        <v>0</v>
      </c>
      <c r="L473" t="n">
        <v>0</v>
      </c>
      <c r="M473" t="n">
        <v>0</v>
      </c>
      <c r="N473" t="n">
        <v>0</v>
      </c>
      <c r="O473" t="n">
        <v>1</v>
      </c>
      <c r="P473" t="n">
        <v>0</v>
      </c>
      <c r="Q473" t="n">
        <v>1</v>
      </c>
      <c r="R473" s="2" t="inlineStr">
        <is>
          <t>Motaggsvamp</t>
        </is>
      </c>
      <c r="S473">
        <f>HYPERLINK("https://klasma.github.io/Logging_2510/artfynd/A 40466-2023 artfynd.xlsx", "A 40466-2023")</f>
        <v/>
      </c>
      <c r="T473">
        <f>HYPERLINK("https://klasma.github.io/Logging_2510/kartor/A 40466-2023 karta.png", "A 40466-2023")</f>
        <v/>
      </c>
      <c r="V473">
        <f>HYPERLINK("https://klasma.github.io/Logging_2510/klagomål/A 40466-2023 FSC-klagomål.docx", "A 40466-2023")</f>
        <v/>
      </c>
      <c r="W473">
        <f>HYPERLINK("https://klasma.github.io/Logging_2510/klagomålsmail/A 40466-2023 FSC-klagomål mail.docx", "A 40466-2023")</f>
        <v/>
      </c>
      <c r="X473">
        <f>HYPERLINK("https://klasma.github.io/Logging_2510/tillsyn/A 40466-2023 tillsynsbegäran.docx", "A 40466-2023")</f>
        <v/>
      </c>
      <c r="Y473">
        <f>HYPERLINK("https://klasma.github.io/Logging_2510/tillsynsmail/A 40466-2023 tillsynsbegäran mail.docx", "A 40466-2023")</f>
        <v/>
      </c>
    </row>
    <row r="474" ht="15" customHeight="1">
      <c r="A474" t="inlineStr">
        <is>
          <t>A 51875-2020</t>
        </is>
      </c>
      <c r="B474" s="1" t="n">
        <v>44109</v>
      </c>
      <c r="C474" s="1" t="n">
        <v>45895</v>
      </c>
      <c r="D474" t="inlineStr">
        <is>
          <t>NORRBOTTENS LÄN</t>
        </is>
      </c>
      <c r="E474" t="inlineStr">
        <is>
          <t>JOKKMOKK</t>
        </is>
      </c>
      <c r="F474" t="inlineStr">
        <is>
          <t>Allmännings- och besparingsskogar</t>
        </is>
      </c>
      <c r="G474" t="n">
        <v>28</v>
      </c>
      <c r="H474" t="n">
        <v>0</v>
      </c>
      <c r="I474" t="n">
        <v>0</v>
      </c>
      <c r="J474" t="n">
        <v>1</v>
      </c>
      <c r="K474" t="n">
        <v>0</v>
      </c>
      <c r="L474" t="n">
        <v>0</v>
      </c>
      <c r="M474" t="n">
        <v>0</v>
      </c>
      <c r="N474" t="n">
        <v>0</v>
      </c>
      <c r="O474" t="n">
        <v>1</v>
      </c>
      <c r="P474" t="n">
        <v>0</v>
      </c>
      <c r="Q474" t="n">
        <v>1</v>
      </c>
      <c r="R474" s="2" t="inlineStr">
        <is>
          <t>Vitplätt</t>
        </is>
      </c>
      <c r="S474">
        <f>HYPERLINK("https://klasma.github.io/Logging_2510/artfynd/A 51875-2020 artfynd.xlsx", "A 51875-2020")</f>
        <v/>
      </c>
      <c r="T474">
        <f>HYPERLINK("https://klasma.github.io/Logging_2510/kartor/A 51875-2020 karta.png", "A 51875-2020")</f>
        <v/>
      </c>
      <c r="V474">
        <f>HYPERLINK("https://klasma.github.io/Logging_2510/klagomål/A 51875-2020 FSC-klagomål.docx", "A 51875-2020")</f>
        <v/>
      </c>
      <c r="W474">
        <f>HYPERLINK("https://klasma.github.io/Logging_2510/klagomålsmail/A 51875-2020 FSC-klagomål mail.docx", "A 51875-2020")</f>
        <v/>
      </c>
      <c r="X474">
        <f>HYPERLINK("https://klasma.github.io/Logging_2510/tillsyn/A 51875-2020 tillsynsbegäran.docx", "A 51875-2020")</f>
        <v/>
      </c>
      <c r="Y474">
        <f>HYPERLINK("https://klasma.github.io/Logging_2510/tillsynsmail/A 51875-2020 tillsynsbegäran mail.docx", "A 51875-2020")</f>
        <v/>
      </c>
    </row>
    <row r="475" ht="15" customHeight="1">
      <c r="A475" t="inlineStr">
        <is>
          <t>A 23157-2024</t>
        </is>
      </c>
      <c r="B475" s="1" t="n">
        <v>45450</v>
      </c>
      <c r="C475" s="1" t="n">
        <v>45895</v>
      </c>
      <c r="D475" t="inlineStr">
        <is>
          <t>NORRBOTTENS LÄN</t>
        </is>
      </c>
      <c r="E475" t="inlineStr">
        <is>
          <t>ÖVERKALIX</t>
        </is>
      </c>
      <c r="F475" t="inlineStr">
        <is>
          <t>Sveaskog</t>
        </is>
      </c>
      <c r="G475" t="n">
        <v>5.9</v>
      </c>
      <c r="H475" t="n">
        <v>0</v>
      </c>
      <c r="I475" t="n">
        <v>1</v>
      </c>
      <c r="J475" t="n">
        <v>0</v>
      </c>
      <c r="K475" t="n">
        <v>0</v>
      </c>
      <c r="L475" t="n">
        <v>0</v>
      </c>
      <c r="M475" t="n">
        <v>0</v>
      </c>
      <c r="N475" t="n">
        <v>0</v>
      </c>
      <c r="O475" t="n">
        <v>0</v>
      </c>
      <c r="P475" t="n">
        <v>0</v>
      </c>
      <c r="Q475" t="n">
        <v>1</v>
      </c>
      <c r="R475" s="2" t="inlineStr">
        <is>
          <t>Bollvitmossa</t>
        </is>
      </c>
      <c r="S475">
        <f>HYPERLINK("https://klasma.github.io/Logging_2513/artfynd/A 23157-2024 artfynd.xlsx", "A 23157-2024")</f>
        <v/>
      </c>
      <c r="T475">
        <f>HYPERLINK("https://klasma.github.io/Logging_2513/kartor/A 23157-2024 karta.png", "A 23157-2024")</f>
        <v/>
      </c>
      <c r="V475">
        <f>HYPERLINK("https://klasma.github.io/Logging_2513/klagomål/A 23157-2024 FSC-klagomål.docx", "A 23157-2024")</f>
        <v/>
      </c>
      <c r="W475">
        <f>HYPERLINK("https://klasma.github.io/Logging_2513/klagomålsmail/A 23157-2024 FSC-klagomål mail.docx", "A 23157-2024")</f>
        <v/>
      </c>
      <c r="X475">
        <f>HYPERLINK("https://klasma.github.io/Logging_2513/tillsyn/A 23157-2024 tillsynsbegäran.docx", "A 23157-2024")</f>
        <v/>
      </c>
      <c r="Y475">
        <f>HYPERLINK("https://klasma.github.io/Logging_2513/tillsynsmail/A 23157-2024 tillsynsbegäran mail.docx", "A 23157-2024")</f>
        <v/>
      </c>
    </row>
    <row r="476" ht="15" customHeight="1">
      <c r="A476" t="inlineStr">
        <is>
          <t>A 18678-2025</t>
        </is>
      </c>
      <c r="B476" s="1" t="n">
        <v>45763.60056712963</v>
      </c>
      <c r="C476" s="1" t="n">
        <v>45895</v>
      </c>
      <c r="D476" t="inlineStr">
        <is>
          <t>NORRBOTTENS LÄN</t>
        </is>
      </c>
      <c r="E476" t="inlineStr">
        <is>
          <t>BODEN</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HYPERLINK("https://klasma.github.io/Logging_2582/artfynd/A 18678-2025 artfynd.xlsx", "A 18678-2025")</f>
        <v/>
      </c>
      <c r="T476">
        <f>HYPERLINK("https://klasma.github.io/Logging_2582/kartor/A 18678-2025 karta.png", "A 18678-2025")</f>
        <v/>
      </c>
      <c r="V476">
        <f>HYPERLINK("https://klasma.github.io/Logging_2582/klagomål/A 18678-2025 FSC-klagomål.docx", "A 18678-2025")</f>
        <v/>
      </c>
      <c r="W476">
        <f>HYPERLINK("https://klasma.github.io/Logging_2582/klagomålsmail/A 18678-2025 FSC-klagomål mail.docx", "A 18678-2025")</f>
        <v/>
      </c>
      <c r="X476">
        <f>HYPERLINK("https://klasma.github.io/Logging_2582/tillsyn/A 18678-2025 tillsynsbegäran.docx", "A 18678-2025")</f>
        <v/>
      </c>
      <c r="Y476">
        <f>HYPERLINK("https://klasma.github.io/Logging_2582/tillsynsmail/A 18678-2025 tillsynsbegäran mail.docx", "A 18678-2025")</f>
        <v/>
      </c>
    </row>
    <row r="477" ht="15" customHeight="1">
      <c r="A477" t="inlineStr">
        <is>
          <t>A 20562-2025</t>
        </is>
      </c>
      <c r="B477" s="1" t="n">
        <v>45775.65873842593</v>
      </c>
      <c r="C477" s="1" t="n">
        <v>45895</v>
      </c>
      <c r="D477" t="inlineStr">
        <is>
          <t>NORRBOTTENS LÄN</t>
        </is>
      </c>
      <c r="E477" t="inlineStr">
        <is>
          <t>PITEÅ</t>
        </is>
      </c>
      <c r="F477" t="inlineStr">
        <is>
          <t>Sveaskog</t>
        </is>
      </c>
      <c r="G477" t="n">
        <v>3.2</v>
      </c>
      <c r="H477" t="n">
        <v>0</v>
      </c>
      <c r="I477" t="n">
        <v>0</v>
      </c>
      <c r="J477" t="n">
        <v>1</v>
      </c>
      <c r="K477" t="n">
        <v>0</v>
      </c>
      <c r="L477" t="n">
        <v>0</v>
      </c>
      <c r="M477" t="n">
        <v>0</v>
      </c>
      <c r="N477" t="n">
        <v>0</v>
      </c>
      <c r="O477" t="n">
        <v>1</v>
      </c>
      <c r="P477" t="n">
        <v>0</v>
      </c>
      <c r="Q477" t="n">
        <v>1</v>
      </c>
      <c r="R477" s="2" t="inlineStr">
        <is>
          <t>Violmussling</t>
        </is>
      </c>
      <c r="S477">
        <f>HYPERLINK("https://klasma.github.io/Logging_2581/artfynd/A 20562-2025 artfynd.xlsx", "A 20562-2025")</f>
        <v/>
      </c>
      <c r="T477">
        <f>HYPERLINK("https://klasma.github.io/Logging_2581/kartor/A 20562-2025 karta.png", "A 20562-2025")</f>
        <v/>
      </c>
      <c r="V477">
        <f>HYPERLINK("https://klasma.github.io/Logging_2581/klagomål/A 20562-2025 FSC-klagomål.docx", "A 20562-2025")</f>
        <v/>
      </c>
      <c r="W477">
        <f>HYPERLINK("https://klasma.github.io/Logging_2581/klagomålsmail/A 20562-2025 FSC-klagomål mail.docx", "A 20562-2025")</f>
        <v/>
      </c>
      <c r="X477">
        <f>HYPERLINK("https://klasma.github.io/Logging_2581/tillsyn/A 20562-2025 tillsynsbegäran.docx", "A 20562-2025")</f>
        <v/>
      </c>
      <c r="Y477">
        <f>HYPERLINK("https://klasma.github.io/Logging_2581/tillsynsmail/A 20562-2025 tillsynsbegäran mail.docx", "A 20562-2025")</f>
        <v/>
      </c>
    </row>
    <row r="478" ht="15" customHeight="1">
      <c r="A478" t="inlineStr">
        <is>
          <t>A 37818-2024</t>
        </is>
      </c>
      <c r="B478" s="1" t="n">
        <v>45544</v>
      </c>
      <c r="C478" s="1" t="n">
        <v>45895</v>
      </c>
      <c r="D478" t="inlineStr">
        <is>
          <t>NORRBOTTENS LÄN</t>
        </is>
      </c>
      <c r="E478" t="inlineStr">
        <is>
          <t>PITEÅ</t>
        </is>
      </c>
      <c r="G478" t="n">
        <v>3.1</v>
      </c>
      <c r="H478" t="n">
        <v>0</v>
      </c>
      <c r="I478" t="n">
        <v>0</v>
      </c>
      <c r="J478" t="n">
        <v>1</v>
      </c>
      <c r="K478" t="n">
        <v>0</v>
      </c>
      <c r="L478" t="n">
        <v>0</v>
      </c>
      <c r="M478" t="n">
        <v>0</v>
      </c>
      <c r="N478" t="n">
        <v>0</v>
      </c>
      <c r="O478" t="n">
        <v>1</v>
      </c>
      <c r="P478" t="n">
        <v>0</v>
      </c>
      <c r="Q478" t="n">
        <v>1</v>
      </c>
      <c r="R478" s="2" t="inlineStr">
        <is>
          <t>Kolflarnlav</t>
        </is>
      </c>
      <c r="S478">
        <f>HYPERLINK("https://klasma.github.io/Logging_2581/artfynd/A 37818-2024 artfynd.xlsx", "A 37818-2024")</f>
        <v/>
      </c>
      <c r="T478">
        <f>HYPERLINK("https://klasma.github.io/Logging_2581/kartor/A 37818-2024 karta.png", "A 37818-2024")</f>
        <v/>
      </c>
      <c r="V478">
        <f>HYPERLINK("https://klasma.github.io/Logging_2581/klagomål/A 37818-2024 FSC-klagomål.docx", "A 37818-2024")</f>
        <v/>
      </c>
      <c r="W478">
        <f>HYPERLINK("https://klasma.github.io/Logging_2581/klagomålsmail/A 37818-2024 FSC-klagomål mail.docx", "A 37818-2024")</f>
        <v/>
      </c>
      <c r="X478">
        <f>HYPERLINK("https://klasma.github.io/Logging_2581/tillsyn/A 37818-2024 tillsynsbegäran.docx", "A 37818-2024")</f>
        <v/>
      </c>
      <c r="Y478">
        <f>HYPERLINK("https://klasma.github.io/Logging_2581/tillsynsmail/A 37818-2024 tillsynsbegäran mail.docx", "A 37818-2024")</f>
        <v/>
      </c>
    </row>
    <row r="479" ht="15" customHeight="1">
      <c r="A479" t="inlineStr">
        <is>
          <t>A 33834-2024</t>
        </is>
      </c>
      <c r="B479" s="1" t="n">
        <v>45520</v>
      </c>
      <c r="C479" s="1" t="n">
        <v>45895</v>
      </c>
      <c r="D479" t="inlineStr">
        <is>
          <t>NORRBOTTENS LÄN</t>
        </is>
      </c>
      <c r="E479" t="inlineStr">
        <is>
          <t>ÖVERKALIX</t>
        </is>
      </c>
      <c r="F479" t="inlineStr">
        <is>
          <t>Sveaskog</t>
        </is>
      </c>
      <c r="G479" t="n">
        <v>8.300000000000001</v>
      </c>
      <c r="H479" t="n">
        <v>0</v>
      </c>
      <c r="I479" t="n">
        <v>1</v>
      </c>
      <c r="J479" t="n">
        <v>0</v>
      </c>
      <c r="K479" t="n">
        <v>0</v>
      </c>
      <c r="L479" t="n">
        <v>0</v>
      </c>
      <c r="M479" t="n">
        <v>0</v>
      </c>
      <c r="N479" t="n">
        <v>0</v>
      </c>
      <c r="O479" t="n">
        <v>0</v>
      </c>
      <c r="P479" t="n">
        <v>0</v>
      </c>
      <c r="Q479" t="n">
        <v>1</v>
      </c>
      <c r="R479" s="2" t="inlineStr">
        <is>
          <t>Dropptaggsvamp</t>
        </is>
      </c>
      <c r="S479">
        <f>HYPERLINK("https://klasma.github.io/Logging_2513/artfynd/A 33834-2024 artfynd.xlsx", "A 33834-2024")</f>
        <v/>
      </c>
      <c r="T479">
        <f>HYPERLINK("https://klasma.github.io/Logging_2513/kartor/A 33834-2024 karta.png", "A 33834-2024")</f>
        <v/>
      </c>
      <c r="V479">
        <f>HYPERLINK("https://klasma.github.io/Logging_2513/klagomål/A 33834-2024 FSC-klagomål.docx", "A 33834-2024")</f>
        <v/>
      </c>
      <c r="W479">
        <f>HYPERLINK("https://klasma.github.io/Logging_2513/klagomålsmail/A 33834-2024 FSC-klagomål mail.docx", "A 33834-2024")</f>
        <v/>
      </c>
      <c r="X479">
        <f>HYPERLINK("https://klasma.github.io/Logging_2513/tillsyn/A 33834-2024 tillsynsbegäran.docx", "A 33834-2024")</f>
        <v/>
      </c>
      <c r="Y479">
        <f>HYPERLINK("https://klasma.github.io/Logging_2513/tillsynsmail/A 33834-2024 tillsynsbegäran mail.docx", "A 33834-2024")</f>
        <v/>
      </c>
    </row>
    <row r="480" ht="15" customHeight="1">
      <c r="A480" t="inlineStr">
        <is>
          <t>A 18043-2024</t>
        </is>
      </c>
      <c r="B480" s="1" t="n">
        <v>45420</v>
      </c>
      <c r="C480" s="1" t="n">
        <v>45895</v>
      </c>
      <c r="D480" t="inlineStr">
        <is>
          <t>NORRBOTTENS LÄN</t>
        </is>
      </c>
      <c r="E480" t="inlineStr">
        <is>
          <t>GÄLLIVARE</t>
        </is>
      </c>
      <c r="G480" t="n">
        <v>35.5</v>
      </c>
      <c r="H480" t="n">
        <v>0</v>
      </c>
      <c r="I480" t="n">
        <v>0</v>
      </c>
      <c r="J480" t="n">
        <v>1</v>
      </c>
      <c r="K480" t="n">
        <v>0</v>
      </c>
      <c r="L480" t="n">
        <v>0</v>
      </c>
      <c r="M480" t="n">
        <v>0</v>
      </c>
      <c r="N480" t="n">
        <v>0</v>
      </c>
      <c r="O480" t="n">
        <v>1</v>
      </c>
      <c r="P480" t="n">
        <v>0</v>
      </c>
      <c r="Q480" t="n">
        <v>1</v>
      </c>
      <c r="R480" s="2" t="inlineStr">
        <is>
          <t>Garnlav</t>
        </is>
      </c>
      <c r="S480">
        <f>HYPERLINK("https://klasma.github.io/Logging_2523/artfynd/A 18043-2024 artfynd.xlsx", "A 18043-2024")</f>
        <v/>
      </c>
      <c r="T480">
        <f>HYPERLINK("https://klasma.github.io/Logging_2523/kartor/A 18043-2024 karta.png", "A 18043-2024")</f>
        <v/>
      </c>
      <c r="V480">
        <f>HYPERLINK("https://klasma.github.io/Logging_2523/klagomål/A 18043-2024 FSC-klagomål.docx", "A 18043-2024")</f>
        <v/>
      </c>
      <c r="W480">
        <f>HYPERLINK("https://klasma.github.io/Logging_2523/klagomålsmail/A 18043-2024 FSC-klagomål mail.docx", "A 18043-2024")</f>
        <v/>
      </c>
      <c r="X480">
        <f>HYPERLINK("https://klasma.github.io/Logging_2523/tillsyn/A 18043-2024 tillsynsbegäran.docx", "A 18043-2024")</f>
        <v/>
      </c>
      <c r="Y480">
        <f>HYPERLINK("https://klasma.github.io/Logging_2523/tillsynsmail/A 18043-2024 tillsynsbegäran mail.docx", "A 18043-2024")</f>
        <v/>
      </c>
    </row>
    <row r="481" ht="15" customHeight="1">
      <c r="A481" t="inlineStr">
        <is>
          <t>A 23075-2024</t>
        </is>
      </c>
      <c r="B481" s="1" t="n">
        <v>45450</v>
      </c>
      <c r="C481" s="1" t="n">
        <v>45895</v>
      </c>
      <c r="D481" t="inlineStr">
        <is>
          <t>NORRBOTTENS LÄN</t>
        </is>
      </c>
      <c r="E481" t="inlineStr">
        <is>
          <t>PITEÅ</t>
        </is>
      </c>
      <c r="F481" t="inlineStr">
        <is>
          <t>Sveaskog</t>
        </is>
      </c>
      <c r="G481" t="n">
        <v>21.7</v>
      </c>
      <c r="H481" t="n">
        <v>0</v>
      </c>
      <c r="I481" t="n">
        <v>0</v>
      </c>
      <c r="J481" t="n">
        <v>1</v>
      </c>
      <c r="K481" t="n">
        <v>0</v>
      </c>
      <c r="L481" t="n">
        <v>0</v>
      </c>
      <c r="M481" t="n">
        <v>0</v>
      </c>
      <c r="N481" t="n">
        <v>0</v>
      </c>
      <c r="O481" t="n">
        <v>1</v>
      </c>
      <c r="P481" t="n">
        <v>0</v>
      </c>
      <c r="Q481" t="n">
        <v>1</v>
      </c>
      <c r="R481" s="2" t="inlineStr">
        <is>
          <t>Violmussling</t>
        </is>
      </c>
      <c r="S481">
        <f>HYPERLINK("https://klasma.github.io/Logging_2581/artfynd/A 23075-2024 artfynd.xlsx", "A 23075-2024")</f>
        <v/>
      </c>
      <c r="T481">
        <f>HYPERLINK("https://klasma.github.io/Logging_2581/kartor/A 23075-2024 karta.png", "A 23075-2024")</f>
        <v/>
      </c>
      <c r="V481">
        <f>HYPERLINK("https://klasma.github.io/Logging_2581/klagomål/A 23075-2024 FSC-klagomål.docx", "A 23075-2024")</f>
        <v/>
      </c>
      <c r="W481">
        <f>HYPERLINK("https://klasma.github.io/Logging_2581/klagomålsmail/A 23075-2024 FSC-klagomål mail.docx", "A 23075-2024")</f>
        <v/>
      </c>
      <c r="X481">
        <f>HYPERLINK("https://klasma.github.io/Logging_2581/tillsyn/A 23075-2024 tillsynsbegäran.docx", "A 23075-2024")</f>
        <v/>
      </c>
      <c r="Y481">
        <f>HYPERLINK("https://klasma.github.io/Logging_2581/tillsynsmail/A 23075-2024 tillsynsbegäran mail.docx", "A 23075-2024")</f>
        <v/>
      </c>
    </row>
    <row r="482" ht="15" customHeight="1">
      <c r="A482" t="inlineStr">
        <is>
          <t>A 47680-2024</t>
        </is>
      </c>
      <c r="B482" s="1" t="n">
        <v>45588.4158912037</v>
      </c>
      <c r="C482" s="1" t="n">
        <v>45895</v>
      </c>
      <c r="D482" t="inlineStr">
        <is>
          <t>NORRBOTTENS LÄN</t>
        </is>
      </c>
      <c r="E482" t="inlineStr">
        <is>
          <t>ÖVERKALIX</t>
        </is>
      </c>
      <c r="F482" t="inlineStr">
        <is>
          <t>Sveaskog</t>
        </is>
      </c>
      <c r="G482" t="n">
        <v>2.1</v>
      </c>
      <c r="H482" t="n">
        <v>0</v>
      </c>
      <c r="I482" t="n">
        <v>0</v>
      </c>
      <c r="J482" t="n">
        <v>1</v>
      </c>
      <c r="K482" t="n">
        <v>0</v>
      </c>
      <c r="L482" t="n">
        <v>0</v>
      </c>
      <c r="M482" t="n">
        <v>0</v>
      </c>
      <c r="N482" t="n">
        <v>0</v>
      </c>
      <c r="O482" t="n">
        <v>1</v>
      </c>
      <c r="P482" t="n">
        <v>0</v>
      </c>
      <c r="Q482" t="n">
        <v>1</v>
      </c>
      <c r="R482" s="2" t="inlineStr">
        <is>
          <t>Blå taggsvamp</t>
        </is>
      </c>
      <c r="S482">
        <f>HYPERLINK("https://klasma.github.io/Logging_2513/artfynd/A 47680-2024 artfynd.xlsx", "A 47680-2024")</f>
        <v/>
      </c>
      <c r="T482">
        <f>HYPERLINK("https://klasma.github.io/Logging_2513/kartor/A 47680-2024 karta.png", "A 47680-2024")</f>
        <v/>
      </c>
      <c r="V482">
        <f>HYPERLINK("https://klasma.github.io/Logging_2513/klagomål/A 47680-2024 FSC-klagomål.docx", "A 47680-2024")</f>
        <v/>
      </c>
      <c r="W482">
        <f>HYPERLINK("https://klasma.github.io/Logging_2513/klagomålsmail/A 47680-2024 FSC-klagomål mail.docx", "A 47680-2024")</f>
        <v/>
      </c>
      <c r="X482">
        <f>HYPERLINK("https://klasma.github.io/Logging_2513/tillsyn/A 47680-2024 tillsynsbegäran.docx", "A 47680-2024")</f>
        <v/>
      </c>
      <c r="Y482">
        <f>HYPERLINK("https://klasma.github.io/Logging_2513/tillsynsmail/A 47680-2024 tillsynsbegäran mail.docx", "A 47680-2024")</f>
        <v/>
      </c>
    </row>
    <row r="483" ht="15" customHeight="1">
      <c r="A483" t="inlineStr">
        <is>
          <t>A 25528-2024</t>
        </is>
      </c>
      <c r="B483" s="1" t="n">
        <v>45463</v>
      </c>
      <c r="C483" s="1" t="n">
        <v>45895</v>
      </c>
      <c r="D483" t="inlineStr">
        <is>
          <t>NORRBOTTENS LÄN</t>
        </is>
      </c>
      <c r="E483" t="inlineStr">
        <is>
          <t>LULEÅ</t>
        </is>
      </c>
      <c r="G483" t="n">
        <v>1.4</v>
      </c>
      <c r="H483" t="n">
        <v>0</v>
      </c>
      <c r="I483" t="n">
        <v>0</v>
      </c>
      <c r="J483" t="n">
        <v>1</v>
      </c>
      <c r="K483" t="n">
        <v>0</v>
      </c>
      <c r="L483" t="n">
        <v>0</v>
      </c>
      <c r="M483" t="n">
        <v>0</v>
      </c>
      <c r="N483" t="n">
        <v>0</v>
      </c>
      <c r="O483" t="n">
        <v>1</v>
      </c>
      <c r="P483" t="n">
        <v>0</v>
      </c>
      <c r="Q483" t="n">
        <v>1</v>
      </c>
      <c r="R483" s="2" t="inlineStr">
        <is>
          <t>Granticka</t>
        </is>
      </c>
      <c r="S483">
        <f>HYPERLINK("https://klasma.github.io/Logging_2580/artfynd/A 25528-2024 artfynd.xlsx", "A 25528-2024")</f>
        <v/>
      </c>
      <c r="T483">
        <f>HYPERLINK("https://klasma.github.io/Logging_2580/kartor/A 25528-2024 karta.png", "A 25528-2024")</f>
        <v/>
      </c>
      <c r="V483">
        <f>HYPERLINK("https://klasma.github.io/Logging_2580/klagomål/A 25528-2024 FSC-klagomål.docx", "A 25528-2024")</f>
        <v/>
      </c>
      <c r="W483">
        <f>HYPERLINK("https://klasma.github.io/Logging_2580/klagomålsmail/A 25528-2024 FSC-klagomål mail.docx", "A 25528-2024")</f>
        <v/>
      </c>
      <c r="X483">
        <f>HYPERLINK("https://klasma.github.io/Logging_2580/tillsyn/A 25528-2024 tillsynsbegäran.docx", "A 25528-2024")</f>
        <v/>
      </c>
      <c r="Y483">
        <f>HYPERLINK("https://klasma.github.io/Logging_2580/tillsynsmail/A 25528-2024 tillsynsbegäran mail.docx", "A 25528-2024")</f>
        <v/>
      </c>
    </row>
    <row r="484" ht="15" customHeight="1">
      <c r="A484" t="inlineStr">
        <is>
          <t>A 59971-2023</t>
        </is>
      </c>
      <c r="B484" s="1" t="n">
        <v>45254</v>
      </c>
      <c r="C484" s="1" t="n">
        <v>45895</v>
      </c>
      <c r="D484" t="inlineStr">
        <is>
          <t>NORRBOTTENS LÄN</t>
        </is>
      </c>
      <c r="E484" t="inlineStr">
        <is>
          <t>PAJALA</t>
        </is>
      </c>
      <c r="F484" t="inlineStr">
        <is>
          <t>Allmännings- och besparingsskogar</t>
        </is>
      </c>
      <c r="G484" t="n">
        <v>8.300000000000001</v>
      </c>
      <c r="H484" t="n">
        <v>0</v>
      </c>
      <c r="I484" t="n">
        <v>0</v>
      </c>
      <c r="J484" t="n">
        <v>1</v>
      </c>
      <c r="K484" t="n">
        <v>0</v>
      </c>
      <c r="L484" t="n">
        <v>0</v>
      </c>
      <c r="M484" t="n">
        <v>0</v>
      </c>
      <c r="N484" t="n">
        <v>0</v>
      </c>
      <c r="O484" t="n">
        <v>1</v>
      </c>
      <c r="P484" t="n">
        <v>0</v>
      </c>
      <c r="Q484" t="n">
        <v>1</v>
      </c>
      <c r="R484" s="2" t="inlineStr">
        <is>
          <t>Granticka</t>
        </is>
      </c>
      <c r="S484">
        <f>HYPERLINK("https://klasma.github.io/Logging_2521/artfynd/A 59971-2023 artfynd.xlsx", "A 59971-2023")</f>
        <v/>
      </c>
      <c r="T484">
        <f>HYPERLINK("https://klasma.github.io/Logging_2521/kartor/A 59971-2023 karta.png", "A 59971-2023")</f>
        <v/>
      </c>
      <c r="V484">
        <f>HYPERLINK("https://klasma.github.io/Logging_2521/klagomål/A 59971-2023 FSC-klagomål.docx", "A 59971-2023")</f>
        <v/>
      </c>
      <c r="W484">
        <f>HYPERLINK("https://klasma.github.io/Logging_2521/klagomålsmail/A 59971-2023 FSC-klagomål mail.docx", "A 59971-2023")</f>
        <v/>
      </c>
      <c r="X484">
        <f>HYPERLINK("https://klasma.github.io/Logging_2521/tillsyn/A 59971-2023 tillsynsbegäran.docx", "A 59971-2023")</f>
        <v/>
      </c>
      <c r="Y484">
        <f>HYPERLINK("https://klasma.github.io/Logging_2521/tillsynsmail/A 59971-2023 tillsynsbegäran mail.docx", "A 59971-2023")</f>
        <v/>
      </c>
    </row>
    <row r="485" ht="15" customHeight="1">
      <c r="A485" t="inlineStr">
        <is>
          <t>A 60509-2021</t>
        </is>
      </c>
      <c r="B485" s="1" t="n">
        <v>44496</v>
      </c>
      <c r="C485" s="1" t="n">
        <v>45895</v>
      </c>
      <c r="D485" t="inlineStr">
        <is>
          <t>NORRBOTTENS LÄN</t>
        </is>
      </c>
      <c r="E485" t="inlineStr">
        <is>
          <t>ÖVERKALIX</t>
        </is>
      </c>
      <c r="F485" t="inlineStr">
        <is>
          <t>Sveaskog</t>
        </is>
      </c>
      <c r="G485" t="n">
        <v>13.5</v>
      </c>
      <c r="H485" t="n">
        <v>0</v>
      </c>
      <c r="I485" t="n">
        <v>1</v>
      </c>
      <c r="J485" t="n">
        <v>0</v>
      </c>
      <c r="K485" t="n">
        <v>0</v>
      </c>
      <c r="L485" t="n">
        <v>0</v>
      </c>
      <c r="M485" t="n">
        <v>0</v>
      </c>
      <c r="N485" t="n">
        <v>0</v>
      </c>
      <c r="O485" t="n">
        <v>0</v>
      </c>
      <c r="P485" t="n">
        <v>0</v>
      </c>
      <c r="Q485" t="n">
        <v>1</v>
      </c>
      <c r="R485" s="2" t="inlineStr">
        <is>
          <t>Stor aspticka</t>
        </is>
      </c>
      <c r="S485">
        <f>HYPERLINK("https://klasma.github.io/Logging_2513/artfynd/A 60509-2021 artfynd.xlsx", "A 60509-2021")</f>
        <v/>
      </c>
      <c r="T485">
        <f>HYPERLINK("https://klasma.github.io/Logging_2513/kartor/A 60509-2021 karta.png", "A 60509-2021")</f>
        <v/>
      </c>
      <c r="V485">
        <f>HYPERLINK("https://klasma.github.io/Logging_2513/klagomål/A 60509-2021 FSC-klagomål.docx", "A 60509-2021")</f>
        <v/>
      </c>
      <c r="W485">
        <f>HYPERLINK("https://klasma.github.io/Logging_2513/klagomålsmail/A 60509-2021 FSC-klagomål mail.docx", "A 60509-2021")</f>
        <v/>
      </c>
      <c r="X485">
        <f>HYPERLINK("https://klasma.github.io/Logging_2513/tillsyn/A 60509-2021 tillsynsbegäran.docx", "A 60509-2021")</f>
        <v/>
      </c>
      <c r="Y485">
        <f>HYPERLINK("https://klasma.github.io/Logging_2513/tillsynsmail/A 60509-2021 tillsynsbegäran mail.docx", "A 60509-2021")</f>
        <v/>
      </c>
    </row>
    <row r="486" ht="15" customHeight="1">
      <c r="A486" t="inlineStr">
        <is>
          <t>A 53142-2024</t>
        </is>
      </c>
      <c r="B486" s="1" t="n">
        <v>45611</v>
      </c>
      <c r="C486" s="1" t="n">
        <v>45895</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53801-2024</t>
        </is>
      </c>
      <c r="B487" s="1" t="n">
        <v>45615</v>
      </c>
      <c r="C487" s="1" t="n">
        <v>45895</v>
      </c>
      <c r="D487" t="inlineStr">
        <is>
          <t>NORRBOTTENS LÄN</t>
        </is>
      </c>
      <c r="E487" t="inlineStr">
        <is>
          <t>GÄLLIVARE</t>
        </is>
      </c>
      <c r="G487" t="n">
        <v>3.1</v>
      </c>
      <c r="H487" t="n">
        <v>1</v>
      </c>
      <c r="I487" t="n">
        <v>0</v>
      </c>
      <c r="J487" t="n">
        <v>0</v>
      </c>
      <c r="K487" t="n">
        <v>0</v>
      </c>
      <c r="L487" t="n">
        <v>0</v>
      </c>
      <c r="M487" t="n">
        <v>0</v>
      </c>
      <c r="N487" t="n">
        <v>0</v>
      </c>
      <c r="O487" t="n">
        <v>0</v>
      </c>
      <c r="P487" t="n">
        <v>0</v>
      </c>
      <c r="Q487" t="n">
        <v>1</v>
      </c>
      <c r="R487" s="2" t="inlineStr">
        <is>
          <t>Revlummer</t>
        </is>
      </c>
      <c r="S487">
        <f>HYPERLINK("https://klasma.github.io/Logging_2523/artfynd/A 53801-2024 artfynd.xlsx", "A 53801-2024")</f>
        <v/>
      </c>
      <c r="T487">
        <f>HYPERLINK("https://klasma.github.io/Logging_2523/kartor/A 53801-2024 karta.png", "A 53801-2024")</f>
        <v/>
      </c>
      <c r="V487">
        <f>HYPERLINK("https://klasma.github.io/Logging_2523/klagomål/A 53801-2024 FSC-klagomål.docx", "A 53801-2024")</f>
        <v/>
      </c>
      <c r="W487">
        <f>HYPERLINK("https://klasma.github.io/Logging_2523/klagomålsmail/A 53801-2024 FSC-klagomål mail.docx", "A 53801-2024")</f>
        <v/>
      </c>
      <c r="X487">
        <f>HYPERLINK("https://klasma.github.io/Logging_2523/tillsyn/A 53801-2024 tillsynsbegäran.docx", "A 53801-2024")</f>
        <v/>
      </c>
      <c r="Y487">
        <f>HYPERLINK("https://klasma.github.io/Logging_2523/tillsynsmail/A 53801-2024 tillsynsbegäran mail.docx", "A 53801-2024")</f>
        <v/>
      </c>
    </row>
    <row r="488" ht="15" customHeight="1">
      <c r="A488" t="inlineStr">
        <is>
          <t>A 60686-2024</t>
        </is>
      </c>
      <c r="B488" s="1" t="n">
        <v>45644.46938657408</v>
      </c>
      <c r="C488" s="1" t="n">
        <v>45895</v>
      </c>
      <c r="D488" t="inlineStr">
        <is>
          <t>NORRBOTTENS LÄN</t>
        </is>
      </c>
      <c r="E488" t="inlineStr">
        <is>
          <t>PITEÅ</t>
        </is>
      </c>
      <c r="G488" t="n">
        <v>1.3</v>
      </c>
      <c r="H488" t="n">
        <v>0</v>
      </c>
      <c r="I488" t="n">
        <v>1</v>
      </c>
      <c r="J488" t="n">
        <v>0</v>
      </c>
      <c r="K488" t="n">
        <v>0</v>
      </c>
      <c r="L488" t="n">
        <v>0</v>
      </c>
      <c r="M488" t="n">
        <v>0</v>
      </c>
      <c r="N488" t="n">
        <v>0</v>
      </c>
      <c r="O488" t="n">
        <v>0</v>
      </c>
      <c r="P488" t="n">
        <v>0</v>
      </c>
      <c r="Q488" t="n">
        <v>1</v>
      </c>
      <c r="R488" s="2" t="inlineStr">
        <is>
          <t>Norrlandslav</t>
        </is>
      </c>
      <c r="S488">
        <f>HYPERLINK("https://klasma.github.io/Logging_2581/artfynd/A 60686-2024 artfynd.xlsx", "A 60686-2024")</f>
        <v/>
      </c>
      <c r="T488">
        <f>HYPERLINK("https://klasma.github.io/Logging_2581/kartor/A 60686-2024 karta.png", "A 60686-2024")</f>
        <v/>
      </c>
      <c r="V488">
        <f>HYPERLINK("https://klasma.github.io/Logging_2581/klagomål/A 60686-2024 FSC-klagomål.docx", "A 60686-2024")</f>
        <v/>
      </c>
      <c r="W488">
        <f>HYPERLINK("https://klasma.github.io/Logging_2581/klagomålsmail/A 60686-2024 FSC-klagomål mail.docx", "A 60686-2024")</f>
        <v/>
      </c>
      <c r="X488">
        <f>HYPERLINK("https://klasma.github.io/Logging_2581/tillsyn/A 60686-2024 tillsynsbegäran.docx", "A 60686-2024")</f>
        <v/>
      </c>
      <c r="Y488">
        <f>HYPERLINK("https://klasma.github.io/Logging_2581/tillsynsmail/A 60686-2024 tillsynsbegäran mail.docx", "A 60686-2024")</f>
        <v/>
      </c>
    </row>
    <row r="489" ht="15" customHeight="1">
      <c r="A489" t="inlineStr">
        <is>
          <t>A 47700-2022</t>
        </is>
      </c>
      <c r="B489" s="1" t="n">
        <v>44854</v>
      </c>
      <c r="C489" s="1" t="n">
        <v>45895</v>
      </c>
      <c r="D489" t="inlineStr">
        <is>
          <t>NORRBOTTENS LÄN</t>
        </is>
      </c>
      <c r="E489" t="inlineStr">
        <is>
          <t>PAJALA</t>
        </is>
      </c>
      <c r="F489" t="inlineStr">
        <is>
          <t>Sveaskog</t>
        </is>
      </c>
      <c r="G489" t="n">
        <v>2.9</v>
      </c>
      <c r="H489" t="n">
        <v>0</v>
      </c>
      <c r="I489" t="n">
        <v>0</v>
      </c>
      <c r="J489" t="n">
        <v>1</v>
      </c>
      <c r="K489" t="n">
        <v>0</v>
      </c>
      <c r="L489" t="n">
        <v>0</v>
      </c>
      <c r="M489" t="n">
        <v>0</v>
      </c>
      <c r="N489" t="n">
        <v>0</v>
      </c>
      <c r="O489" t="n">
        <v>1</v>
      </c>
      <c r="P489" t="n">
        <v>0</v>
      </c>
      <c r="Q489" t="n">
        <v>1</v>
      </c>
      <c r="R489" s="2" t="inlineStr">
        <is>
          <t>Garnlav</t>
        </is>
      </c>
      <c r="S489">
        <f>HYPERLINK("https://klasma.github.io/Logging_2521/artfynd/A 47700-2022 artfynd.xlsx", "A 47700-2022")</f>
        <v/>
      </c>
      <c r="T489">
        <f>HYPERLINK("https://klasma.github.io/Logging_2521/kartor/A 47700-2022 karta.png", "A 47700-2022")</f>
        <v/>
      </c>
      <c r="V489">
        <f>HYPERLINK("https://klasma.github.io/Logging_2521/klagomål/A 47700-2022 FSC-klagomål.docx", "A 47700-2022")</f>
        <v/>
      </c>
      <c r="W489">
        <f>HYPERLINK("https://klasma.github.io/Logging_2521/klagomålsmail/A 47700-2022 FSC-klagomål mail.docx", "A 47700-2022")</f>
        <v/>
      </c>
      <c r="X489">
        <f>HYPERLINK("https://klasma.github.io/Logging_2521/tillsyn/A 47700-2022 tillsynsbegäran.docx", "A 47700-2022")</f>
        <v/>
      </c>
      <c r="Y489">
        <f>HYPERLINK("https://klasma.github.io/Logging_2521/tillsynsmail/A 47700-2022 tillsynsbegäran mail.docx", "A 47700-2022")</f>
        <v/>
      </c>
    </row>
    <row r="490" ht="15" customHeight="1">
      <c r="A490" t="inlineStr">
        <is>
          <t>A 46952-2024</t>
        </is>
      </c>
      <c r="B490" s="1" t="n">
        <v>45585</v>
      </c>
      <c r="C490" s="1" t="n">
        <v>45895</v>
      </c>
      <c r="D490" t="inlineStr">
        <is>
          <t>NORRBOTTENS LÄN</t>
        </is>
      </c>
      <c r="E490" t="inlineStr">
        <is>
          <t>PAJALA</t>
        </is>
      </c>
      <c r="G490" t="n">
        <v>19.1</v>
      </c>
      <c r="H490" t="n">
        <v>1</v>
      </c>
      <c r="I490" t="n">
        <v>1</v>
      </c>
      <c r="J490" t="n">
        <v>0</v>
      </c>
      <c r="K490" t="n">
        <v>0</v>
      </c>
      <c r="L490" t="n">
        <v>0</v>
      </c>
      <c r="M490" t="n">
        <v>0</v>
      </c>
      <c r="N490" t="n">
        <v>0</v>
      </c>
      <c r="O490" t="n">
        <v>0</v>
      </c>
      <c r="P490" t="n">
        <v>0</v>
      </c>
      <c r="Q490" t="n">
        <v>1</v>
      </c>
      <c r="R490" s="2" t="inlineStr">
        <is>
          <t>Lappranunkel</t>
        </is>
      </c>
      <c r="S490">
        <f>HYPERLINK("https://klasma.github.io/Logging_2521/artfynd/A 46952-2024 artfynd.xlsx", "A 46952-2024")</f>
        <v/>
      </c>
      <c r="T490">
        <f>HYPERLINK("https://klasma.github.io/Logging_2521/kartor/A 46952-2024 karta.png", "A 46952-2024")</f>
        <v/>
      </c>
      <c r="V490">
        <f>HYPERLINK("https://klasma.github.io/Logging_2521/klagomål/A 46952-2024 FSC-klagomål.docx", "A 46952-2024")</f>
        <v/>
      </c>
      <c r="W490">
        <f>HYPERLINK("https://klasma.github.io/Logging_2521/klagomålsmail/A 46952-2024 FSC-klagomål mail.docx", "A 46952-2024")</f>
        <v/>
      </c>
      <c r="X490">
        <f>HYPERLINK("https://klasma.github.io/Logging_2521/tillsyn/A 46952-2024 tillsynsbegäran.docx", "A 46952-2024")</f>
        <v/>
      </c>
      <c r="Y490">
        <f>HYPERLINK("https://klasma.github.io/Logging_2521/tillsynsmail/A 46952-2024 tillsynsbegäran mail.docx", "A 46952-2024")</f>
        <v/>
      </c>
    </row>
    <row r="491" ht="15" customHeight="1">
      <c r="A491" t="inlineStr">
        <is>
          <t>A 56551-2024</t>
        </is>
      </c>
      <c r="B491" s="1" t="n">
        <v>45625</v>
      </c>
      <c r="C491" s="1" t="n">
        <v>45895</v>
      </c>
      <c r="D491" t="inlineStr">
        <is>
          <t>NORRBOTTENS LÄN</t>
        </is>
      </c>
      <c r="E491" t="inlineStr">
        <is>
          <t>ÄLVSBYN</t>
        </is>
      </c>
      <c r="F491" t="inlineStr">
        <is>
          <t>Sveaskog</t>
        </is>
      </c>
      <c r="G491" t="n">
        <v>4.3</v>
      </c>
      <c r="H491" t="n">
        <v>0</v>
      </c>
      <c r="I491" t="n">
        <v>1</v>
      </c>
      <c r="J491" t="n">
        <v>0</v>
      </c>
      <c r="K491" t="n">
        <v>0</v>
      </c>
      <c r="L491" t="n">
        <v>0</v>
      </c>
      <c r="M491" t="n">
        <v>0</v>
      </c>
      <c r="N491" t="n">
        <v>0</v>
      </c>
      <c r="O491" t="n">
        <v>0</v>
      </c>
      <c r="P491" t="n">
        <v>0</v>
      </c>
      <c r="Q491" t="n">
        <v>1</v>
      </c>
      <c r="R491" s="2" t="inlineStr">
        <is>
          <t>Dropptaggsvamp</t>
        </is>
      </c>
      <c r="S491">
        <f>HYPERLINK("https://klasma.github.io/Logging_2560/artfynd/A 56551-2024 artfynd.xlsx", "A 56551-2024")</f>
        <v/>
      </c>
      <c r="T491">
        <f>HYPERLINK("https://klasma.github.io/Logging_2560/kartor/A 56551-2024 karta.png", "A 56551-2024")</f>
        <v/>
      </c>
      <c r="V491">
        <f>HYPERLINK("https://klasma.github.io/Logging_2560/klagomål/A 56551-2024 FSC-klagomål.docx", "A 56551-2024")</f>
        <v/>
      </c>
      <c r="W491">
        <f>HYPERLINK("https://klasma.github.io/Logging_2560/klagomålsmail/A 56551-2024 FSC-klagomål mail.docx", "A 56551-2024")</f>
        <v/>
      </c>
      <c r="X491">
        <f>HYPERLINK("https://klasma.github.io/Logging_2560/tillsyn/A 56551-2024 tillsynsbegäran.docx", "A 56551-2024")</f>
        <v/>
      </c>
      <c r="Y491">
        <f>HYPERLINK("https://klasma.github.io/Logging_2560/tillsynsmail/A 56551-2024 tillsynsbegäran mail.docx", "A 56551-2024")</f>
        <v/>
      </c>
    </row>
    <row r="492" ht="15" customHeight="1">
      <c r="A492" t="inlineStr">
        <is>
          <t>A 22264-2024</t>
        </is>
      </c>
      <c r="B492" s="1" t="n">
        <v>45446</v>
      </c>
      <c r="C492" s="1" t="n">
        <v>45895</v>
      </c>
      <c r="D492" t="inlineStr">
        <is>
          <t>NORRBOTTENS LÄN</t>
        </is>
      </c>
      <c r="E492" t="inlineStr">
        <is>
          <t>BODEN</t>
        </is>
      </c>
      <c r="F492" t="inlineStr">
        <is>
          <t>Sveaskog</t>
        </is>
      </c>
      <c r="G492" t="n">
        <v>16.7</v>
      </c>
      <c r="H492" t="n">
        <v>0</v>
      </c>
      <c r="I492" t="n">
        <v>1</v>
      </c>
      <c r="J492" t="n">
        <v>0</v>
      </c>
      <c r="K492" t="n">
        <v>0</v>
      </c>
      <c r="L492" t="n">
        <v>0</v>
      </c>
      <c r="M492" t="n">
        <v>0</v>
      </c>
      <c r="N492" t="n">
        <v>0</v>
      </c>
      <c r="O492" t="n">
        <v>0</v>
      </c>
      <c r="P492" t="n">
        <v>0</v>
      </c>
      <c r="Q492" t="n">
        <v>1</v>
      </c>
      <c r="R492" s="2" t="inlineStr">
        <is>
          <t>Tibast</t>
        </is>
      </c>
      <c r="S492">
        <f>HYPERLINK("https://klasma.github.io/Logging_2582/artfynd/A 22264-2024 artfynd.xlsx", "A 22264-2024")</f>
        <v/>
      </c>
      <c r="T492">
        <f>HYPERLINK("https://klasma.github.io/Logging_2582/kartor/A 22264-2024 karta.png", "A 22264-2024")</f>
        <v/>
      </c>
      <c r="V492">
        <f>HYPERLINK("https://klasma.github.io/Logging_2582/klagomål/A 22264-2024 FSC-klagomål.docx", "A 22264-2024")</f>
        <v/>
      </c>
      <c r="W492">
        <f>HYPERLINK("https://klasma.github.io/Logging_2582/klagomålsmail/A 22264-2024 FSC-klagomål mail.docx", "A 22264-2024")</f>
        <v/>
      </c>
      <c r="X492">
        <f>HYPERLINK("https://klasma.github.io/Logging_2582/tillsyn/A 22264-2024 tillsynsbegäran.docx", "A 22264-2024")</f>
        <v/>
      </c>
      <c r="Y492">
        <f>HYPERLINK("https://klasma.github.io/Logging_2582/tillsynsmail/A 22264-2024 tillsynsbegäran mail.docx", "A 22264-2024")</f>
        <v/>
      </c>
    </row>
    <row r="493" ht="15" customHeight="1">
      <c r="A493" t="inlineStr">
        <is>
          <t>A 61219-2024</t>
        </is>
      </c>
      <c r="B493" s="1" t="n">
        <v>45645</v>
      </c>
      <c r="C493" s="1" t="n">
        <v>45895</v>
      </c>
      <c r="D493" t="inlineStr">
        <is>
          <t>NORRBOTTENS LÄN</t>
        </is>
      </c>
      <c r="E493" t="inlineStr">
        <is>
          <t>BODEN</t>
        </is>
      </c>
      <c r="F493" t="inlineStr">
        <is>
          <t>Sveaskog</t>
        </is>
      </c>
      <c r="G493" t="n">
        <v>1.5</v>
      </c>
      <c r="H493" t="n">
        <v>0</v>
      </c>
      <c r="I493" t="n">
        <v>0</v>
      </c>
      <c r="J493" t="n">
        <v>1</v>
      </c>
      <c r="K493" t="n">
        <v>0</v>
      </c>
      <c r="L493" t="n">
        <v>0</v>
      </c>
      <c r="M493" t="n">
        <v>0</v>
      </c>
      <c r="N493" t="n">
        <v>0</v>
      </c>
      <c r="O493" t="n">
        <v>1</v>
      </c>
      <c r="P493" t="n">
        <v>0</v>
      </c>
      <c r="Q493" t="n">
        <v>1</v>
      </c>
      <c r="R493" s="2" t="inlineStr">
        <is>
          <t>Tallticka</t>
        </is>
      </c>
      <c r="S493">
        <f>HYPERLINK("https://klasma.github.io/Logging_2582/artfynd/A 61219-2024 artfynd.xlsx", "A 61219-2024")</f>
        <v/>
      </c>
      <c r="T493">
        <f>HYPERLINK("https://klasma.github.io/Logging_2582/kartor/A 61219-2024 karta.png", "A 61219-2024")</f>
        <v/>
      </c>
      <c r="V493">
        <f>HYPERLINK("https://klasma.github.io/Logging_2582/klagomål/A 61219-2024 FSC-klagomål.docx", "A 61219-2024")</f>
        <v/>
      </c>
      <c r="W493">
        <f>HYPERLINK("https://klasma.github.io/Logging_2582/klagomålsmail/A 61219-2024 FSC-klagomål mail.docx", "A 61219-2024")</f>
        <v/>
      </c>
      <c r="X493">
        <f>HYPERLINK("https://klasma.github.io/Logging_2582/tillsyn/A 61219-2024 tillsynsbegäran.docx", "A 61219-2024")</f>
        <v/>
      </c>
      <c r="Y493">
        <f>HYPERLINK("https://klasma.github.io/Logging_2582/tillsynsmail/A 61219-2024 tillsynsbegäran mail.docx", "A 61219-2024")</f>
        <v/>
      </c>
    </row>
    <row r="494" ht="15" customHeight="1">
      <c r="A494" t="inlineStr">
        <is>
          <t>A 42680-2022</t>
        </is>
      </c>
      <c r="B494" s="1" t="n">
        <v>44832.34037037037</v>
      </c>
      <c r="C494" s="1" t="n">
        <v>45895</v>
      </c>
      <c r="D494" t="inlineStr">
        <is>
          <t>NORRBOTTENS LÄN</t>
        </is>
      </c>
      <c r="E494" t="inlineStr">
        <is>
          <t>ÄLVSBYN</t>
        </is>
      </c>
      <c r="F494" t="inlineStr">
        <is>
          <t>Sveaskog</t>
        </is>
      </c>
      <c r="G494" t="n">
        <v>1.7</v>
      </c>
      <c r="H494" t="n">
        <v>0</v>
      </c>
      <c r="I494" t="n">
        <v>0</v>
      </c>
      <c r="J494" t="n">
        <v>1</v>
      </c>
      <c r="K494" t="n">
        <v>0</v>
      </c>
      <c r="L494" t="n">
        <v>0</v>
      </c>
      <c r="M494" t="n">
        <v>0</v>
      </c>
      <c r="N494" t="n">
        <v>0</v>
      </c>
      <c r="O494" t="n">
        <v>1</v>
      </c>
      <c r="P494" t="n">
        <v>0</v>
      </c>
      <c r="Q494" t="n">
        <v>1</v>
      </c>
      <c r="R494" s="2" t="inlineStr">
        <is>
          <t>Lunglav</t>
        </is>
      </c>
      <c r="S494">
        <f>HYPERLINK("https://klasma.github.io/Logging_2560/artfynd/A 42680-2022 artfynd.xlsx", "A 42680-2022")</f>
        <v/>
      </c>
      <c r="T494">
        <f>HYPERLINK("https://klasma.github.io/Logging_2560/kartor/A 42680-2022 karta.png", "A 42680-2022")</f>
        <v/>
      </c>
      <c r="V494">
        <f>HYPERLINK("https://klasma.github.io/Logging_2560/klagomål/A 42680-2022 FSC-klagomål.docx", "A 42680-2022")</f>
        <v/>
      </c>
      <c r="W494">
        <f>HYPERLINK("https://klasma.github.io/Logging_2560/klagomålsmail/A 42680-2022 FSC-klagomål mail.docx", "A 42680-2022")</f>
        <v/>
      </c>
      <c r="X494">
        <f>HYPERLINK("https://klasma.github.io/Logging_2560/tillsyn/A 42680-2022 tillsynsbegäran.docx", "A 42680-2022")</f>
        <v/>
      </c>
      <c r="Y494">
        <f>HYPERLINK("https://klasma.github.io/Logging_2560/tillsynsmail/A 42680-2022 tillsynsbegäran mail.docx", "A 42680-2022")</f>
        <v/>
      </c>
    </row>
    <row r="495" ht="15" customHeight="1">
      <c r="A495" t="inlineStr">
        <is>
          <t>A 22495-2024</t>
        </is>
      </c>
      <c r="B495" s="1" t="n">
        <v>45447</v>
      </c>
      <c r="C495" s="1" t="n">
        <v>45895</v>
      </c>
      <c r="D495" t="inlineStr">
        <is>
          <t>NORRBOTTENS LÄN</t>
        </is>
      </c>
      <c r="E495" t="inlineStr">
        <is>
          <t>KIRUNA</t>
        </is>
      </c>
      <c r="G495" t="n">
        <v>7.1</v>
      </c>
      <c r="H495" t="n">
        <v>0</v>
      </c>
      <c r="I495" t="n">
        <v>0</v>
      </c>
      <c r="J495" t="n">
        <v>0</v>
      </c>
      <c r="K495" t="n">
        <v>1</v>
      </c>
      <c r="L495" t="n">
        <v>0</v>
      </c>
      <c r="M495" t="n">
        <v>0</v>
      </c>
      <c r="N495" t="n">
        <v>0</v>
      </c>
      <c r="O495" t="n">
        <v>1</v>
      </c>
      <c r="P495" t="n">
        <v>1</v>
      </c>
      <c r="Q495" t="n">
        <v>1</v>
      </c>
      <c r="R495" s="2" t="inlineStr">
        <is>
          <t>Tajgafältmätare</t>
        </is>
      </c>
      <c r="S495">
        <f>HYPERLINK("https://klasma.github.io/Logging_2584/artfynd/A 22495-2024 artfynd.xlsx", "A 22495-2024")</f>
        <v/>
      </c>
      <c r="T495">
        <f>HYPERLINK("https://klasma.github.io/Logging_2584/kartor/A 22495-2024 karta.png", "A 22495-2024")</f>
        <v/>
      </c>
      <c r="V495">
        <f>HYPERLINK("https://klasma.github.io/Logging_2584/klagomål/A 22495-2024 FSC-klagomål.docx", "A 22495-2024")</f>
        <v/>
      </c>
      <c r="W495">
        <f>HYPERLINK("https://klasma.github.io/Logging_2584/klagomålsmail/A 22495-2024 FSC-klagomål mail.docx", "A 22495-2024")</f>
        <v/>
      </c>
      <c r="X495">
        <f>HYPERLINK("https://klasma.github.io/Logging_2584/tillsyn/A 22495-2024 tillsynsbegäran.docx", "A 22495-2024")</f>
        <v/>
      </c>
      <c r="Y495">
        <f>HYPERLINK("https://klasma.github.io/Logging_2584/tillsynsmail/A 22495-2024 tillsynsbegäran mail.docx", "A 22495-2024")</f>
        <v/>
      </c>
    </row>
    <row r="496" ht="15" customHeight="1">
      <c r="A496" t="inlineStr">
        <is>
          <t>A 23578-2025</t>
        </is>
      </c>
      <c r="B496" s="1" t="n">
        <v>45792</v>
      </c>
      <c r="C496" s="1" t="n">
        <v>45895</v>
      </c>
      <c r="D496" t="inlineStr">
        <is>
          <t>NORRBOTTENS LÄN</t>
        </is>
      </c>
      <c r="E496" t="inlineStr">
        <is>
          <t>GÄLLIVARE</t>
        </is>
      </c>
      <c r="F496" t="inlineStr">
        <is>
          <t>Allmännings- och besparingsskogar</t>
        </is>
      </c>
      <c r="G496" t="n">
        <v>51.6</v>
      </c>
      <c r="H496" t="n">
        <v>0</v>
      </c>
      <c r="I496" t="n">
        <v>0</v>
      </c>
      <c r="J496" t="n">
        <v>1</v>
      </c>
      <c r="K496" t="n">
        <v>0</v>
      </c>
      <c r="L496" t="n">
        <v>0</v>
      </c>
      <c r="M496" t="n">
        <v>0</v>
      </c>
      <c r="N496" t="n">
        <v>0</v>
      </c>
      <c r="O496" t="n">
        <v>1</v>
      </c>
      <c r="P496" t="n">
        <v>0</v>
      </c>
      <c r="Q496" t="n">
        <v>1</v>
      </c>
      <c r="R496" s="2" t="inlineStr">
        <is>
          <t>Garnlav</t>
        </is>
      </c>
      <c r="S496">
        <f>HYPERLINK("https://klasma.github.io/Logging_2523/artfynd/A 23578-2025 artfynd.xlsx", "A 23578-2025")</f>
        <v/>
      </c>
      <c r="T496">
        <f>HYPERLINK("https://klasma.github.io/Logging_2523/kartor/A 23578-2025 karta.png", "A 23578-2025")</f>
        <v/>
      </c>
      <c r="V496">
        <f>HYPERLINK("https://klasma.github.io/Logging_2523/klagomål/A 23578-2025 FSC-klagomål.docx", "A 23578-2025")</f>
        <v/>
      </c>
      <c r="W496">
        <f>HYPERLINK("https://klasma.github.io/Logging_2523/klagomålsmail/A 23578-2025 FSC-klagomål mail.docx", "A 23578-2025")</f>
        <v/>
      </c>
      <c r="X496">
        <f>HYPERLINK("https://klasma.github.io/Logging_2523/tillsyn/A 23578-2025 tillsynsbegäran.docx", "A 23578-2025")</f>
        <v/>
      </c>
      <c r="Y496">
        <f>HYPERLINK("https://klasma.github.io/Logging_2523/tillsynsmail/A 23578-2025 tillsynsbegäran mail.docx", "A 23578-2025")</f>
        <v/>
      </c>
    </row>
    <row r="497" ht="15" customHeight="1">
      <c r="A497" t="inlineStr">
        <is>
          <t>A 49525-2024</t>
        </is>
      </c>
      <c r="B497" s="1" t="n">
        <v>45596</v>
      </c>
      <c r="C497" s="1" t="n">
        <v>45895</v>
      </c>
      <c r="D497" t="inlineStr">
        <is>
          <t>NORRBOTTENS LÄN</t>
        </is>
      </c>
      <c r="E497" t="inlineStr">
        <is>
          <t>JOKKMOKK</t>
        </is>
      </c>
      <c r="F497" t="inlineStr">
        <is>
          <t>SCA</t>
        </is>
      </c>
      <c r="G497" t="n">
        <v>2.5</v>
      </c>
      <c r="H497" t="n">
        <v>0</v>
      </c>
      <c r="I497" t="n">
        <v>0</v>
      </c>
      <c r="J497" t="n">
        <v>0</v>
      </c>
      <c r="K497" t="n">
        <v>1</v>
      </c>
      <c r="L497" t="n">
        <v>0</v>
      </c>
      <c r="M497" t="n">
        <v>0</v>
      </c>
      <c r="N497" t="n">
        <v>0</v>
      </c>
      <c r="O497" t="n">
        <v>1</v>
      </c>
      <c r="P497" t="n">
        <v>1</v>
      </c>
      <c r="Q497" t="n">
        <v>1</v>
      </c>
      <c r="R497" s="2" t="inlineStr">
        <is>
          <t>Ringlav</t>
        </is>
      </c>
      <c r="S497">
        <f>HYPERLINK("https://klasma.github.io/Logging_2510/artfynd/A 49525-2024 artfynd.xlsx", "A 49525-2024")</f>
        <v/>
      </c>
      <c r="T497">
        <f>HYPERLINK("https://klasma.github.io/Logging_2510/kartor/A 49525-2024 karta.png", "A 49525-2024")</f>
        <v/>
      </c>
      <c r="V497">
        <f>HYPERLINK("https://klasma.github.io/Logging_2510/klagomål/A 49525-2024 FSC-klagomål.docx", "A 49525-2024")</f>
        <v/>
      </c>
      <c r="W497">
        <f>HYPERLINK("https://klasma.github.io/Logging_2510/klagomålsmail/A 49525-2024 FSC-klagomål mail.docx", "A 49525-2024")</f>
        <v/>
      </c>
      <c r="X497">
        <f>HYPERLINK("https://klasma.github.io/Logging_2510/tillsyn/A 49525-2024 tillsynsbegäran.docx", "A 49525-2024")</f>
        <v/>
      </c>
      <c r="Y497">
        <f>HYPERLINK("https://klasma.github.io/Logging_2510/tillsynsmail/A 49525-2024 tillsynsbegäran mail.docx", "A 49525-2024")</f>
        <v/>
      </c>
    </row>
    <row r="498" ht="15" customHeight="1">
      <c r="A498" t="inlineStr">
        <is>
          <t>A 6275-2024</t>
        </is>
      </c>
      <c r="B498" s="1" t="n">
        <v>45337.95472222222</v>
      </c>
      <c r="C498" s="1" t="n">
        <v>45895</v>
      </c>
      <c r="D498" t="inlineStr">
        <is>
          <t>NORRBOTTENS LÄN</t>
        </is>
      </c>
      <c r="E498" t="inlineStr">
        <is>
          <t>ÄLVSBYN</t>
        </is>
      </c>
      <c r="F498" t="inlineStr">
        <is>
          <t>SCA</t>
        </is>
      </c>
      <c r="G498" t="n">
        <v>2.4</v>
      </c>
      <c r="H498" t="n">
        <v>0</v>
      </c>
      <c r="I498" t="n">
        <v>0</v>
      </c>
      <c r="J498" t="n">
        <v>1</v>
      </c>
      <c r="K498" t="n">
        <v>0</v>
      </c>
      <c r="L498" t="n">
        <v>0</v>
      </c>
      <c r="M498" t="n">
        <v>0</v>
      </c>
      <c r="N498" t="n">
        <v>0</v>
      </c>
      <c r="O498" t="n">
        <v>1</v>
      </c>
      <c r="P498" t="n">
        <v>0</v>
      </c>
      <c r="Q498" t="n">
        <v>1</v>
      </c>
      <c r="R498" s="2" t="inlineStr">
        <is>
          <t>Granticka</t>
        </is>
      </c>
      <c r="S498">
        <f>HYPERLINK("https://klasma.github.io/Logging_2560/artfynd/A 6275-2024 artfynd.xlsx", "A 6275-2024")</f>
        <v/>
      </c>
      <c r="T498">
        <f>HYPERLINK("https://klasma.github.io/Logging_2560/kartor/A 6275-2024 karta.png", "A 6275-2024")</f>
        <v/>
      </c>
      <c r="V498">
        <f>HYPERLINK("https://klasma.github.io/Logging_2560/klagomål/A 6275-2024 FSC-klagomål.docx", "A 6275-2024")</f>
        <v/>
      </c>
      <c r="W498">
        <f>HYPERLINK("https://klasma.github.io/Logging_2560/klagomålsmail/A 6275-2024 FSC-klagomål mail.docx", "A 6275-2024")</f>
        <v/>
      </c>
      <c r="X498">
        <f>HYPERLINK("https://klasma.github.io/Logging_2560/tillsyn/A 6275-2024 tillsynsbegäran.docx", "A 6275-2024")</f>
        <v/>
      </c>
      <c r="Y498">
        <f>HYPERLINK("https://klasma.github.io/Logging_2560/tillsynsmail/A 6275-2024 tillsynsbegäran mail.docx", "A 6275-2024")</f>
        <v/>
      </c>
    </row>
    <row r="499" ht="15" customHeight="1">
      <c r="A499" t="inlineStr">
        <is>
          <t>A 45324-2022</t>
        </is>
      </c>
      <c r="B499" s="1" t="n">
        <v>44841</v>
      </c>
      <c r="C499" s="1" t="n">
        <v>45895</v>
      </c>
      <c r="D499" t="inlineStr">
        <is>
          <t>NORRBOTTENS LÄN</t>
        </is>
      </c>
      <c r="E499" t="inlineStr">
        <is>
          <t>ARJEPLOG</t>
        </is>
      </c>
      <c r="G499" t="n">
        <v>23.2</v>
      </c>
      <c r="H499" t="n">
        <v>1</v>
      </c>
      <c r="I499" t="n">
        <v>0</v>
      </c>
      <c r="J499" t="n">
        <v>0</v>
      </c>
      <c r="K499" t="n">
        <v>0</v>
      </c>
      <c r="L499" t="n">
        <v>1</v>
      </c>
      <c r="M499" t="n">
        <v>0</v>
      </c>
      <c r="N499" t="n">
        <v>0</v>
      </c>
      <c r="O499" t="n">
        <v>1</v>
      </c>
      <c r="P499" t="n">
        <v>1</v>
      </c>
      <c r="Q499" t="n">
        <v>1</v>
      </c>
      <c r="R499" s="2" t="inlineStr">
        <is>
          <t>Bergand</t>
        </is>
      </c>
      <c r="S499">
        <f>HYPERLINK("https://klasma.github.io/Logging_2506/artfynd/A 45324-2022 artfynd.xlsx", "A 45324-2022")</f>
        <v/>
      </c>
      <c r="T499">
        <f>HYPERLINK("https://klasma.github.io/Logging_2506/kartor/A 45324-2022 karta.png", "A 45324-2022")</f>
        <v/>
      </c>
      <c r="V499">
        <f>HYPERLINK("https://klasma.github.io/Logging_2506/klagomål/A 45324-2022 FSC-klagomål.docx", "A 45324-2022")</f>
        <v/>
      </c>
      <c r="W499">
        <f>HYPERLINK("https://klasma.github.io/Logging_2506/klagomålsmail/A 45324-2022 FSC-klagomål mail.docx", "A 45324-2022")</f>
        <v/>
      </c>
      <c r="X499">
        <f>HYPERLINK("https://klasma.github.io/Logging_2506/tillsyn/A 45324-2022 tillsynsbegäran.docx", "A 45324-2022")</f>
        <v/>
      </c>
      <c r="Y499">
        <f>HYPERLINK("https://klasma.github.io/Logging_2506/tillsynsmail/A 45324-2022 tillsynsbegäran mail.docx", "A 45324-2022")</f>
        <v/>
      </c>
    </row>
    <row r="500" ht="15" customHeight="1">
      <c r="A500" t="inlineStr">
        <is>
          <t>A 23096-2025</t>
        </is>
      </c>
      <c r="B500" s="1" t="n">
        <v>45791.34502314815</v>
      </c>
      <c r="C500" s="1" t="n">
        <v>45895</v>
      </c>
      <c r="D500" t="inlineStr">
        <is>
          <t>NORRBOTTENS LÄN</t>
        </is>
      </c>
      <c r="E500" t="inlineStr">
        <is>
          <t>BODEN</t>
        </is>
      </c>
      <c r="F500" t="inlineStr">
        <is>
          <t>SCA</t>
        </is>
      </c>
      <c r="G500" t="n">
        <v>1.8</v>
      </c>
      <c r="H500" t="n">
        <v>0</v>
      </c>
      <c r="I500" t="n">
        <v>0</v>
      </c>
      <c r="J500" t="n">
        <v>1</v>
      </c>
      <c r="K500" t="n">
        <v>0</v>
      </c>
      <c r="L500" t="n">
        <v>0</v>
      </c>
      <c r="M500" t="n">
        <v>0</v>
      </c>
      <c r="N500" t="n">
        <v>0</v>
      </c>
      <c r="O500" t="n">
        <v>1</v>
      </c>
      <c r="P500" t="n">
        <v>0</v>
      </c>
      <c r="Q500" t="n">
        <v>1</v>
      </c>
      <c r="R500" s="2" t="inlineStr">
        <is>
          <t>Garnlav</t>
        </is>
      </c>
      <c r="S500">
        <f>HYPERLINK("https://klasma.github.io/Logging_2582/artfynd/A 23096-2025 artfynd.xlsx", "A 23096-2025")</f>
        <v/>
      </c>
      <c r="T500">
        <f>HYPERLINK("https://klasma.github.io/Logging_2582/kartor/A 23096-2025 karta.png", "A 23096-2025")</f>
        <v/>
      </c>
      <c r="V500">
        <f>HYPERLINK("https://klasma.github.io/Logging_2582/klagomål/A 23096-2025 FSC-klagomål.docx", "A 23096-2025")</f>
        <v/>
      </c>
      <c r="W500">
        <f>HYPERLINK("https://klasma.github.io/Logging_2582/klagomålsmail/A 23096-2025 FSC-klagomål mail.docx", "A 23096-2025")</f>
        <v/>
      </c>
      <c r="X500">
        <f>HYPERLINK("https://klasma.github.io/Logging_2582/tillsyn/A 23096-2025 tillsynsbegäran.docx", "A 23096-2025")</f>
        <v/>
      </c>
      <c r="Y500">
        <f>HYPERLINK("https://klasma.github.io/Logging_2582/tillsynsmail/A 23096-2025 tillsynsbegäran mail.docx", "A 23096-2025")</f>
        <v/>
      </c>
    </row>
    <row r="501" ht="15" customHeight="1">
      <c r="A501" t="inlineStr">
        <is>
          <t>A 56518-2024</t>
        </is>
      </c>
      <c r="B501" s="1" t="n">
        <v>45625</v>
      </c>
      <c r="C501" s="1" t="n">
        <v>45895</v>
      </c>
      <c r="D501" t="inlineStr">
        <is>
          <t>NORRBOTTENS LÄN</t>
        </is>
      </c>
      <c r="E501" t="inlineStr">
        <is>
          <t>PITEÅ</t>
        </is>
      </c>
      <c r="G501" t="n">
        <v>2.6</v>
      </c>
      <c r="H501" t="n">
        <v>1</v>
      </c>
      <c r="I501" t="n">
        <v>0</v>
      </c>
      <c r="J501" t="n">
        <v>0</v>
      </c>
      <c r="K501" t="n">
        <v>0</v>
      </c>
      <c r="L501" t="n">
        <v>0</v>
      </c>
      <c r="M501" t="n">
        <v>0</v>
      </c>
      <c r="N501" t="n">
        <v>0</v>
      </c>
      <c r="O501" t="n">
        <v>0</v>
      </c>
      <c r="P501" t="n">
        <v>0</v>
      </c>
      <c r="Q501" t="n">
        <v>1</v>
      </c>
      <c r="R501" s="2" t="inlineStr">
        <is>
          <t>Nattviol</t>
        </is>
      </c>
      <c r="S501">
        <f>HYPERLINK("https://klasma.github.io/Logging_2581/artfynd/A 56518-2024 artfynd.xlsx", "A 56518-2024")</f>
        <v/>
      </c>
      <c r="T501">
        <f>HYPERLINK("https://klasma.github.io/Logging_2581/kartor/A 56518-2024 karta.png", "A 56518-2024")</f>
        <v/>
      </c>
      <c r="V501">
        <f>HYPERLINK("https://klasma.github.io/Logging_2581/klagomål/A 56518-2024 FSC-klagomål.docx", "A 56518-2024")</f>
        <v/>
      </c>
      <c r="W501">
        <f>HYPERLINK("https://klasma.github.io/Logging_2581/klagomålsmail/A 56518-2024 FSC-klagomål mail.docx", "A 56518-2024")</f>
        <v/>
      </c>
      <c r="X501">
        <f>HYPERLINK("https://klasma.github.io/Logging_2581/tillsyn/A 56518-2024 tillsynsbegäran.docx", "A 56518-2024")</f>
        <v/>
      </c>
      <c r="Y501">
        <f>HYPERLINK("https://klasma.github.io/Logging_2581/tillsynsmail/A 56518-2024 tillsynsbegäran mail.docx", "A 56518-2024")</f>
        <v/>
      </c>
    </row>
    <row r="502" ht="15" customHeight="1">
      <c r="A502" t="inlineStr">
        <is>
          <t>A 23790-2025</t>
        </is>
      </c>
      <c r="B502" s="1" t="n">
        <v>45793</v>
      </c>
      <c r="C502" s="1" t="n">
        <v>45895</v>
      </c>
      <c r="D502" t="inlineStr">
        <is>
          <t>NORRBOTTENS LÄN</t>
        </is>
      </c>
      <c r="E502" t="inlineStr">
        <is>
          <t>ÄLVSBYN</t>
        </is>
      </c>
      <c r="F502" t="inlineStr">
        <is>
          <t>Sveaskog</t>
        </is>
      </c>
      <c r="G502" t="n">
        <v>10.8</v>
      </c>
      <c r="H502" t="n">
        <v>0</v>
      </c>
      <c r="I502" t="n">
        <v>0</v>
      </c>
      <c r="J502" t="n">
        <v>1</v>
      </c>
      <c r="K502" t="n">
        <v>0</v>
      </c>
      <c r="L502" t="n">
        <v>0</v>
      </c>
      <c r="M502" t="n">
        <v>0</v>
      </c>
      <c r="N502" t="n">
        <v>0</v>
      </c>
      <c r="O502" t="n">
        <v>1</v>
      </c>
      <c r="P502" t="n">
        <v>0</v>
      </c>
      <c r="Q502" t="n">
        <v>1</v>
      </c>
      <c r="R502" s="2" t="inlineStr">
        <is>
          <t>Vedflamlav</t>
        </is>
      </c>
      <c r="S502">
        <f>HYPERLINK("https://klasma.github.io/Logging_2560/artfynd/A 23790-2025 artfynd.xlsx", "A 23790-2025")</f>
        <v/>
      </c>
      <c r="T502">
        <f>HYPERLINK("https://klasma.github.io/Logging_2560/kartor/A 23790-2025 karta.png", "A 23790-2025")</f>
        <v/>
      </c>
      <c r="V502">
        <f>HYPERLINK("https://klasma.github.io/Logging_2560/klagomål/A 23790-2025 FSC-klagomål.docx", "A 23790-2025")</f>
        <v/>
      </c>
      <c r="W502">
        <f>HYPERLINK("https://klasma.github.io/Logging_2560/klagomålsmail/A 23790-2025 FSC-klagomål mail.docx", "A 23790-2025")</f>
        <v/>
      </c>
      <c r="X502">
        <f>HYPERLINK("https://klasma.github.io/Logging_2560/tillsyn/A 23790-2025 tillsynsbegäran.docx", "A 23790-2025")</f>
        <v/>
      </c>
      <c r="Y502">
        <f>HYPERLINK("https://klasma.github.io/Logging_2560/tillsynsmail/A 23790-2025 tillsynsbegäran mail.docx", "A 23790-2025")</f>
        <v/>
      </c>
    </row>
    <row r="503" ht="15" customHeight="1">
      <c r="A503" t="inlineStr">
        <is>
          <t>A 17740-2023</t>
        </is>
      </c>
      <c r="B503" s="1" t="n">
        <v>45035</v>
      </c>
      <c r="C503" s="1" t="n">
        <v>45895</v>
      </c>
      <c r="D503" t="inlineStr">
        <is>
          <t>NORRBOTTENS LÄN</t>
        </is>
      </c>
      <c r="E503" t="inlineStr">
        <is>
          <t>KIRUNA</t>
        </is>
      </c>
      <c r="F503" t="inlineStr">
        <is>
          <t>Allmännings- och besparingsskogar</t>
        </is>
      </c>
      <c r="G503" t="n">
        <v>20.1</v>
      </c>
      <c r="H503" t="n">
        <v>0</v>
      </c>
      <c r="I503" t="n">
        <v>0</v>
      </c>
      <c r="J503" t="n">
        <v>1</v>
      </c>
      <c r="K503" t="n">
        <v>0</v>
      </c>
      <c r="L503" t="n">
        <v>0</v>
      </c>
      <c r="M503" t="n">
        <v>0</v>
      </c>
      <c r="N503" t="n">
        <v>0</v>
      </c>
      <c r="O503" t="n">
        <v>1</v>
      </c>
      <c r="P503" t="n">
        <v>0</v>
      </c>
      <c r="Q503" t="n">
        <v>1</v>
      </c>
      <c r="R503" s="2" t="inlineStr">
        <is>
          <t>Knottrig blåslav</t>
        </is>
      </c>
      <c r="S503">
        <f>HYPERLINK("https://klasma.github.io/Logging_2584/artfynd/A 17740-2023 artfynd.xlsx", "A 17740-2023")</f>
        <v/>
      </c>
      <c r="T503">
        <f>HYPERLINK("https://klasma.github.io/Logging_2584/kartor/A 17740-2023 karta.png", "A 17740-2023")</f>
        <v/>
      </c>
      <c r="V503">
        <f>HYPERLINK("https://klasma.github.io/Logging_2584/klagomål/A 17740-2023 FSC-klagomål.docx", "A 17740-2023")</f>
        <v/>
      </c>
      <c r="W503">
        <f>HYPERLINK("https://klasma.github.io/Logging_2584/klagomålsmail/A 17740-2023 FSC-klagomål mail.docx", "A 17740-2023")</f>
        <v/>
      </c>
      <c r="X503">
        <f>HYPERLINK("https://klasma.github.io/Logging_2584/tillsyn/A 17740-2023 tillsynsbegäran.docx", "A 17740-2023")</f>
        <v/>
      </c>
      <c r="Y503">
        <f>HYPERLINK("https://klasma.github.io/Logging_2584/tillsynsmail/A 17740-2023 tillsynsbegäran mail.docx", "A 17740-2023")</f>
        <v/>
      </c>
    </row>
    <row r="504" ht="15" customHeight="1">
      <c r="A504" t="inlineStr">
        <is>
          <t>A 38333-2024</t>
        </is>
      </c>
      <c r="B504" s="1" t="n">
        <v>45545</v>
      </c>
      <c r="C504" s="1" t="n">
        <v>45895</v>
      </c>
      <c r="D504" t="inlineStr">
        <is>
          <t>NORRBOTTENS LÄN</t>
        </is>
      </c>
      <c r="E504" t="inlineStr">
        <is>
          <t>LULEÅ</t>
        </is>
      </c>
      <c r="F504" t="inlineStr">
        <is>
          <t>Sveaskog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HYPERLINK("https://klasma.github.io/Logging_2580/artfynd/A 38333-2024 artfynd.xlsx", "A 38333-2024")</f>
        <v/>
      </c>
      <c r="T504">
        <f>HYPERLINK("https://klasma.github.io/Logging_2580/kartor/A 38333-2024 karta.png", "A 38333-2024")</f>
        <v/>
      </c>
      <c r="U504">
        <f>HYPERLINK("https://klasma.github.io/Logging_2580/knärot/A 38333-2024 karta knärot.png", "A 38333-2024")</f>
        <v/>
      </c>
      <c r="V504">
        <f>HYPERLINK("https://klasma.github.io/Logging_2580/klagomål/A 38333-2024 FSC-klagomål.docx", "A 38333-2024")</f>
        <v/>
      </c>
      <c r="W504">
        <f>HYPERLINK("https://klasma.github.io/Logging_2580/klagomålsmail/A 38333-2024 FSC-klagomål mail.docx", "A 38333-2024")</f>
        <v/>
      </c>
      <c r="X504">
        <f>HYPERLINK("https://klasma.github.io/Logging_2580/tillsyn/A 38333-2024 tillsynsbegäran.docx", "A 38333-2024")</f>
        <v/>
      </c>
      <c r="Y504">
        <f>HYPERLINK("https://klasma.github.io/Logging_2580/tillsynsmail/A 38333-2024 tillsynsbegäran mail.docx", "A 38333-2024")</f>
        <v/>
      </c>
    </row>
    <row r="505" ht="15" customHeight="1">
      <c r="A505" t="inlineStr">
        <is>
          <t>A 16217-2024</t>
        </is>
      </c>
      <c r="B505" s="1" t="n">
        <v>45406.96350694444</v>
      </c>
      <c r="C505" s="1" t="n">
        <v>45895</v>
      </c>
      <c r="D505" t="inlineStr">
        <is>
          <t>NORRBOTTENS LÄN</t>
        </is>
      </c>
      <c r="E505" t="inlineStr">
        <is>
          <t>BODEN</t>
        </is>
      </c>
      <c r="G505" t="n">
        <v>7.2</v>
      </c>
      <c r="H505" t="n">
        <v>1</v>
      </c>
      <c r="I505" t="n">
        <v>0</v>
      </c>
      <c r="J505" t="n">
        <v>1</v>
      </c>
      <c r="K505" t="n">
        <v>0</v>
      </c>
      <c r="L505" t="n">
        <v>0</v>
      </c>
      <c r="M505" t="n">
        <v>0</v>
      </c>
      <c r="N505" t="n">
        <v>0</v>
      </c>
      <c r="O505" t="n">
        <v>1</v>
      </c>
      <c r="P505" t="n">
        <v>0</v>
      </c>
      <c r="Q505" t="n">
        <v>1</v>
      </c>
      <c r="R505" s="2" t="inlineStr">
        <is>
          <t>Videsparv</t>
        </is>
      </c>
      <c r="S505">
        <f>HYPERLINK("https://klasma.github.io/Logging_2582/artfynd/A 16217-2024 artfynd.xlsx", "A 16217-2024")</f>
        <v/>
      </c>
      <c r="T505">
        <f>HYPERLINK("https://klasma.github.io/Logging_2582/kartor/A 16217-2024 karta.png", "A 16217-2024")</f>
        <v/>
      </c>
      <c r="V505">
        <f>HYPERLINK("https://klasma.github.io/Logging_2582/klagomål/A 16217-2024 FSC-klagomål.docx", "A 16217-2024")</f>
        <v/>
      </c>
      <c r="W505">
        <f>HYPERLINK("https://klasma.github.io/Logging_2582/klagomålsmail/A 16217-2024 FSC-klagomål mail.docx", "A 16217-2024")</f>
        <v/>
      </c>
      <c r="X505">
        <f>HYPERLINK("https://klasma.github.io/Logging_2582/tillsyn/A 16217-2024 tillsynsbegäran.docx", "A 16217-2024")</f>
        <v/>
      </c>
      <c r="Y505">
        <f>HYPERLINK("https://klasma.github.io/Logging_2582/tillsynsmail/A 16217-2024 tillsynsbegäran mail.docx", "A 16217-2024")</f>
        <v/>
      </c>
      <c r="Z505">
        <f>HYPERLINK("https://klasma.github.io/Logging_2582/fåglar/A 16217-2024 prioriterade fågelarter.docx", "A 16217-2024")</f>
        <v/>
      </c>
    </row>
    <row r="506" ht="15" customHeight="1">
      <c r="A506" t="inlineStr">
        <is>
          <t>A 48368-2024</t>
        </is>
      </c>
      <c r="B506" s="1" t="n">
        <v>45590.57829861111</v>
      </c>
      <c r="C506" s="1" t="n">
        <v>45895</v>
      </c>
      <c r="D506" t="inlineStr">
        <is>
          <t>NORRBOTTENS LÄN</t>
        </is>
      </c>
      <c r="E506" t="inlineStr">
        <is>
          <t>ARVIDSJAUR</t>
        </is>
      </c>
      <c r="F506" t="inlineStr">
        <is>
          <t>Sveaskog</t>
        </is>
      </c>
      <c r="G506" t="n">
        <v>7.2</v>
      </c>
      <c r="H506" t="n">
        <v>0</v>
      </c>
      <c r="I506" t="n">
        <v>0</v>
      </c>
      <c r="J506" t="n">
        <v>1</v>
      </c>
      <c r="K506" t="n">
        <v>0</v>
      </c>
      <c r="L506" t="n">
        <v>0</v>
      </c>
      <c r="M506" t="n">
        <v>0</v>
      </c>
      <c r="N506" t="n">
        <v>0</v>
      </c>
      <c r="O506" t="n">
        <v>1</v>
      </c>
      <c r="P506" t="n">
        <v>0</v>
      </c>
      <c r="Q506" t="n">
        <v>1</v>
      </c>
      <c r="R506" s="2" t="inlineStr">
        <is>
          <t>Orange taggsvamp</t>
        </is>
      </c>
      <c r="S506">
        <f>HYPERLINK("https://klasma.github.io/Logging_2505/artfynd/A 48368-2024 artfynd.xlsx", "A 48368-2024")</f>
        <v/>
      </c>
      <c r="T506">
        <f>HYPERLINK("https://klasma.github.io/Logging_2505/kartor/A 48368-2024 karta.png", "A 48368-2024")</f>
        <v/>
      </c>
      <c r="V506">
        <f>HYPERLINK("https://klasma.github.io/Logging_2505/klagomål/A 48368-2024 FSC-klagomål.docx", "A 48368-2024")</f>
        <v/>
      </c>
      <c r="W506">
        <f>HYPERLINK("https://klasma.github.io/Logging_2505/klagomålsmail/A 48368-2024 FSC-klagomål mail.docx", "A 48368-2024")</f>
        <v/>
      </c>
      <c r="X506">
        <f>HYPERLINK("https://klasma.github.io/Logging_2505/tillsyn/A 48368-2024 tillsynsbegäran.docx", "A 48368-2024")</f>
        <v/>
      </c>
      <c r="Y506">
        <f>HYPERLINK("https://klasma.github.io/Logging_2505/tillsynsmail/A 48368-2024 tillsynsbegäran mail.docx", "A 48368-2024")</f>
        <v/>
      </c>
    </row>
    <row r="507" ht="15" customHeight="1">
      <c r="A507" t="inlineStr">
        <is>
          <t>A 46378-2023</t>
        </is>
      </c>
      <c r="B507" s="1" t="n">
        <v>45197</v>
      </c>
      <c r="C507" s="1" t="n">
        <v>45895</v>
      </c>
      <c r="D507" t="inlineStr">
        <is>
          <t>NORRBOTTENS LÄN</t>
        </is>
      </c>
      <c r="E507" t="inlineStr">
        <is>
          <t>ÖVERTORNEÅ</t>
        </is>
      </c>
      <c r="F507" t="inlineStr">
        <is>
          <t>Sveaskog</t>
        </is>
      </c>
      <c r="G507" t="n">
        <v>43.9</v>
      </c>
      <c r="H507" t="n">
        <v>1</v>
      </c>
      <c r="I507" t="n">
        <v>0</v>
      </c>
      <c r="J507" t="n">
        <v>1</v>
      </c>
      <c r="K507" t="n">
        <v>0</v>
      </c>
      <c r="L507" t="n">
        <v>0</v>
      </c>
      <c r="M507" t="n">
        <v>0</v>
      </c>
      <c r="N507" t="n">
        <v>0</v>
      </c>
      <c r="O507" t="n">
        <v>1</v>
      </c>
      <c r="P507" t="n">
        <v>0</v>
      </c>
      <c r="Q507" t="n">
        <v>1</v>
      </c>
      <c r="R507" s="2" t="inlineStr">
        <is>
          <t>Kungsörn</t>
        </is>
      </c>
      <c r="S507">
        <f>HYPERLINK("https://klasma.github.io/Logging_2518/artfynd/A 46378-2023 artfynd.xlsx", "A 46378-2023")</f>
        <v/>
      </c>
      <c r="T507">
        <f>HYPERLINK("https://klasma.github.io/Logging_2518/kartor/A 46378-2023 karta.png", "A 46378-2023")</f>
        <v/>
      </c>
      <c r="V507">
        <f>HYPERLINK("https://klasma.github.io/Logging_2518/klagomål/A 46378-2023 FSC-klagomål.docx", "A 46378-2023")</f>
        <v/>
      </c>
      <c r="W507">
        <f>HYPERLINK("https://klasma.github.io/Logging_2518/klagomålsmail/A 46378-2023 FSC-klagomål mail.docx", "A 46378-2023")</f>
        <v/>
      </c>
      <c r="X507">
        <f>HYPERLINK("https://klasma.github.io/Logging_2518/tillsyn/A 46378-2023 tillsynsbegäran.docx", "A 46378-2023")</f>
        <v/>
      </c>
      <c r="Y507">
        <f>HYPERLINK("https://klasma.github.io/Logging_2518/tillsynsmail/A 46378-2023 tillsynsbegäran mail.docx", "A 46378-2023")</f>
        <v/>
      </c>
      <c r="Z507">
        <f>HYPERLINK("https://klasma.github.io/Logging_2518/fåglar/A 46378-2023 prioriterade fågelarter.docx", "A 46378-2023")</f>
        <v/>
      </c>
    </row>
    <row r="508" ht="15" customHeight="1">
      <c r="A508" t="inlineStr">
        <is>
          <t>A 48418-2023</t>
        </is>
      </c>
      <c r="B508" s="1" t="n">
        <v>45205</v>
      </c>
      <c r="C508" s="1" t="n">
        <v>45895</v>
      </c>
      <c r="D508" t="inlineStr">
        <is>
          <t>NORRBOTTENS LÄN</t>
        </is>
      </c>
      <c r="E508" t="inlineStr">
        <is>
          <t>BODEN</t>
        </is>
      </c>
      <c r="F508" t="inlineStr">
        <is>
          <t>SCA</t>
        </is>
      </c>
      <c r="G508" t="n">
        <v>3.6</v>
      </c>
      <c r="H508" t="n">
        <v>1</v>
      </c>
      <c r="I508" t="n">
        <v>0</v>
      </c>
      <c r="J508" t="n">
        <v>1</v>
      </c>
      <c r="K508" t="n">
        <v>0</v>
      </c>
      <c r="L508" t="n">
        <v>0</v>
      </c>
      <c r="M508" t="n">
        <v>0</v>
      </c>
      <c r="N508" t="n">
        <v>0</v>
      </c>
      <c r="O508" t="n">
        <v>1</v>
      </c>
      <c r="P508" t="n">
        <v>0</v>
      </c>
      <c r="Q508" t="n">
        <v>1</v>
      </c>
      <c r="R508" s="2" t="inlineStr">
        <is>
          <t>Duvhök</t>
        </is>
      </c>
      <c r="S508">
        <f>HYPERLINK("https://klasma.github.io/Logging_2582/artfynd/A 48418-2023 artfynd.xlsx", "A 48418-2023")</f>
        <v/>
      </c>
      <c r="T508">
        <f>HYPERLINK("https://klasma.github.io/Logging_2582/kartor/A 48418-2023 karta.png", "A 48418-2023")</f>
        <v/>
      </c>
      <c r="V508">
        <f>HYPERLINK("https://klasma.github.io/Logging_2582/klagomål/A 48418-2023 FSC-klagomål.docx", "A 48418-2023")</f>
        <v/>
      </c>
      <c r="W508">
        <f>HYPERLINK("https://klasma.github.io/Logging_2582/klagomålsmail/A 48418-2023 FSC-klagomål mail.docx", "A 48418-2023")</f>
        <v/>
      </c>
      <c r="X508">
        <f>HYPERLINK("https://klasma.github.io/Logging_2582/tillsyn/A 48418-2023 tillsynsbegäran.docx", "A 48418-2023")</f>
        <v/>
      </c>
      <c r="Y508">
        <f>HYPERLINK("https://klasma.github.io/Logging_2582/tillsynsmail/A 48418-2023 tillsynsbegäran mail.docx", "A 48418-2023")</f>
        <v/>
      </c>
      <c r="Z508">
        <f>HYPERLINK("https://klasma.github.io/Logging_2582/fåglar/A 48418-2023 prioriterade fågelarter.docx", "A 48418-2023")</f>
        <v/>
      </c>
    </row>
    <row r="509" ht="15" customHeight="1">
      <c r="A509" t="inlineStr">
        <is>
          <t>A 7960-2022</t>
        </is>
      </c>
      <c r="B509" s="1" t="n">
        <v>44608.93856481482</v>
      </c>
      <c r="C509" s="1" t="n">
        <v>45895</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52268-2023</t>
        </is>
      </c>
      <c r="B510" s="1" t="n">
        <v>45224.54791666667</v>
      </c>
      <c r="C510" s="1" t="n">
        <v>45895</v>
      </c>
      <c r="D510" t="inlineStr">
        <is>
          <t>NORRBOTTENS LÄN</t>
        </is>
      </c>
      <c r="E510" t="inlineStr">
        <is>
          <t>PITEÅ</t>
        </is>
      </c>
      <c r="G510" t="n">
        <v>4</v>
      </c>
      <c r="H510" t="n">
        <v>1</v>
      </c>
      <c r="I510" t="n">
        <v>0</v>
      </c>
      <c r="J510" t="n">
        <v>0</v>
      </c>
      <c r="K510" t="n">
        <v>0</v>
      </c>
      <c r="L510" t="n">
        <v>0</v>
      </c>
      <c r="M510" t="n">
        <v>0</v>
      </c>
      <c r="N510" t="n">
        <v>0</v>
      </c>
      <c r="O510" t="n">
        <v>0</v>
      </c>
      <c r="P510" t="n">
        <v>0</v>
      </c>
      <c r="Q510" t="n">
        <v>1</v>
      </c>
      <c r="R510" s="2" t="inlineStr">
        <is>
          <t>Revlummer</t>
        </is>
      </c>
      <c r="S510">
        <f>HYPERLINK("https://klasma.github.io/Logging_2581/artfynd/A 52268-2023 artfynd.xlsx", "A 52268-2023")</f>
        <v/>
      </c>
      <c r="T510">
        <f>HYPERLINK("https://klasma.github.io/Logging_2581/kartor/A 52268-2023 karta.png", "A 52268-2023")</f>
        <v/>
      </c>
      <c r="V510">
        <f>HYPERLINK("https://klasma.github.io/Logging_2581/klagomål/A 52268-2023 FSC-klagomål.docx", "A 52268-2023")</f>
        <v/>
      </c>
      <c r="W510">
        <f>HYPERLINK("https://klasma.github.io/Logging_2581/klagomålsmail/A 52268-2023 FSC-klagomål mail.docx", "A 52268-2023")</f>
        <v/>
      </c>
      <c r="X510">
        <f>HYPERLINK("https://klasma.github.io/Logging_2581/tillsyn/A 52268-2023 tillsynsbegäran.docx", "A 52268-2023")</f>
        <v/>
      </c>
      <c r="Y510">
        <f>HYPERLINK("https://klasma.github.io/Logging_2581/tillsynsmail/A 52268-2023 tillsynsbegäran mail.docx", "A 52268-2023")</f>
        <v/>
      </c>
    </row>
    <row r="511" ht="15" customHeight="1">
      <c r="A511" t="inlineStr">
        <is>
          <t>A 21102-2024</t>
        </is>
      </c>
      <c r="B511" s="1" t="n">
        <v>45439.95087962963</v>
      </c>
      <c r="C511" s="1" t="n">
        <v>45895</v>
      </c>
      <c r="D511" t="inlineStr">
        <is>
          <t>NORRBOTTENS LÄN</t>
        </is>
      </c>
      <c r="E511" t="inlineStr">
        <is>
          <t>PITEÅ</t>
        </is>
      </c>
      <c r="F511" t="inlineStr">
        <is>
          <t>SCA</t>
        </is>
      </c>
      <c r="G511" t="n">
        <v>1.4</v>
      </c>
      <c r="H511" t="n">
        <v>0</v>
      </c>
      <c r="I511" t="n">
        <v>1</v>
      </c>
      <c r="J511" t="n">
        <v>0</v>
      </c>
      <c r="K511" t="n">
        <v>0</v>
      </c>
      <c r="L511" t="n">
        <v>0</v>
      </c>
      <c r="M511" t="n">
        <v>0</v>
      </c>
      <c r="N511" t="n">
        <v>0</v>
      </c>
      <c r="O511" t="n">
        <v>0</v>
      </c>
      <c r="P511" t="n">
        <v>0</v>
      </c>
      <c r="Q511" t="n">
        <v>1</v>
      </c>
      <c r="R511" s="2" t="inlineStr">
        <is>
          <t>Tibast</t>
        </is>
      </c>
      <c r="S511">
        <f>HYPERLINK("https://klasma.github.io/Logging_2581/artfynd/A 21102-2024 artfynd.xlsx", "A 21102-2024")</f>
        <v/>
      </c>
      <c r="T511">
        <f>HYPERLINK("https://klasma.github.io/Logging_2581/kartor/A 21102-2024 karta.png", "A 21102-2024")</f>
        <v/>
      </c>
      <c r="V511">
        <f>HYPERLINK("https://klasma.github.io/Logging_2581/klagomål/A 21102-2024 FSC-klagomål.docx", "A 21102-2024")</f>
        <v/>
      </c>
      <c r="W511">
        <f>HYPERLINK("https://klasma.github.io/Logging_2581/klagomålsmail/A 21102-2024 FSC-klagomål mail.docx", "A 21102-2024")</f>
        <v/>
      </c>
      <c r="X511">
        <f>HYPERLINK("https://klasma.github.io/Logging_2581/tillsyn/A 21102-2024 tillsynsbegäran.docx", "A 21102-2024")</f>
        <v/>
      </c>
      <c r="Y511">
        <f>HYPERLINK("https://klasma.github.io/Logging_2581/tillsynsmail/A 21102-2024 tillsynsbegäran mail.docx", "A 21102-2024")</f>
        <v/>
      </c>
    </row>
    <row r="512" ht="15" customHeight="1">
      <c r="A512" t="inlineStr">
        <is>
          <t>A 48899-2024</t>
        </is>
      </c>
      <c r="B512" s="1" t="n">
        <v>45594</v>
      </c>
      <c r="C512" s="1" t="n">
        <v>45895</v>
      </c>
      <c r="D512" t="inlineStr">
        <is>
          <t>NORRBOTTENS LÄN</t>
        </is>
      </c>
      <c r="E512" t="inlineStr">
        <is>
          <t>BODEN</t>
        </is>
      </c>
      <c r="F512" t="inlineStr">
        <is>
          <t>SCA</t>
        </is>
      </c>
      <c r="G512" t="n">
        <v>18</v>
      </c>
      <c r="H512" t="n">
        <v>1</v>
      </c>
      <c r="I512" t="n">
        <v>0</v>
      </c>
      <c r="J512" t="n">
        <v>0</v>
      </c>
      <c r="K512" t="n">
        <v>0</v>
      </c>
      <c r="L512" t="n">
        <v>0</v>
      </c>
      <c r="M512" t="n">
        <v>0</v>
      </c>
      <c r="N512" t="n">
        <v>0</v>
      </c>
      <c r="O512" t="n">
        <v>0</v>
      </c>
      <c r="P512" t="n">
        <v>0</v>
      </c>
      <c r="Q512" t="n">
        <v>1</v>
      </c>
      <c r="R512" s="2" t="inlineStr">
        <is>
          <t>Fläcknycklar</t>
        </is>
      </c>
      <c r="S512">
        <f>HYPERLINK("https://klasma.github.io/Logging_2582/artfynd/A 48899-2024 artfynd.xlsx", "A 48899-2024")</f>
        <v/>
      </c>
      <c r="T512">
        <f>HYPERLINK("https://klasma.github.io/Logging_2582/kartor/A 48899-2024 karta.png", "A 48899-2024")</f>
        <v/>
      </c>
      <c r="V512">
        <f>HYPERLINK("https://klasma.github.io/Logging_2582/klagomål/A 48899-2024 FSC-klagomål.docx", "A 48899-2024")</f>
        <v/>
      </c>
      <c r="W512">
        <f>HYPERLINK("https://klasma.github.io/Logging_2582/klagomålsmail/A 48899-2024 FSC-klagomål mail.docx", "A 48899-2024")</f>
        <v/>
      </c>
      <c r="X512">
        <f>HYPERLINK("https://klasma.github.io/Logging_2582/tillsyn/A 48899-2024 tillsynsbegäran.docx", "A 48899-2024")</f>
        <v/>
      </c>
      <c r="Y512">
        <f>HYPERLINK("https://klasma.github.io/Logging_2582/tillsynsmail/A 48899-2024 tillsynsbegäran mail.docx", "A 48899-2024")</f>
        <v/>
      </c>
    </row>
    <row r="513" ht="15" customHeight="1">
      <c r="A513" t="inlineStr">
        <is>
          <t>A 32600-2024</t>
        </is>
      </c>
      <c r="B513" s="1" t="n">
        <v>45513</v>
      </c>
      <c r="C513" s="1" t="n">
        <v>45895</v>
      </c>
      <c r="D513" t="inlineStr">
        <is>
          <t>NORRBOTTENS LÄN</t>
        </is>
      </c>
      <c r="E513" t="inlineStr">
        <is>
          <t>BODEN</t>
        </is>
      </c>
      <c r="G513" t="n">
        <v>2.5</v>
      </c>
      <c r="H513" t="n">
        <v>0</v>
      </c>
      <c r="I513" t="n">
        <v>0</v>
      </c>
      <c r="J513" t="n">
        <v>1</v>
      </c>
      <c r="K513" t="n">
        <v>0</v>
      </c>
      <c r="L513" t="n">
        <v>0</v>
      </c>
      <c r="M513" t="n">
        <v>0</v>
      </c>
      <c r="N513" t="n">
        <v>0</v>
      </c>
      <c r="O513" t="n">
        <v>1</v>
      </c>
      <c r="P513" t="n">
        <v>0</v>
      </c>
      <c r="Q513" t="n">
        <v>1</v>
      </c>
      <c r="R513" s="2" t="inlineStr">
        <is>
          <t>Lunglav</t>
        </is>
      </c>
      <c r="S513">
        <f>HYPERLINK("https://klasma.github.io/Logging_2582/artfynd/A 32600-2024 artfynd.xlsx", "A 32600-2024")</f>
        <v/>
      </c>
      <c r="T513">
        <f>HYPERLINK("https://klasma.github.io/Logging_2582/kartor/A 32600-2024 karta.png", "A 32600-2024")</f>
        <v/>
      </c>
      <c r="V513">
        <f>HYPERLINK("https://klasma.github.io/Logging_2582/klagomål/A 32600-2024 FSC-klagomål.docx", "A 32600-2024")</f>
        <v/>
      </c>
      <c r="W513">
        <f>HYPERLINK("https://klasma.github.io/Logging_2582/klagomålsmail/A 32600-2024 FSC-klagomål mail.docx", "A 32600-2024")</f>
        <v/>
      </c>
      <c r="X513">
        <f>HYPERLINK("https://klasma.github.io/Logging_2582/tillsyn/A 32600-2024 tillsynsbegäran.docx", "A 32600-2024")</f>
        <v/>
      </c>
      <c r="Y513">
        <f>HYPERLINK("https://klasma.github.io/Logging_2582/tillsynsmail/A 32600-2024 tillsynsbegäran mail.docx", "A 32600-2024")</f>
        <v/>
      </c>
    </row>
    <row r="514" ht="15" customHeight="1">
      <c r="A514" t="inlineStr">
        <is>
          <t>A 29314-2023</t>
        </is>
      </c>
      <c r="B514" s="1" t="n">
        <v>45105</v>
      </c>
      <c r="C514" s="1" t="n">
        <v>45895</v>
      </c>
      <c r="D514" t="inlineStr">
        <is>
          <t>NORRBOTTENS LÄN</t>
        </is>
      </c>
      <c r="E514" t="inlineStr">
        <is>
          <t>ARVIDSJAUR</t>
        </is>
      </c>
      <c r="G514" t="n">
        <v>1.7</v>
      </c>
      <c r="H514" t="n">
        <v>1</v>
      </c>
      <c r="I514" t="n">
        <v>0</v>
      </c>
      <c r="J514" t="n">
        <v>0</v>
      </c>
      <c r="K514" t="n">
        <v>0</v>
      </c>
      <c r="L514" t="n">
        <v>0</v>
      </c>
      <c r="M514" t="n">
        <v>0</v>
      </c>
      <c r="N514" t="n">
        <v>0</v>
      </c>
      <c r="O514" t="n">
        <v>0</v>
      </c>
      <c r="P514" t="n">
        <v>0</v>
      </c>
      <c r="Q514" t="n">
        <v>1</v>
      </c>
      <c r="R514" s="2" t="inlineStr">
        <is>
          <t>Lavskrika</t>
        </is>
      </c>
      <c r="S514">
        <f>HYPERLINK("https://klasma.github.io/Logging_2505/artfynd/A 29314-2023 artfynd.xlsx", "A 29314-2023")</f>
        <v/>
      </c>
      <c r="T514">
        <f>HYPERLINK("https://klasma.github.io/Logging_2505/kartor/A 29314-2023 karta.png", "A 29314-2023")</f>
        <v/>
      </c>
      <c r="V514">
        <f>HYPERLINK("https://klasma.github.io/Logging_2505/klagomål/A 29314-2023 FSC-klagomål.docx", "A 29314-2023")</f>
        <v/>
      </c>
      <c r="W514">
        <f>HYPERLINK("https://klasma.github.io/Logging_2505/klagomålsmail/A 29314-2023 FSC-klagomål mail.docx", "A 29314-2023")</f>
        <v/>
      </c>
      <c r="X514">
        <f>HYPERLINK("https://klasma.github.io/Logging_2505/tillsyn/A 29314-2023 tillsynsbegäran.docx", "A 29314-2023")</f>
        <v/>
      </c>
      <c r="Y514">
        <f>HYPERLINK("https://klasma.github.io/Logging_2505/tillsynsmail/A 29314-2023 tillsynsbegäran mail.docx", "A 29314-2023")</f>
        <v/>
      </c>
      <c r="Z514">
        <f>HYPERLINK("https://klasma.github.io/Logging_2505/fåglar/A 29314-2023 prioriterade fågelarter.docx", "A 29314-2023")</f>
        <v/>
      </c>
    </row>
    <row r="515" ht="15" customHeight="1">
      <c r="A515" t="inlineStr">
        <is>
          <t>A 43023-2024</t>
        </is>
      </c>
      <c r="B515" s="1" t="n">
        <v>45567</v>
      </c>
      <c r="C515" s="1" t="n">
        <v>45895</v>
      </c>
      <c r="D515" t="inlineStr">
        <is>
          <t>NORRBOTTENS LÄN</t>
        </is>
      </c>
      <c r="E515" t="inlineStr">
        <is>
          <t>JOKKMOKK</t>
        </is>
      </c>
      <c r="F515" t="inlineStr">
        <is>
          <t>Sveaskog</t>
        </is>
      </c>
      <c r="G515" t="n">
        <v>11.1</v>
      </c>
      <c r="H515" t="n">
        <v>0</v>
      </c>
      <c r="I515" t="n">
        <v>1</v>
      </c>
      <c r="J515" t="n">
        <v>0</v>
      </c>
      <c r="K515" t="n">
        <v>0</v>
      </c>
      <c r="L515" t="n">
        <v>0</v>
      </c>
      <c r="M515" t="n">
        <v>0</v>
      </c>
      <c r="N515" t="n">
        <v>0</v>
      </c>
      <c r="O515" t="n">
        <v>0</v>
      </c>
      <c r="P515" t="n">
        <v>0</v>
      </c>
      <c r="Q515" t="n">
        <v>1</v>
      </c>
      <c r="R515" s="2" t="inlineStr">
        <is>
          <t>Skarp dropptaggsvamp</t>
        </is>
      </c>
      <c r="S515">
        <f>HYPERLINK("https://klasma.github.io/Logging_2510/artfynd/A 43023-2024 artfynd.xlsx", "A 43023-2024")</f>
        <v/>
      </c>
      <c r="T515">
        <f>HYPERLINK("https://klasma.github.io/Logging_2510/kartor/A 43023-2024 karta.png", "A 43023-2024")</f>
        <v/>
      </c>
      <c r="V515">
        <f>HYPERLINK("https://klasma.github.io/Logging_2510/klagomål/A 43023-2024 FSC-klagomål.docx", "A 43023-2024")</f>
        <v/>
      </c>
      <c r="W515">
        <f>HYPERLINK("https://klasma.github.io/Logging_2510/klagomålsmail/A 43023-2024 FSC-klagomål mail.docx", "A 43023-2024")</f>
        <v/>
      </c>
      <c r="X515">
        <f>HYPERLINK("https://klasma.github.io/Logging_2510/tillsyn/A 43023-2024 tillsynsbegäran.docx", "A 43023-2024")</f>
        <v/>
      </c>
      <c r="Y515">
        <f>HYPERLINK("https://klasma.github.io/Logging_2510/tillsynsmail/A 43023-2024 tillsynsbegäran mail.docx", "A 43023-2024")</f>
        <v/>
      </c>
    </row>
    <row r="516" ht="15" customHeight="1">
      <c r="A516" t="inlineStr">
        <is>
          <t>A 8985-2024</t>
        </is>
      </c>
      <c r="B516" s="1" t="n">
        <v>45356</v>
      </c>
      <c r="C516" s="1" t="n">
        <v>45895</v>
      </c>
      <c r="D516" t="inlineStr">
        <is>
          <t>NORRBOTTENS LÄN</t>
        </is>
      </c>
      <c r="E516" t="inlineStr">
        <is>
          <t>PAJALA</t>
        </is>
      </c>
      <c r="G516" t="n">
        <v>16.2</v>
      </c>
      <c r="H516" t="n">
        <v>1</v>
      </c>
      <c r="I516" t="n">
        <v>0</v>
      </c>
      <c r="J516" t="n">
        <v>0</v>
      </c>
      <c r="K516" t="n">
        <v>0</v>
      </c>
      <c r="L516" t="n">
        <v>0</v>
      </c>
      <c r="M516" t="n">
        <v>0</v>
      </c>
      <c r="N516" t="n">
        <v>0</v>
      </c>
      <c r="O516" t="n">
        <v>0</v>
      </c>
      <c r="P516" t="n">
        <v>0</v>
      </c>
      <c r="Q516" t="n">
        <v>1</v>
      </c>
      <c r="R516" s="2" t="inlineStr">
        <is>
          <t>Fläcknycklar</t>
        </is>
      </c>
      <c r="S516">
        <f>HYPERLINK("https://klasma.github.io/Logging_2521/artfynd/A 8985-2024 artfynd.xlsx", "A 8985-2024")</f>
        <v/>
      </c>
      <c r="T516">
        <f>HYPERLINK("https://klasma.github.io/Logging_2521/kartor/A 8985-2024 karta.png", "A 8985-2024")</f>
        <v/>
      </c>
      <c r="V516">
        <f>HYPERLINK("https://klasma.github.io/Logging_2521/klagomål/A 8985-2024 FSC-klagomål.docx", "A 8985-2024")</f>
        <v/>
      </c>
      <c r="W516">
        <f>HYPERLINK("https://klasma.github.io/Logging_2521/klagomålsmail/A 8985-2024 FSC-klagomål mail.docx", "A 8985-2024")</f>
        <v/>
      </c>
      <c r="X516">
        <f>HYPERLINK("https://klasma.github.io/Logging_2521/tillsyn/A 8985-2024 tillsynsbegäran.docx", "A 8985-2024")</f>
        <v/>
      </c>
      <c r="Y516">
        <f>HYPERLINK("https://klasma.github.io/Logging_2521/tillsynsmail/A 8985-2024 tillsynsbegäran mail.docx", "A 8985-2024")</f>
        <v/>
      </c>
    </row>
    <row r="517" ht="15" customHeight="1">
      <c r="A517" t="inlineStr">
        <is>
          <t>A 56592-2023</t>
        </is>
      </c>
      <c r="B517" s="1" t="n">
        <v>45243.64162037037</v>
      </c>
      <c r="C517" s="1" t="n">
        <v>45895</v>
      </c>
      <c r="D517" t="inlineStr">
        <is>
          <t>NORRBOTTENS LÄN</t>
        </is>
      </c>
      <c r="E517" t="inlineStr">
        <is>
          <t>PITEÅ</t>
        </is>
      </c>
      <c r="F517" t="inlineStr">
        <is>
          <t>Sveaskog</t>
        </is>
      </c>
      <c r="G517" t="n">
        <v>22.6</v>
      </c>
      <c r="H517" t="n">
        <v>1</v>
      </c>
      <c r="I517" t="n">
        <v>0</v>
      </c>
      <c r="J517" t="n">
        <v>0</v>
      </c>
      <c r="K517" t="n">
        <v>0</v>
      </c>
      <c r="L517" t="n">
        <v>0</v>
      </c>
      <c r="M517" t="n">
        <v>0</v>
      </c>
      <c r="N517" t="n">
        <v>0</v>
      </c>
      <c r="O517" t="n">
        <v>0</v>
      </c>
      <c r="P517" t="n">
        <v>0</v>
      </c>
      <c r="Q517" t="n">
        <v>1</v>
      </c>
      <c r="R517" s="2" t="inlineStr">
        <is>
          <t>Mattlummer</t>
        </is>
      </c>
      <c r="S517">
        <f>HYPERLINK("https://klasma.github.io/Logging_2581/artfynd/A 56592-2023 artfynd.xlsx", "A 56592-2023")</f>
        <v/>
      </c>
      <c r="T517">
        <f>HYPERLINK("https://klasma.github.io/Logging_2581/kartor/A 56592-2023 karta.png", "A 56592-2023")</f>
        <v/>
      </c>
      <c r="V517">
        <f>HYPERLINK("https://klasma.github.io/Logging_2581/klagomål/A 56592-2023 FSC-klagomål.docx", "A 56592-2023")</f>
        <v/>
      </c>
      <c r="W517">
        <f>HYPERLINK("https://klasma.github.io/Logging_2581/klagomålsmail/A 56592-2023 FSC-klagomål mail.docx", "A 56592-2023")</f>
        <v/>
      </c>
      <c r="X517">
        <f>HYPERLINK("https://klasma.github.io/Logging_2581/tillsyn/A 56592-2023 tillsynsbegäran.docx", "A 56592-2023")</f>
        <v/>
      </c>
      <c r="Y517">
        <f>HYPERLINK("https://klasma.github.io/Logging_2581/tillsynsmail/A 56592-2023 tillsynsbegäran mail.docx", "A 56592-2023")</f>
        <v/>
      </c>
    </row>
    <row r="518" ht="15" customHeight="1">
      <c r="A518" t="inlineStr">
        <is>
          <t>A 25700-2025</t>
        </is>
      </c>
      <c r="B518" s="1" t="n">
        <v>45803.66833333333</v>
      </c>
      <c r="C518" s="1" t="n">
        <v>45895</v>
      </c>
      <c r="D518" t="inlineStr">
        <is>
          <t>NORRBOTTENS LÄN</t>
        </is>
      </c>
      <c r="E518" t="inlineStr">
        <is>
          <t>BODEN</t>
        </is>
      </c>
      <c r="F518" t="inlineStr">
        <is>
          <t>Sveaskog</t>
        </is>
      </c>
      <c r="G518" t="n">
        <v>17.3</v>
      </c>
      <c r="H518" t="n">
        <v>0</v>
      </c>
      <c r="I518" t="n">
        <v>0</v>
      </c>
      <c r="J518" t="n">
        <v>1</v>
      </c>
      <c r="K518" t="n">
        <v>0</v>
      </c>
      <c r="L518" t="n">
        <v>0</v>
      </c>
      <c r="M518" t="n">
        <v>0</v>
      </c>
      <c r="N518" t="n">
        <v>0</v>
      </c>
      <c r="O518" t="n">
        <v>1</v>
      </c>
      <c r="P518" t="n">
        <v>0</v>
      </c>
      <c r="Q518" t="n">
        <v>1</v>
      </c>
      <c r="R518" s="2" t="inlineStr">
        <is>
          <t>Lunglav</t>
        </is>
      </c>
      <c r="S518">
        <f>HYPERLINK("https://klasma.github.io/Logging_2582/artfynd/A 25700-2025 artfynd.xlsx", "A 25700-2025")</f>
        <v/>
      </c>
      <c r="T518">
        <f>HYPERLINK("https://klasma.github.io/Logging_2582/kartor/A 25700-2025 karta.png", "A 25700-2025")</f>
        <v/>
      </c>
      <c r="V518">
        <f>HYPERLINK("https://klasma.github.io/Logging_2582/klagomål/A 25700-2025 FSC-klagomål.docx", "A 25700-2025")</f>
        <v/>
      </c>
      <c r="W518">
        <f>HYPERLINK("https://klasma.github.io/Logging_2582/klagomålsmail/A 25700-2025 FSC-klagomål mail.docx", "A 25700-2025")</f>
        <v/>
      </c>
      <c r="X518">
        <f>HYPERLINK("https://klasma.github.io/Logging_2582/tillsyn/A 25700-2025 tillsynsbegäran.docx", "A 25700-2025")</f>
        <v/>
      </c>
      <c r="Y518">
        <f>HYPERLINK("https://klasma.github.io/Logging_2582/tillsynsmail/A 25700-2025 tillsynsbegäran mail.docx", "A 25700-2025")</f>
        <v/>
      </c>
    </row>
    <row r="519" ht="15" customHeight="1">
      <c r="A519" t="inlineStr">
        <is>
          <t>A 25701-2025</t>
        </is>
      </c>
      <c r="B519" s="1" t="n">
        <v>45803.67</v>
      </c>
      <c r="C519" s="1" t="n">
        <v>45895</v>
      </c>
      <c r="D519" t="inlineStr">
        <is>
          <t>NORRBOTTENS LÄN</t>
        </is>
      </c>
      <c r="E519" t="inlineStr">
        <is>
          <t>BODEN</t>
        </is>
      </c>
      <c r="F519" t="inlineStr">
        <is>
          <t>Sveaskog</t>
        </is>
      </c>
      <c r="G519" t="n">
        <v>8.800000000000001</v>
      </c>
      <c r="H519" t="n">
        <v>0</v>
      </c>
      <c r="I519" t="n">
        <v>0</v>
      </c>
      <c r="J519" t="n">
        <v>1</v>
      </c>
      <c r="K519" t="n">
        <v>0</v>
      </c>
      <c r="L519" t="n">
        <v>0</v>
      </c>
      <c r="M519" t="n">
        <v>0</v>
      </c>
      <c r="N519" t="n">
        <v>0</v>
      </c>
      <c r="O519" t="n">
        <v>1</v>
      </c>
      <c r="P519" t="n">
        <v>0</v>
      </c>
      <c r="Q519" t="n">
        <v>1</v>
      </c>
      <c r="R519" s="2" t="inlineStr">
        <is>
          <t>Lunglav</t>
        </is>
      </c>
      <c r="S519">
        <f>HYPERLINK("https://klasma.github.io/Logging_2582/artfynd/A 25701-2025 artfynd.xlsx", "A 25701-2025")</f>
        <v/>
      </c>
      <c r="T519">
        <f>HYPERLINK("https://klasma.github.io/Logging_2582/kartor/A 25701-2025 karta.png", "A 25701-2025")</f>
        <v/>
      </c>
      <c r="V519">
        <f>HYPERLINK("https://klasma.github.io/Logging_2582/klagomål/A 25701-2025 FSC-klagomål.docx", "A 25701-2025")</f>
        <v/>
      </c>
      <c r="W519">
        <f>HYPERLINK("https://klasma.github.io/Logging_2582/klagomålsmail/A 25701-2025 FSC-klagomål mail.docx", "A 25701-2025")</f>
        <v/>
      </c>
      <c r="X519">
        <f>HYPERLINK("https://klasma.github.io/Logging_2582/tillsyn/A 25701-2025 tillsynsbegäran.docx", "A 25701-2025")</f>
        <v/>
      </c>
      <c r="Y519">
        <f>HYPERLINK("https://klasma.github.io/Logging_2582/tillsynsmail/A 25701-2025 tillsynsbegäran mail.docx", "A 25701-2025")</f>
        <v/>
      </c>
    </row>
    <row r="520" ht="15" customHeight="1">
      <c r="A520" t="inlineStr">
        <is>
          <t>A 45386-2024</t>
        </is>
      </c>
      <c r="B520" s="1" t="n">
        <v>45576.53655092593</v>
      </c>
      <c r="C520" s="1" t="n">
        <v>45895</v>
      </c>
      <c r="D520" t="inlineStr">
        <is>
          <t>NORRBOTTENS LÄN</t>
        </is>
      </c>
      <c r="E520" t="inlineStr">
        <is>
          <t>ARVIDSJAUR</t>
        </is>
      </c>
      <c r="F520" t="inlineStr">
        <is>
          <t>Sveaskog</t>
        </is>
      </c>
      <c r="G520" t="n">
        <v>11.9</v>
      </c>
      <c r="H520" t="n">
        <v>0</v>
      </c>
      <c r="I520" t="n">
        <v>1</v>
      </c>
      <c r="J520" t="n">
        <v>0</v>
      </c>
      <c r="K520" t="n">
        <v>0</v>
      </c>
      <c r="L520" t="n">
        <v>0</v>
      </c>
      <c r="M520" t="n">
        <v>0</v>
      </c>
      <c r="N520" t="n">
        <v>0</v>
      </c>
      <c r="O520" t="n">
        <v>0</v>
      </c>
      <c r="P520" t="n">
        <v>0</v>
      </c>
      <c r="Q520" t="n">
        <v>1</v>
      </c>
      <c r="R520" s="2" t="inlineStr">
        <is>
          <t>Dropptaggsvamp</t>
        </is>
      </c>
      <c r="S520">
        <f>HYPERLINK("https://klasma.github.io/Logging_2505/artfynd/A 45386-2024 artfynd.xlsx", "A 45386-2024")</f>
        <v/>
      </c>
      <c r="T520">
        <f>HYPERLINK("https://klasma.github.io/Logging_2505/kartor/A 45386-2024 karta.png", "A 45386-2024")</f>
        <v/>
      </c>
      <c r="V520">
        <f>HYPERLINK("https://klasma.github.io/Logging_2505/klagomål/A 45386-2024 FSC-klagomål.docx", "A 45386-2024")</f>
        <v/>
      </c>
      <c r="W520">
        <f>HYPERLINK("https://klasma.github.io/Logging_2505/klagomålsmail/A 45386-2024 FSC-klagomål mail.docx", "A 45386-2024")</f>
        <v/>
      </c>
      <c r="X520">
        <f>HYPERLINK("https://klasma.github.io/Logging_2505/tillsyn/A 45386-2024 tillsynsbegäran.docx", "A 45386-2024")</f>
        <v/>
      </c>
      <c r="Y520">
        <f>HYPERLINK("https://klasma.github.io/Logging_2505/tillsynsmail/A 45386-2024 tillsynsbegäran mail.docx", "A 45386-2024")</f>
        <v/>
      </c>
    </row>
    <row r="521" ht="15" customHeight="1">
      <c r="A521" t="inlineStr">
        <is>
          <t>A 44777-2024</t>
        </is>
      </c>
      <c r="B521" s="1" t="n">
        <v>45574</v>
      </c>
      <c r="C521" s="1" t="n">
        <v>45895</v>
      </c>
      <c r="D521" t="inlineStr">
        <is>
          <t>NORRBOTTENS LÄN</t>
        </is>
      </c>
      <c r="E521" t="inlineStr">
        <is>
          <t>PAJALA</t>
        </is>
      </c>
      <c r="F521" t="inlineStr">
        <is>
          <t>Sveaskog</t>
        </is>
      </c>
      <c r="G521" t="n">
        <v>6.3</v>
      </c>
      <c r="H521" t="n">
        <v>0</v>
      </c>
      <c r="I521" t="n">
        <v>0</v>
      </c>
      <c r="J521" t="n">
        <v>1</v>
      </c>
      <c r="K521" t="n">
        <v>0</v>
      </c>
      <c r="L521" t="n">
        <v>0</v>
      </c>
      <c r="M521" t="n">
        <v>0</v>
      </c>
      <c r="N521" t="n">
        <v>0</v>
      </c>
      <c r="O521" t="n">
        <v>1</v>
      </c>
      <c r="P521" t="n">
        <v>0</v>
      </c>
      <c r="Q521" t="n">
        <v>1</v>
      </c>
      <c r="R521" s="2" t="inlineStr">
        <is>
          <t>Garnlav</t>
        </is>
      </c>
      <c r="S521">
        <f>HYPERLINK("https://klasma.github.io/Logging_2521/artfynd/A 44777-2024 artfynd.xlsx", "A 44777-2024")</f>
        <v/>
      </c>
      <c r="T521">
        <f>HYPERLINK("https://klasma.github.io/Logging_2521/kartor/A 44777-2024 karta.png", "A 44777-2024")</f>
        <v/>
      </c>
      <c r="V521">
        <f>HYPERLINK("https://klasma.github.io/Logging_2521/klagomål/A 44777-2024 FSC-klagomål.docx", "A 44777-2024")</f>
        <v/>
      </c>
      <c r="W521">
        <f>HYPERLINK("https://klasma.github.io/Logging_2521/klagomålsmail/A 44777-2024 FSC-klagomål mail.docx", "A 44777-2024")</f>
        <v/>
      </c>
      <c r="X521">
        <f>HYPERLINK("https://klasma.github.io/Logging_2521/tillsyn/A 44777-2024 tillsynsbegäran.docx", "A 44777-2024")</f>
        <v/>
      </c>
      <c r="Y521">
        <f>HYPERLINK("https://klasma.github.io/Logging_2521/tillsynsmail/A 44777-2024 tillsynsbegäran mail.docx", "A 44777-2024")</f>
        <v/>
      </c>
    </row>
    <row r="522" ht="15" customHeight="1">
      <c r="A522" t="inlineStr">
        <is>
          <t>A 43039-2024</t>
        </is>
      </c>
      <c r="B522" s="1" t="n">
        <v>45567</v>
      </c>
      <c r="C522" s="1" t="n">
        <v>45895</v>
      </c>
      <c r="D522" t="inlineStr">
        <is>
          <t>NORRBOTTENS LÄN</t>
        </is>
      </c>
      <c r="E522" t="inlineStr">
        <is>
          <t>JOKKMOKK</t>
        </is>
      </c>
      <c r="F522" t="inlineStr">
        <is>
          <t>Sveaskog</t>
        </is>
      </c>
      <c r="G522" t="n">
        <v>8.199999999999999</v>
      </c>
      <c r="H522" t="n">
        <v>1</v>
      </c>
      <c r="I522" t="n">
        <v>0</v>
      </c>
      <c r="J522" t="n">
        <v>0</v>
      </c>
      <c r="K522" t="n">
        <v>1</v>
      </c>
      <c r="L522" t="n">
        <v>0</v>
      </c>
      <c r="M522" t="n">
        <v>0</v>
      </c>
      <c r="N522" t="n">
        <v>0</v>
      </c>
      <c r="O522" t="n">
        <v>1</v>
      </c>
      <c r="P522" t="n">
        <v>1</v>
      </c>
      <c r="Q522" t="n">
        <v>1</v>
      </c>
      <c r="R522" s="2" t="inlineStr">
        <is>
          <t>Doftticka</t>
        </is>
      </c>
      <c r="S522">
        <f>HYPERLINK("https://klasma.github.io/Logging_2510/artfynd/A 43039-2024 artfynd.xlsx", "A 43039-2024")</f>
        <v/>
      </c>
      <c r="T522">
        <f>HYPERLINK("https://klasma.github.io/Logging_2510/kartor/A 43039-2024 karta.png", "A 43039-2024")</f>
        <v/>
      </c>
      <c r="V522">
        <f>HYPERLINK("https://klasma.github.io/Logging_2510/klagomål/A 43039-2024 FSC-klagomål.docx", "A 43039-2024")</f>
        <v/>
      </c>
      <c r="W522">
        <f>HYPERLINK("https://klasma.github.io/Logging_2510/klagomålsmail/A 43039-2024 FSC-klagomål mail.docx", "A 43039-2024")</f>
        <v/>
      </c>
      <c r="X522">
        <f>HYPERLINK("https://klasma.github.io/Logging_2510/tillsyn/A 43039-2024 tillsynsbegäran.docx", "A 43039-2024")</f>
        <v/>
      </c>
      <c r="Y522">
        <f>HYPERLINK("https://klasma.github.io/Logging_2510/tillsynsmail/A 43039-2024 tillsynsbegäran mail.docx", "A 43039-2024")</f>
        <v/>
      </c>
    </row>
    <row r="523" ht="15" customHeight="1">
      <c r="A523" t="inlineStr">
        <is>
          <t>A 26305-2025</t>
        </is>
      </c>
      <c r="B523" s="1" t="n">
        <v>45805.64427083333</v>
      </c>
      <c r="C523" s="1" t="n">
        <v>45895</v>
      </c>
      <c r="D523" t="inlineStr">
        <is>
          <t>NORRBOTTENS LÄN</t>
        </is>
      </c>
      <c r="E523" t="inlineStr">
        <is>
          <t>ÖVERKALIX</t>
        </is>
      </c>
      <c r="F523" t="inlineStr">
        <is>
          <t>Sveaskog</t>
        </is>
      </c>
      <c r="G523" t="n">
        <v>5.2</v>
      </c>
      <c r="H523" t="n">
        <v>0</v>
      </c>
      <c r="I523" t="n">
        <v>1</v>
      </c>
      <c r="J523" t="n">
        <v>0</v>
      </c>
      <c r="K523" t="n">
        <v>0</v>
      </c>
      <c r="L523" t="n">
        <v>0</v>
      </c>
      <c r="M523" t="n">
        <v>0</v>
      </c>
      <c r="N523" t="n">
        <v>0</v>
      </c>
      <c r="O523" t="n">
        <v>0</v>
      </c>
      <c r="P523" t="n">
        <v>0</v>
      </c>
      <c r="Q523" t="n">
        <v>1</v>
      </c>
      <c r="R523" s="2" t="inlineStr">
        <is>
          <t>Luddlav</t>
        </is>
      </c>
      <c r="S523">
        <f>HYPERLINK("https://klasma.github.io/Logging_2513/artfynd/A 26305-2025 artfynd.xlsx", "A 26305-2025")</f>
        <v/>
      </c>
      <c r="T523">
        <f>HYPERLINK("https://klasma.github.io/Logging_2513/kartor/A 26305-2025 karta.png", "A 26305-2025")</f>
        <v/>
      </c>
      <c r="V523">
        <f>HYPERLINK("https://klasma.github.io/Logging_2513/klagomål/A 26305-2025 FSC-klagomål.docx", "A 26305-2025")</f>
        <v/>
      </c>
      <c r="W523">
        <f>HYPERLINK("https://klasma.github.io/Logging_2513/klagomålsmail/A 26305-2025 FSC-klagomål mail.docx", "A 26305-2025")</f>
        <v/>
      </c>
      <c r="X523">
        <f>HYPERLINK("https://klasma.github.io/Logging_2513/tillsyn/A 26305-2025 tillsynsbegäran.docx", "A 26305-2025")</f>
        <v/>
      </c>
      <c r="Y523">
        <f>HYPERLINK("https://klasma.github.io/Logging_2513/tillsynsmail/A 26305-2025 tillsynsbegäran mail.docx", "A 26305-2025")</f>
        <v/>
      </c>
    </row>
    <row r="524" ht="15" customHeight="1">
      <c r="A524" t="inlineStr">
        <is>
          <t>A 7477-2023</t>
        </is>
      </c>
      <c r="B524" s="1" t="n">
        <v>44966</v>
      </c>
      <c r="C524" s="1" t="n">
        <v>45895</v>
      </c>
      <c r="D524" t="inlineStr">
        <is>
          <t>NORRBOTTENS LÄN</t>
        </is>
      </c>
      <c r="E524" t="inlineStr">
        <is>
          <t>ÖVERKALIX</t>
        </is>
      </c>
      <c r="G524" t="n">
        <v>2.6</v>
      </c>
      <c r="H524" t="n">
        <v>0</v>
      </c>
      <c r="I524" t="n">
        <v>1</v>
      </c>
      <c r="J524" t="n">
        <v>0</v>
      </c>
      <c r="K524" t="n">
        <v>0</v>
      </c>
      <c r="L524" t="n">
        <v>0</v>
      </c>
      <c r="M524" t="n">
        <v>0</v>
      </c>
      <c r="N524" t="n">
        <v>0</v>
      </c>
      <c r="O524" t="n">
        <v>0</v>
      </c>
      <c r="P524" t="n">
        <v>0</v>
      </c>
      <c r="Q524" t="n">
        <v>1</v>
      </c>
      <c r="R524" s="2" t="inlineStr">
        <is>
          <t>Skarp dropptaggsvamp</t>
        </is>
      </c>
      <c r="S524">
        <f>HYPERLINK("https://klasma.github.io/Logging_2513/artfynd/A 7477-2023 artfynd.xlsx", "A 7477-2023")</f>
        <v/>
      </c>
      <c r="T524">
        <f>HYPERLINK("https://klasma.github.io/Logging_2513/kartor/A 7477-2023 karta.png", "A 7477-2023")</f>
        <v/>
      </c>
      <c r="V524">
        <f>HYPERLINK("https://klasma.github.io/Logging_2513/klagomål/A 7477-2023 FSC-klagomål.docx", "A 7477-2023")</f>
        <v/>
      </c>
      <c r="W524">
        <f>HYPERLINK("https://klasma.github.io/Logging_2513/klagomålsmail/A 7477-2023 FSC-klagomål mail.docx", "A 7477-2023")</f>
        <v/>
      </c>
      <c r="X524">
        <f>HYPERLINK("https://klasma.github.io/Logging_2513/tillsyn/A 7477-2023 tillsynsbegäran.docx", "A 7477-2023")</f>
        <v/>
      </c>
      <c r="Y524">
        <f>HYPERLINK("https://klasma.github.io/Logging_2513/tillsynsmail/A 7477-2023 tillsynsbegäran mail.docx", "A 7477-2023")</f>
        <v/>
      </c>
    </row>
    <row r="525" ht="15" customHeight="1">
      <c r="A525" t="inlineStr">
        <is>
          <t>A 32599-2024</t>
        </is>
      </c>
      <c r="B525" s="1" t="n">
        <v>45513</v>
      </c>
      <c r="C525" s="1" t="n">
        <v>45895</v>
      </c>
      <c r="D525" t="inlineStr">
        <is>
          <t>NORRBOTTENS LÄN</t>
        </is>
      </c>
      <c r="E525" t="inlineStr">
        <is>
          <t>ARVIDSJAUR</t>
        </is>
      </c>
      <c r="F525" t="inlineStr">
        <is>
          <t>Sveaskog</t>
        </is>
      </c>
      <c r="G525" t="n">
        <v>12.2</v>
      </c>
      <c r="H525" t="n">
        <v>0</v>
      </c>
      <c r="I525" t="n">
        <v>0</v>
      </c>
      <c r="J525" t="n">
        <v>1</v>
      </c>
      <c r="K525" t="n">
        <v>0</v>
      </c>
      <c r="L525" t="n">
        <v>0</v>
      </c>
      <c r="M525" t="n">
        <v>0</v>
      </c>
      <c r="N525" t="n">
        <v>0</v>
      </c>
      <c r="O525" t="n">
        <v>1</v>
      </c>
      <c r="P525" t="n">
        <v>0</v>
      </c>
      <c r="Q525" t="n">
        <v>1</v>
      </c>
      <c r="R525" s="2" t="inlineStr">
        <is>
          <t>Lunglav</t>
        </is>
      </c>
      <c r="S525">
        <f>HYPERLINK("https://klasma.github.io/Logging_2505/artfynd/A 32599-2024 artfynd.xlsx", "A 32599-2024")</f>
        <v/>
      </c>
      <c r="T525">
        <f>HYPERLINK("https://klasma.github.io/Logging_2505/kartor/A 32599-2024 karta.png", "A 32599-2024")</f>
        <v/>
      </c>
      <c r="V525">
        <f>HYPERLINK("https://klasma.github.io/Logging_2505/klagomål/A 32599-2024 FSC-klagomål.docx", "A 32599-2024")</f>
        <v/>
      </c>
      <c r="W525">
        <f>HYPERLINK("https://klasma.github.io/Logging_2505/klagomålsmail/A 32599-2024 FSC-klagomål mail.docx", "A 32599-2024")</f>
        <v/>
      </c>
      <c r="X525">
        <f>HYPERLINK("https://klasma.github.io/Logging_2505/tillsyn/A 32599-2024 tillsynsbegäran.docx", "A 32599-2024")</f>
        <v/>
      </c>
      <c r="Y525">
        <f>HYPERLINK("https://klasma.github.io/Logging_2505/tillsynsmail/A 32599-2024 tillsynsbegäran mail.docx", "A 32599-2024")</f>
        <v/>
      </c>
    </row>
    <row r="526" ht="15" customHeight="1">
      <c r="A526" t="inlineStr">
        <is>
          <t>A 26447-2025</t>
        </is>
      </c>
      <c r="B526" s="1" t="n">
        <v>45807.41697916666</v>
      </c>
      <c r="C526" s="1" t="n">
        <v>45895</v>
      </c>
      <c r="D526" t="inlineStr">
        <is>
          <t>NORRBOTTENS LÄN</t>
        </is>
      </c>
      <c r="E526" t="inlineStr">
        <is>
          <t>ÖVERKALIX</t>
        </is>
      </c>
      <c r="F526" t="inlineStr">
        <is>
          <t>Sveaskog</t>
        </is>
      </c>
      <c r="G526" t="n">
        <v>9.800000000000001</v>
      </c>
      <c r="H526" t="n">
        <v>0</v>
      </c>
      <c r="I526" t="n">
        <v>0</v>
      </c>
      <c r="J526" t="n">
        <v>1</v>
      </c>
      <c r="K526" t="n">
        <v>0</v>
      </c>
      <c r="L526" t="n">
        <v>0</v>
      </c>
      <c r="M526" t="n">
        <v>0</v>
      </c>
      <c r="N526" t="n">
        <v>0</v>
      </c>
      <c r="O526" t="n">
        <v>1</v>
      </c>
      <c r="P526" t="n">
        <v>0</v>
      </c>
      <c r="Q526" t="n">
        <v>1</v>
      </c>
      <c r="R526" s="2" t="inlineStr">
        <is>
          <t>Lunglav</t>
        </is>
      </c>
      <c r="S526">
        <f>HYPERLINK("https://klasma.github.io/Logging_2513/artfynd/A 26447-2025 artfynd.xlsx", "A 26447-2025")</f>
        <v/>
      </c>
      <c r="T526">
        <f>HYPERLINK("https://klasma.github.io/Logging_2513/kartor/A 26447-2025 karta.png", "A 26447-2025")</f>
        <v/>
      </c>
      <c r="V526">
        <f>HYPERLINK("https://klasma.github.io/Logging_2513/klagomål/A 26447-2025 FSC-klagomål.docx", "A 26447-2025")</f>
        <v/>
      </c>
      <c r="W526">
        <f>HYPERLINK("https://klasma.github.io/Logging_2513/klagomålsmail/A 26447-2025 FSC-klagomål mail.docx", "A 26447-2025")</f>
        <v/>
      </c>
      <c r="X526">
        <f>HYPERLINK("https://klasma.github.io/Logging_2513/tillsyn/A 26447-2025 tillsynsbegäran.docx", "A 26447-2025")</f>
        <v/>
      </c>
      <c r="Y526">
        <f>HYPERLINK("https://klasma.github.io/Logging_2513/tillsynsmail/A 26447-2025 tillsynsbegäran mail.docx", "A 26447-2025")</f>
        <v/>
      </c>
    </row>
    <row r="527" ht="15" customHeight="1">
      <c r="A527" t="inlineStr">
        <is>
          <t>A 26760-2025</t>
        </is>
      </c>
      <c r="B527" s="1" t="n">
        <v>45810.56263888889</v>
      </c>
      <c r="C527" s="1" t="n">
        <v>45895</v>
      </c>
      <c r="D527" t="inlineStr">
        <is>
          <t>NORRBOTTENS LÄN</t>
        </is>
      </c>
      <c r="E527" t="inlineStr">
        <is>
          <t>ÖVERTORNEÅ</t>
        </is>
      </c>
      <c r="G527" t="n">
        <v>6.3</v>
      </c>
      <c r="H527" t="n">
        <v>1</v>
      </c>
      <c r="I527" t="n">
        <v>1</v>
      </c>
      <c r="J527" t="n">
        <v>0</v>
      </c>
      <c r="K527" t="n">
        <v>0</v>
      </c>
      <c r="L527" t="n">
        <v>0</v>
      </c>
      <c r="M527" t="n">
        <v>0</v>
      </c>
      <c r="N527" t="n">
        <v>0</v>
      </c>
      <c r="O527" t="n">
        <v>0</v>
      </c>
      <c r="P527" t="n">
        <v>0</v>
      </c>
      <c r="Q527" t="n">
        <v>1</v>
      </c>
      <c r="R527" s="2" t="inlineStr">
        <is>
          <t>Plattlummer</t>
        </is>
      </c>
      <c r="S527">
        <f>HYPERLINK("https://klasma.github.io/Logging_2518/artfynd/A 26760-2025 artfynd.xlsx", "A 26760-2025")</f>
        <v/>
      </c>
      <c r="T527">
        <f>HYPERLINK("https://klasma.github.io/Logging_2518/kartor/A 26760-2025 karta.png", "A 26760-2025")</f>
        <v/>
      </c>
      <c r="V527">
        <f>HYPERLINK("https://klasma.github.io/Logging_2518/klagomål/A 26760-2025 FSC-klagomål.docx", "A 26760-2025")</f>
        <v/>
      </c>
      <c r="W527">
        <f>HYPERLINK("https://klasma.github.io/Logging_2518/klagomålsmail/A 26760-2025 FSC-klagomål mail.docx", "A 26760-2025")</f>
        <v/>
      </c>
      <c r="X527">
        <f>HYPERLINK("https://klasma.github.io/Logging_2518/tillsyn/A 26760-2025 tillsynsbegäran.docx", "A 26760-2025")</f>
        <v/>
      </c>
      <c r="Y527">
        <f>HYPERLINK("https://klasma.github.io/Logging_2518/tillsynsmail/A 26760-2025 tillsynsbegäran mail.docx", "A 26760-2025")</f>
        <v/>
      </c>
    </row>
    <row r="528" ht="15" customHeight="1">
      <c r="A528" t="inlineStr">
        <is>
          <t>A 44147-2024</t>
        </is>
      </c>
      <c r="B528" s="1" t="n">
        <v>45572.67306712963</v>
      </c>
      <c r="C528" s="1" t="n">
        <v>45895</v>
      </c>
      <c r="D528" t="inlineStr">
        <is>
          <t>NORRBOTTENS LÄN</t>
        </is>
      </c>
      <c r="E528" t="inlineStr">
        <is>
          <t>JOKKMOKK</t>
        </is>
      </c>
      <c r="F528" t="inlineStr">
        <is>
          <t>Sveaskog</t>
        </is>
      </c>
      <c r="G528" t="n">
        <v>6.2</v>
      </c>
      <c r="H528" t="n">
        <v>1</v>
      </c>
      <c r="I528" t="n">
        <v>1</v>
      </c>
      <c r="J528" t="n">
        <v>0</v>
      </c>
      <c r="K528" t="n">
        <v>0</v>
      </c>
      <c r="L528" t="n">
        <v>0</v>
      </c>
      <c r="M528" t="n">
        <v>0</v>
      </c>
      <c r="N528" t="n">
        <v>0</v>
      </c>
      <c r="O528" t="n">
        <v>0</v>
      </c>
      <c r="P528" t="n">
        <v>0</v>
      </c>
      <c r="Q528" t="n">
        <v>1</v>
      </c>
      <c r="R528" s="2" t="inlineStr">
        <is>
          <t>Plattlummer</t>
        </is>
      </c>
      <c r="S528">
        <f>HYPERLINK("https://klasma.github.io/Logging_2510/artfynd/A 44147-2024 artfynd.xlsx", "A 44147-2024")</f>
        <v/>
      </c>
      <c r="T528">
        <f>HYPERLINK("https://klasma.github.io/Logging_2510/kartor/A 44147-2024 karta.png", "A 44147-2024")</f>
        <v/>
      </c>
      <c r="V528">
        <f>HYPERLINK("https://klasma.github.io/Logging_2510/klagomål/A 44147-2024 FSC-klagomål.docx", "A 44147-2024")</f>
        <v/>
      </c>
      <c r="W528">
        <f>HYPERLINK("https://klasma.github.io/Logging_2510/klagomålsmail/A 44147-2024 FSC-klagomål mail.docx", "A 44147-2024")</f>
        <v/>
      </c>
      <c r="X528">
        <f>HYPERLINK("https://klasma.github.io/Logging_2510/tillsyn/A 44147-2024 tillsynsbegäran.docx", "A 44147-2024")</f>
        <v/>
      </c>
      <c r="Y528">
        <f>HYPERLINK("https://klasma.github.io/Logging_2510/tillsynsmail/A 44147-2024 tillsynsbegäran mail.docx", "A 44147-2024")</f>
        <v/>
      </c>
    </row>
    <row r="529" ht="15" customHeight="1">
      <c r="A529" t="inlineStr">
        <is>
          <t>A 26560-2025</t>
        </is>
      </c>
      <c r="B529" s="1" t="n">
        <v>45807.64883101852</v>
      </c>
      <c r="C529" s="1" t="n">
        <v>45895</v>
      </c>
      <c r="D529" t="inlineStr">
        <is>
          <t>NORRBOTTENS LÄN</t>
        </is>
      </c>
      <c r="E529" t="inlineStr">
        <is>
          <t>ARVIDSJAUR</t>
        </is>
      </c>
      <c r="F529" t="inlineStr">
        <is>
          <t>Sveaskog</t>
        </is>
      </c>
      <c r="G529" t="n">
        <v>21</v>
      </c>
      <c r="H529" t="n">
        <v>0</v>
      </c>
      <c r="I529" t="n">
        <v>0</v>
      </c>
      <c r="J529" t="n">
        <v>1</v>
      </c>
      <c r="K529" t="n">
        <v>0</v>
      </c>
      <c r="L529" t="n">
        <v>0</v>
      </c>
      <c r="M529" t="n">
        <v>0</v>
      </c>
      <c r="N529" t="n">
        <v>0</v>
      </c>
      <c r="O529" t="n">
        <v>1</v>
      </c>
      <c r="P529" t="n">
        <v>0</v>
      </c>
      <c r="Q529" t="n">
        <v>1</v>
      </c>
      <c r="R529" s="2" t="inlineStr">
        <is>
          <t>Blå taggsvamp</t>
        </is>
      </c>
      <c r="S529">
        <f>HYPERLINK("https://klasma.github.io/Logging_2505/artfynd/A 26560-2025 artfynd.xlsx", "A 26560-2025")</f>
        <v/>
      </c>
      <c r="T529">
        <f>HYPERLINK("https://klasma.github.io/Logging_2505/kartor/A 26560-2025 karta.png", "A 26560-2025")</f>
        <v/>
      </c>
      <c r="V529">
        <f>HYPERLINK("https://klasma.github.io/Logging_2505/klagomål/A 26560-2025 FSC-klagomål.docx", "A 26560-2025")</f>
        <v/>
      </c>
      <c r="W529">
        <f>HYPERLINK("https://klasma.github.io/Logging_2505/klagomålsmail/A 26560-2025 FSC-klagomål mail.docx", "A 26560-2025")</f>
        <v/>
      </c>
      <c r="X529">
        <f>HYPERLINK("https://klasma.github.io/Logging_2505/tillsyn/A 26560-2025 tillsynsbegäran.docx", "A 26560-2025")</f>
        <v/>
      </c>
      <c r="Y529">
        <f>HYPERLINK("https://klasma.github.io/Logging_2505/tillsynsmail/A 26560-2025 tillsynsbegäran mail.docx", "A 26560-2025")</f>
        <v/>
      </c>
    </row>
    <row r="530" ht="15" customHeight="1">
      <c r="A530" t="inlineStr">
        <is>
          <t>A 26531-2025</t>
        </is>
      </c>
      <c r="B530" s="1" t="n">
        <v>45807.57163194445</v>
      </c>
      <c r="C530" s="1" t="n">
        <v>45895</v>
      </c>
      <c r="D530" t="inlineStr">
        <is>
          <t>NORRBOTTENS LÄN</t>
        </is>
      </c>
      <c r="E530" t="inlineStr">
        <is>
          <t>PAJALA</t>
        </is>
      </c>
      <c r="F530" t="inlineStr">
        <is>
          <t>Sveaskog</t>
        </is>
      </c>
      <c r="G530" t="n">
        <v>6.6</v>
      </c>
      <c r="H530" t="n">
        <v>0</v>
      </c>
      <c r="I530" t="n">
        <v>0</v>
      </c>
      <c r="J530" t="n">
        <v>1</v>
      </c>
      <c r="K530" t="n">
        <v>0</v>
      </c>
      <c r="L530" t="n">
        <v>0</v>
      </c>
      <c r="M530" t="n">
        <v>0</v>
      </c>
      <c r="N530" t="n">
        <v>0</v>
      </c>
      <c r="O530" t="n">
        <v>1</v>
      </c>
      <c r="P530" t="n">
        <v>0</v>
      </c>
      <c r="Q530" t="n">
        <v>1</v>
      </c>
      <c r="R530" s="2" t="inlineStr">
        <is>
          <t>Ullticka</t>
        </is>
      </c>
      <c r="S530">
        <f>HYPERLINK("https://klasma.github.io/Logging_2521/artfynd/A 26531-2025 artfynd.xlsx", "A 26531-2025")</f>
        <v/>
      </c>
      <c r="T530">
        <f>HYPERLINK("https://klasma.github.io/Logging_2521/kartor/A 26531-2025 karta.png", "A 26531-2025")</f>
        <v/>
      </c>
      <c r="V530">
        <f>HYPERLINK("https://klasma.github.io/Logging_2521/klagomål/A 26531-2025 FSC-klagomål.docx", "A 26531-2025")</f>
        <v/>
      </c>
      <c r="W530">
        <f>HYPERLINK("https://klasma.github.io/Logging_2521/klagomålsmail/A 26531-2025 FSC-klagomål mail.docx", "A 26531-2025")</f>
        <v/>
      </c>
      <c r="X530">
        <f>HYPERLINK("https://klasma.github.io/Logging_2521/tillsyn/A 26531-2025 tillsynsbegäran.docx", "A 26531-2025")</f>
        <v/>
      </c>
      <c r="Y530">
        <f>HYPERLINK("https://klasma.github.io/Logging_2521/tillsynsmail/A 26531-2025 tillsynsbegäran mail.docx", "A 26531-2025")</f>
        <v/>
      </c>
    </row>
    <row r="531" ht="15" customHeight="1">
      <c r="A531" t="inlineStr">
        <is>
          <t>A 18921-2025</t>
        </is>
      </c>
      <c r="B531" s="1" t="n">
        <v>45764</v>
      </c>
      <c r="C531" s="1" t="n">
        <v>45895</v>
      </c>
      <c r="D531" t="inlineStr">
        <is>
          <t>NORRBOTTENS LÄN</t>
        </is>
      </c>
      <c r="E531" t="inlineStr">
        <is>
          <t>ARJEPLOG</t>
        </is>
      </c>
      <c r="F531" t="inlineStr">
        <is>
          <t>Sveaskog</t>
        </is>
      </c>
      <c r="G531" t="n">
        <v>12.5</v>
      </c>
      <c r="H531" t="n">
        <v>0</v>
      </c>
      <c r="I531" t="n">
        <v>0</v>
      </c>
      <c r="J531" t="n">
        <v>1</v>
      </c>
      <c r="K531" t="n">
        <v>0</v>
      </c>
      <c r="L531" t="n">
        <v>0</v>
      </c>
      <c r="M531" t="n">
        <v>0</v>
      </c>
      <c r="N531" t="n">
        <v>0</v>
      </c>
      <c r="O531" t="n">
        <v>1</v>
      </c>
      <c r="P531" t="n">
        <v>0</v>
      </c>
      <c r="Q531" t="n">
        <v>1</v>
      </c>
      <c r="R531" s="2" t="inlineStr">
        <is>
          <t>Granticka</t>
        </is>
      </c>
      <c r="S531">
        <f>HYPERLINK("https://klasma.github.io/Logging_2506/artfynd/A 18921-2025 artfynd.xlsx", "A 18921-2025")</f>
        <v/>
      </c>
      <c r="T531">
        <f>HYPERLINK("https://klasma.github.io/Logging_2506/kartor/A 18921-2025 karta.png", "A 18921-2025")</f>
        <v/>
      </c>
      <c r="V531">
        <f>HYPERLINK("https://klasma.github.io/Logging_2506/klagomål/A 18921-2025 FSC-klagomål.docx", "A 18921-2025")</f>
        <v/>
      </c>
      <c r="W531">
        <f>HYPERLINK("https://klasma.github.io/Logging_2506/klagomålsmail/A 18921-2025 FSC-klagomål mail.docx", "A 18921-2025")</f>
        <v/>
      </c>
      <c r="X531">
        <f>HYPERLINK("https://klasma.github.io/Logging_2506/tillsyn/A 18921-2025 tillsynsbegäran.docx", "A 18921-2025")</f>
        <v/>
      </c>
      <c r="Y531">
        <f>HYPERLINK("https://klasma.github.io/Logging_2506/tillsynsmail/A 18921-2025 tillsynsbegäran mail.docx", "A 18921-2025")</f>
        <v/>
      </c>
    </row>
    <row r="532" ht="15" customHeight="1">
      <c r="A532" t="inlineStr">
        <is>
          <t>A 27336-2023</t>
        </is>
      </c>
      <c r="B532" s="1" t="n">
        <v>45096</v>
      </c>
      <c r="C532" s="1" t="n">
        <v>45895</v>
      </c>
      <c r="D532" t="inlineStr">
        <is>
          <t>NORRBOTTENS LÄN</t>
        </is>
      </c>
      <c r="E532" t="inlineStr">
        <is>
          <t>GÄLLIVARE</t>
        </is>
      </c>
      <c r="G532" t="n">
        <v>1.8</v>
      </c>
      <c r="H532" t="n">
        <v>0</v>
      </c>
      <c r="I532" t="n">
        <v>1</v>
      </c>
      <c r="J532" t="n">
        <v>0</v>
      </c>
      <c r="K532" t="n">
        <v>0</v>
      </c>
      <c r="L532" t="n">
        <v>0</v>
      </c>
      <c r="M532" t="n">
        <v>0</v>
      </c>
      <c r="N532" t="n">
        <v>0</v>
      </c>
      <c r="O532" t="n">
        <v>0</v>
      </c>
      <c r="P532" t="n">
        <v>0</v>
      </c>
      <c r="Q532" t="n">
        <v>1</v>
      </c>
      <c r="R532" s="2" t="inlineStr">
        <is>
          <t>Dropptaggsvamp</t>
        </is>
      </c>
      <c r="S532">
        <f>HYPERLINK("https://klasma.github.io/Logging_2523/artfynd/A 27336-2023 artfynd.xlsx", "A 27336-2023")</f>
        <v/>
      </c>
      <c r="T532">
        <f>HYPERLINK("https://klasma.github.io/Logging_2523/kartor/A 27336-2023 karta.png", "A 27336-2023")</f>
        <v/>
      </c>
      <c r="V532">
        <f>HYPERLINK("https://klasma.github.io/Logging_2523/klagomål/A 27336-2023 FSC-klagomål.docx", "A 27336-2023")</f>
        <v/>
      </c>
      <c r="W532">
        <f>HYPERLINK("https://klasma.github.io/Logging_2523/klagomålsmail/A 27336-2023 FSC-klagomål mail.docx", "A 27336-2023")</f>
        <v/>
      </c>
      <c r="X532">
        <f>HYPERLINK("https://klasma.github.io/Logging_2523/tillsyn/A 27336-2023 tillsynsbegäran.docx", "A 27336-2023")</f>
        <v/>
      </c>
      <c r="Y532">
        <f>HYPERLINK("https://klasma.github.io/Logging_2523/tillsynsmail/A 27336-2023 tillsynsbegäran mail.docx", "A 27336-2023")</f>
        <v/>
      </c>
    </row>
    <row r="533" ht="15" customHeight="1">
      <c r="A533" t="inlineStr">
        <is>
          <t>A 27114-2025</t>
        </is>
      </c>
      <c r="B533" s="1" t="n">
        <v>45811.74068287037</v>
      </c>
      <c r="C533" s="1" t="n">
        <v>45895</v>
      </c>
      <c r="D533" t="inlineStr">
        <is>
          <t>NORRBOTTENS LÄN</t>
        </is>
      </c>
      <c r="E533" t="inlineStr">
        <is>
          <t>GÄLLIVARE</t>
        </is>
      </c>
      <c r="F533" t="inlineStr">
        <is>
          <t>Sveaskog</t>
        </is>
      </c>
      <c r="G533" t="n">
        <v>2.4</v>
      </c>
      <c r="H533" t="n">
        <v>0</v>
      </c>
      <c r="I533" t="n">
        <v>1</v>
      </c>
      <c r="J533" t="n">
        <v>0</v>
      </c>
      <c r="K533" t="n">
        <v>0</v>
      </c>
      <c r="L533" t="n">
        <v>0</v>
      </c>
      <c r="M533" t="n">
        <v>0</v>
      </c>
      <c r="N533" t="n">
        <v>0</v>
      </c>
      <c r="O533" t="n">
        <v>0</v>
      </c>
      <c r="P533" t="n">
        <v>0</v>
      </c>
      <c r="Q533" t="n">
        <v>1</v>
      </c>
      <c r="R533" s="2" t="inlineStr">
        <is>
          <t>Dropptaggsvamp</t>
        </is>
      </c>
      <c r="S533">
        <f>HYPERLINK("https://klasma.github.io/Logging_2523/artfynd/A 27114-2025 artfynd.xlsx", "A 27114-2025")</f>
        <v/>
      </c>
      <c r="T533">
        <f>HYPERLINK("https://klasma.github.io/Logging_2523/kartor/A 27114-2025 karta.png", "A 27114-2025")</f>
        <v/>
      </c>
      <c r="V533">
        <f>HYPERLINK("https://klasma.github.io/Logging_2523/klagomål/A 27114-2025 FSC-klagomål.docx", "A 27114-2025")</f>
        <v/>
      </c>
      <c r="W533">
        <f>HYPERLINK("https://klasma.github.io/Logging_2523/klagomålsmail/A 27114-2025 FSC-klagomål mail.docx", "A 27114-2025")</f>
        <v/>
      </c>
      <c r="X533">
        <f>HYPERLINK("https://klasma.github.io/Logging_2523/tillsyn/A 27114-2025 tillsynsbegäran.docx", "A 27114-2025")</f>
        <v/>
      </c>
      <c r="Y533">
        <f>HYPERLINK("https://klasma.github.io/Logging_2523/tillsynsmail/A 27114-2025 tillsynsbegäran mail.docx", "A 27114-2025")</f>
        <v/>
      </c>
    </row>
    <row r="534" ht="15" customHeight="1">
      <c r="A534" t="inlineStr">
        <is>
          <t>A 25279-2023</t>
        </is>
      </c>
      <c r="B534" s="1" t="n">
        <v>45079</v>
      </c>
      <c r="C534" s="1" t="n">
        <v>45895</v>
      </c>
      <c r="D534" t="inlineStr">
        <is>
          <t>NORRBOTTENS LÄN</t>
        </is>
      </c>
      <c r="E534" t="inlineStr">
        <is>
          <t>ARJEPLOG</t>
        </is>
      </c>
      <c r="F534" t="inlineStr">
        <is>
          <t>Övriga statliga verk och myndigheter</t>
        </is>
      </c>
      <c r="G534" t="n">
        <v>6.9</v>
      </c>
      <c r="H534" t="n">
        <v>1</v>
      </c>
      <c r="I534" t="n">
        <v>1</v>
      </c>
      <c r="J534" t="n">
        <v>0</v>
      </c>
      <c r="K534" t="n">
        <v>0</v>
      </c>
      <c r="L534" t="n">
        <v>0</v>
      </c>
      <c r="M534" t="n">
        <v>0</v>
      </c>
      <c r="N534" t="n">
        <v>0</v>
      </c>
      <c r="O534" t="n">
        <v>0</v>
      </c>
      <c r="P534" t="n">
        <v>0</v>
      </c>
      <c r="Q534" t="n">
        <v>1</v>
      </c>
      <c r="R534" s="2" t="inlineStr">
        <is>
          <t>Plattlummer</t>
        </is>
      </c>
      <c r="S534">
        <f>HYPERLINK("https://klasma.github.io/Logging_2506/artfynd/A 25279-2023 artfynd.xlsx", "A 25279-2023")</f>
        <v/>
      </c>
      <c r="T534">
        <f>HYPERLINK("https://klasma.github.io/Logging_2506/kartor/A 25279-2023 karta.png", "A 25279-2023")</f>
        <v/>
      </c>
      <c r="V534">
        <f>HYPERLINK("https://klasma.github.io/Logging_2506/klagomål/A 25279-2023 FSC-klagomål.docx", "A 25279-2023")</f>
        <v/>
      </c>
      <c r="W534">
        <f>HYPERLINK("https://klasma.github.io/Logging_2506/klagomålsmail/A 25279-2023 FSC-klagomål mail.docx", "A 25279-2023")</f>
        <v/>
      </c>
      <c r="X534">
        <f>HYPERLINK("https://klasma.github.io/Logging_2506/tillsyn/A 25279-2023 tillsynsbegäran.docx", "A 25279-2023")</f>
        <v/>
      </c>
      <c r="Y534">
        <f>HYPERLINK("https://klasma.github.io/Logging_2506/tillsynsmail/A 25279-2023 tillsynsbegäran mail.docx", "A 25279-2023")</f>
        <v/>
      </c>
    </row>
    <row r="535" ht="15" customHeight="1">
      <c r="A535" t="inlineStr">
        <is>
          <t>A 9007-2024</t>
        </is>
      </c>
      <c r="B535" s="1" t="n">
        <v>45356</v>
      </c>
      <c r="C535" s="1" t="n">
        <v>45895</v>
      </c>
      <c r="D535" t="inlineStr">
        <is>
          <t>NORRBOTTENS LÄN</t>
        </is>
      </c>
      <c r="E535" t="inlineStr">
        <is>
          <t>PITEÅ</t>
        </is>
      </c>
      <c r="G535" t="n">
        <v>1.6</v>
      </c>
      <c r="H535" t="n">
        <v>1</v>
      </c>
      <c r="I535" t="n">
        <v>0</v>
      </c>
      <c r="J535" t="n">
        <v>0</v>
      </c>
      <c r="K535" t="n">
        <v>1</v>
      </c>
      <c r="L535" t="n">
        <v>0</v>
      </c>
      <c r="M535" t="n">
        <v>0</v>
      </c>
      <c r="N535" t="n">
        <v>0</v>
      </c>
      <c r="O535" t="n">
        <v>1</v>
      </c>
      <c r="P535" t="n">
        <v>1</v>
      </c>
      <c r="Q535" t="n">
        <v>1</v>
      </c>
      <c r="R535" s="2" t="inlineStr">
        <is>
          <t>Norna</t>
        </is>
      </c>
      <c r="S535">
        <f>HYPERLINK("https://klasma.github.io/Logging_2581/artfynd/A 9007-2024 artfynd.xlsx", "A 9007-2024")</f>
        <v/>
      </c>
      <c r="T535">
        <f>HYPERLINK("https://klasma.github.io/Logging_2581/kartor/A 9007-2024 karta.png", "A 9007-2024")</f>
        <v/>
      </c>
      <c r="V535">
        <f>HYPERLINK("https://klasma.github.io/Logging_2581/klagomål/A 9007-2024 FSC-klagomål.docx", "A 9007-2024")</f>
        <v/>
      </c>
      <c r="W535">
        <f>HYPERLINK("https://klasma.github.io/Logging_2581/klagomålsmail/A 9007-2024 FSC-klagomål mail.docx", "A 9007-2024")</f>
        <v/>
      </c>
      <c r="X535">
        <f>HYPERLINK("https://klasma.github.io/Logging_2581/tillsyn/A 9007-2024 tillsynsbegäran.docx", "A 9007-2024")</f>
        <v/>
      </c>
      <c r="Y535">
        <f>HYPERLINK("https://klasma.github.io/Logging_2581/tillsynsmail/A 9007-2024 tillsynsbegäran mail.docx", "A 9007-2024")</f>
        <v/>
      </c>
    </row>
    <row r="536" ht="15" customHeight="1">
      <c r="A536" t="inlineStr">
        <is>
          <t>A 26872-2025</t>
        </is>
      </c>
      <c r="B536" s="1" t="n">
        <v>45810</v>
      </c>
      <c r="C536" s="1" t="n">
        <v>45895</v>
      </c>
      <c r="D536" t="inlineStr">
        <is>
          <t>NORRBOTTENS LÄN</t>
        </is>
      </c>
      <c r="E536" t="inlineStr">
        <is>
          <t>KALIX</t>
        </is>
      </c>
      <c r="G536" t="n">
        <v>11.5</v>
      </c>
      <c r="H536" t="n">
        <v>0</v>
      </c>
      <c r="I536" t="n">
        <v>0</v>
      </c>
      <c r="J536" t="n">
        <v>1</v>
      </c>
      <c r="K536" t="n">
        <v>0</v>
      </c>
      <c r="L536" t="n">
        <v>0</v>
      </c>
      <c r="M536" t="n">
        <v>0</v>
      </c>
      <c r="N536" t="n">
        <v>0</v>
      </c>
      <c r="O536" t="n">
        <v>1</v>
      </c>
      <c r="P536" t="n">
        <v>0</v>
      </c>
      <c r="Q536" t="n">
        <v>1</v>
      </c>
      <c r="R536" s="2" t="inlineStr">
        <is>
          <t>Violmussling</t>
        </is>
      </c>
      <c r="S536">
        <f>HYPERLINK("https://klasma.github.io/Logging_2514/artfynd/A 26872-2025 artfynd.xlsx", "A 26872-2025")</f>
        <v/>
      </c>
      <c r="T536">
        <f>HYPERLINK("https://klasma.github.io/Logging_2514/kartor/A 26872-2025 karta.png", "A 26872-2025")</f>
        <v/>
      </c>
      <c r="V536">
        <f>HYPERLINK("https://klasma.github.io/Logging_2514/klagomål/A 26872-2025 FSC-klagomål.docx", "A 26872-2025")</f>
        <v/>
      </c>
      <c r="W536">
        <f>HYPERLINK("https://klasma.github.io/Logging_2514/klagomålsmail/A 26872-2025 FSC-klagomål mail.docx", "A 26872-2025")</f>
        <v/>
      </c>
      <c r="X536">
        <f>HYPERLINK("https://klasma.github.io/Logging_2514/tillsyn/A 26872-2025 tillsynsbegäran.docx", "A 26872-2025")</f>
        <v/>
      </c>
      <c r="Y536">
        <f>HYPERLINK("https://klasma.github.io/Logging_2514/tillsynsmail/A 26872-2025 tillsynsbegäran mail.docx", "A 26872-2025")</f>
        <v/>
      </c>
    </row>
    <row r="537" ht="15" customHeight="1">
      <c r="A537" t="inlineStr">
        <is>
          <t>A 4561-2023</t>
        </is>
      </c>
      <c r="B537" s="1" t="n">
        <v>44951</v>
      </c>
      <c r="C537" s="1" t="n">
        <v>45895</v>
      </c>
      <c r="D537" t="inlineStr">
        <is>
          <t>NORRBOTTENS LÄN</t>
        </is>
      </c>
      <c r="E537" t="inlineStr">
        <is>
          <t>LULEÅ</t>
        </is>
      </c>
      <c r="G537" t="n">
        <v>4.1</v>
      </c>
      <c r="H537" t="n">
        <v>1</v>
      </c>
      <c r="I537" t="n">
        <v>0</v>
      </c>
      <c r="J537" t="n">
        <v>0</v>
      </c>
      <c r="K537" t="n">
        <v>1</v>
      </c>
      <c r="L537" t="n">
        <v>0</v>
      </c>
      <c r="M537" t="n">
        <v>0</v>
      </c>
      <c r="N537" t="n">
        <v>0</v>
      </c>
      <c r="O537" t="n">
        <v>1</v>
      </c>
      <c r="P537" t="n">
        <v>1</v>
      </c>
      <c r="Q537" t="n">
        <v>1</v>
      </c>
      <c r="R537" s="2" t="inlineStr">
        <is>
          <t>Topplåsbräken</t>
        </is>
      </c>
      <c r="S537">
        <f>HYPERLINK("https://klasma.github.io/Logging_2580/artfynd/A 4561-2023 artfynd.xlsx", "A 4561-2023")</f>
        <v/>
      </c>
      <c r="T537">
        <f>HYPERLINK("https://klasma.github.io/Logging_2580/kartor/A 4561-2023 karta.png", "A 4561-2023")</f>
        <v/>
      </c>
      <c r="V537">
        <f>HYPERLINK("https://klasma.github.io/Logging_2580/klagomål/A 4561-2023 FSC-klagomål.docx", "A 4561-2023")</f>
        <v/>
      </c>
      <c r="W537">
        <f>HYPERLINK("https://klasma.github.io/Logging_2580/klagomålsmail/A 4561-2023 FSC-klagomål mail.docx", "A 4561-2023")</f>
        <v/>
      </c>
      <c r="X537">
        <f>HYPERLINK("https://klasma.github.io/Logging_2580/tillsyn/A 4561-2023 tillsynsbegäran.docx", "A 4561-2023")</f>
        <v/>
      </c>
      <c r="Y537">
        <f>HYPERLINK("https://klasma.github.io/Logging_2580/tillsynsmail/A 4561-2023 tillsynsbegäran mail.docx", "A 4561-2023")</f>
        <v/>
      </c>
    </row>
    <row r="538" ht="15" customHeight="1">
      <c r="A538" t="inlineStr">
        <is>
          <t>A 27635-2025</t>
        </is>
      </c>
      <c r="B538" s="1" t="n">
        <v>45813.5737037037</v>
      </c>
      <c r="C538" s="1" t="n">
        <v>45895</v>
      </c>
      <c r="D538" t="inlineStr">
        <is>
          <t>NORRBOTTENS LÄN</t>
        </is>
      </c>
      <c r="E538" t="inlineStr">
        <is>
          <t>PAJALA</t>
        </is>
      </c>
      <c r="F538" t="inlineStr">
        <is>
          <t>Sveaskog</t>
        </is>
      </c>
      <c r="G538" t="n">
        <v>5.7</v>
      </c>
      <c r="H538" t="n">
        <v>0</v>
      </c>
      <c r="I538" t="n">
        <v>1</v>
      </c>
      <c r="J538" t="n">
        <v>0</v>
      </c>
      <c r="K538" t="n">
        <v>0</v>
      </c>
      <c r="L538" t="n">
        <v>0</v>
      </c>
      <c r="M538" t="n">
        <v>0</v>
      </c>
      <c r="N538" t="n">
        <v>0</v>
      </c>
      <c r="O538" t="n">
        <v>0</v>
      </c>
      <c r="P538" t="n">
        <v>0</v>
      </c>
      <c r="Q538" t="n">
        <v>1</v>
      </c>
      <c r="R538" s="2" t="inlineStr">
        <is>
          <t>Rävticka</t>
        </is>
      </c>
      <c r="S538">
        <f>HYPERLINK("https://klasma.github.io/Logging_2521/artfynd/A 27635-2025 artfynd.xlsx", "A 27635-2025")</f>
        <v/>
      </c>
      <c r="T538">
        <f>HYPERLINK("https://klasma.github.io/Logging_2521/kartor/A 27635-2025 karta.png", "A 27635-2025")</f>
        <v/>
      </c>
      <c r="V538">
        <f>HYPERLINK("https://klasma.github.io/Logging_2521/klagomål/A 27635-2025 FSC-klagomål.docx", "A 27635-2025")</f>
        <v/>
      </c>
      <c r="W538">
        <f>HYPERLINK("https://klasma.github.io/Logging_2521/klagomålsmail/A 27635-2025 FSC-klagomål mail.docx", "A 27635-2025")</f>
        <v/>
      </c>
      <c r="X538">
        <f>HYPERLINK("https://klasma.github.io/Logging_2521/tillsyn/A 27635-2025 tillsynsbegäran.docx", "A 27635-2025")</f>
        <v/>
      </c>
      <c r="Y538">
        <f>HYPERLINK("https://klasma.github.io/Logging_2521/tillsynsmail/A 27635-2025 tillsynsbegäran mail.docx", "A 27635-2025")</f>
        <v/>
      </c>
    </row>
    <row r="539" ht="15" customHeight="1">
      <c r="A539" t="inlineStr">
        <is>
          <t>A 19396-2022</t>
        </is>
      </c>
      <c r="B539" s="1" t="n">
        <v>44692</v>
      </c>
      <c r="C539" s="1" t="n">
        <v>45895</v>
      </c>
      <c r="D539" t="inlineStr">
        <is>
          <t>NORRBOTTENS LÄN</t>
        </is>
      </c>
      <c r="E539" t="inlineStr">
        <is>
          <t>BODEN</t>
        </is>
      </c>
      <c r="F539" t="inlineStr">
        <is>
          <t>SCA</t>
        </is>
      </c>
      <c r="G539" t="n">
        <v>13.1</v>
      </c>
      <c r="H539" t="n">
        <v>0</v>
      </c>
      <c r="I539" t="n">
        <v>0</v>
      </c>
      <c r="J539" t="n">
        <v>1</v>
      </c>
      <c r="K539" t="n">
        <v>0</v>
      </c>
      <c r="L539" t="n">
        <v>0</v>
      </c>
      <c r="M539" t="n">
        <v>0</v>
      </c>
      <c r="N539" t="n">
        <v>0</v>
      </c>
      <c r="O539" t="n">
        <v>1</v>
      </c>
      <c r="P539" t="n">
        <v>0</v>
      </c>
      <c r="Q539" t="n">
        <v>1</v>
      </c>
      <c r="R539" s="2" t="inlineStr">
        <is>
          <t>Tallticka</t>
        </is>
      </c>
      <c r="S539">
        <f>HYPERLINK("https://klasma.github.io/Logging_2582/artfynd/A 19396-2022 artfynd.xlsx", "A 19396-2022")</f>
        <v/>
      </c>
      <c r="T539">
        <f>HYPERLINK("https://klasma.github.io/Logging_2582/kartor/A 19396-2022 karta.png", "A 19396-2022")</f>
        <v/>
      </c>
      <c r="V539">
        <f>HYPERLINK("https://klasma.github.io/Logging_2582/klagomål/A 19396-2022 FSC-klagomål.docx", "A 19396-2022")</f>
        <v/>
      </c>
      <c r="W539">
        <f>HYPERLINK("https://klasma.github.io/Logging_2582/klagomålsmail/A 19396-2022 FSC-klagomål mail.docx", "A 19396-2022")</f>
        <v/>
      </c>
      <c r="X539">
        <f>HYPERLINK("https://klasma.github.io/Logging_2582/tillsyn/A 19396-2022 tillsynsbegäran.docx", "A 19396-2022")</f>
        <v/>
      </c>
      <c r="Y539">
        <f>HYPERLINK("https://klasma.github.io/Logging_2582/tillsynsmail/A 19396-2022 tillsynsbegäran mail.docx", "A 19396-2022")</f>
        <v/>
      </c>
    </row>
    <row r="540" ht="15" customHeight="1">
      <c r="A540" t="inlineStr">
        <is>
          <t>A 4908-2025</t>
        </is>
      </c>
      <c r="B540" s="1" t="n">
        <v>45688</v>
      </c>
      <c r="C540" s="1" t="n">
        <v>45895</v>
      </c>
      <c r="D540" t="inlineStr">
        <is>
          <t>NORRBOTTENS LÄN</t>
        </is>
      </c>
      <c r="E540" t="inlineStr">
        <is>
          <t>GÄLLIVARE</t>
        </is>
      </c>
      <c r="F540" t="inlineStr">
        <is>
          <t>SCA</t>
        </is>
      </c>
      <c r="G540" t="n">
        <v>6.4</v>
      </c>
      <c r="H540" t="n">
        <v>1</v>
      </c>
      <c r="I540" t="n">
        <v>0</v>
      </c>
      <c r="J540" t="n">
        <v>1</v>
      </c>
      <c r="K540" t="n">
        <v>0</v>
      </c>
      <c r="L540" t="n">
        <v>0</v>
      </c>
      <c r="M540" t="n">
        <v>0</v>
      </c>
      <c r="N540" t="n">
        <v>0</v>
      </c>
      <c r="O540" t="n">
        <v>1</v>
      </c>
      <c r="P540" t="n">
        <v>0</v>
      </c>
      <c r="Q540" t="n">
        <v>1</v>
      </c>
      <c r="R540" s="2" t="inlineStr">
        <is>
          <t>Utter</t>
        </is>
      </c>
      <c r="S540">
        <f>HYPERLINK("https://klasma.github.io/Logging_2523/artfynd/A 4908-2025 artfynd.xlsx", "A 4908-2025")</f>
        <v/>
      </c>
      <c r="T540">
        <f>HYPERLINK("https://klasma.github.io/Logging_2523/kartor/A 4908-2025 karta.png", "A 4908-2025")</f>
        <v/>
      </c>
      <c r="V540">
        <f>HYPERLINK("https://klasma.github.io/Logging_2523/klagomål/A 4908-2025 FSC-klagomål.docx", "A 4908-2025")</f>
        <v/>
      </c>
      <c r="W540">
        <f>HYPERLINK("https://klasma.github.io/Logging_2523/klagomålsmail/A 4908-2025 FSC-klagomål mail.docx", "A 4908-2025")</f>
        <v/>
      </c>
      <c r="X540">
        <f>HYPERLINK("https://klasma.github.io/Logging_2523/tillsyn/A 4908-2025 tillsynsbegäran.docx", "A 4908-2025")</f>
        <v/>
      </c>
      <c r="Y540">
        <f>HYPERLINK("https://klasma.github.io/Logging_2523/tillsynsmail/A 4908-2025 tillsynsbegäran mail.docx", "A 4908-2025")</f>
        <v/>
      </c>
    </row>
    <row r="541" ht="15" customHeight="1">
      <c r="A541" t="inlineStr">
        <is>
          <t>A 59466-2023</t>
        </is>
      </c>
      <c r="B541" s="1" t="n">
        <v>45254.4122337963</v>
      </c>
      <c r="C541" s="1" t="n">
        <v>45895</v>
      </c>
      <c r="D541" t="inlineStr">
        <is>
          <t>NORRBOTTENS LÄN</t>
        </is>
      </c>
      <c r="E541" t="inlineStr">
        <is>
          <t>LULEÅ</t>
        </is>
      </c>
      <c r="F541" t="inlineStr">
        <is>
          <t>Sveaskog</t>
        </is>
      </c>
      <c r="G541" t="n">
        <v>0.4</v>
      </c>
      <c r="H541" t="n">
        <v>0</v>
      </c>
      <c r="I541" t="n">
        <v>0</v>
      </c>
      <c r="J541" t="n">
        <v>1</v>
      </c>
      <c r="K541" t="n">
        <v>0</v>
      </c>
      <c r="L541" t="n">
        <v>0</v>
      </c>
      <c r="M541" t="n">
        <v>0</v>
      </c>
      <c r="N541" t="n">
        <v>0</v>
      </c>
      <c r="O541" t="n">
        <v>1</v>
      </c>
      <c r="P541" t="n">
        <v>0</v>
      </c>
      <c r="Q541" t="n">
        <v>1</v>
      </c>
      <c r="R541" s="2" t="inlineStr">
        <is>
          <t>Motaggsvamp</t>
        </is>
      </c>
      <c r="S541">
        <f>HYPERLINK("https://klasma.github.io/Logging_2580/artfynd/A 59466-2023 artfynd.xlsx", "A 59466-2023")</f>
        <v/>
      </c>
      <c r="T541">
        <f>HYPERLINK("https://klasma.github.io/Logging_2580/kartor/A 59466-2023 karta.png", "A 59466-2023")</f>
        <v/>
      </c>
      <c r="V541">
        <f>HYPERLINK("https://klasma.github.io/Logging_2580/klagomål/A 59466-2023 FSC-klagomål.docx", "A 59466-2023")</f>
        <v/>
      </c>
      <c r="W541">
        <f>HYPERLINK("https://klasma.github.io/Logging_2580/klagomålsmail/A 59466-2023 FSC-klagomål mail.docx", "A 59466-2023")</f>
        <v/>
      </c>
      <c r="X541">
        <f>HYPERLINK("https://klasma.github.io/Logging_2580/tillsyn/A 59466-2023 tillsynsbegäran.docx", "A 59466-2023")</f>
        <v/>
      </c>
      <c r="Y541">
        <f>HYPERLINK("https://klasma.github.io/Logging_2580/tillsynsmail/A 59466-2023 tillsynsbegäran mail.docx", "A 59466-2023")</f>
        <v/>
      </c>
    </row>
    <row r="542" ht="15" customHeight="1">
      <c r="A542" t="inlineStr">
        <is>
          <t>A 14979-2023</t>
        </is>
      </c>
      <c r="B542" s="1" t="n">
        <v>45014</v>
      </c>
      <c r="C542" s="1" t="n">
        <v>45895</v>
      </c>
      <c r="D542" t="inlineStr">
        <is>
          <t>NORRBOTTENS LÄN</t>
        </is>
      </c>
      <c r="E542" t="inlineStr">
        <is>
          <t>PAJALA</t>
        </is>
      </c>
      <c r="F542" t="inlineStr">
        <is>
          <t>Allmännings- och besparingsskogar</t>
        </is>
      </c>
      <c r="G542" t="n">
        <v>26.1</v>
      </c>
      <c r="H542" t="n">
        <v>0</v>
      </c>
      <c r="I542" t="n">
        <v>0</v>
      </c>
      <c r="J542" t="n">
        <v>1</v>
      </c>
      <c r="K542" t="n">
        <v>0</v>
      </c>
      <c r="L542" t="n">
        <v>0</v>
      </c>
      <c r="M542" t="n">
        <v>0</v>
      </c>
      <c r="N542" t="n">
        <v>0</v>
      </c>
      <c r="O542" t="n">
        <v>1</v>
      </c>
      <c r="P542" t="n">
        <v>0</v>
      </c>
      <c r="Q542" t="n">
        <v>1</v>
      </c>
      <c r="R542" s="2" t="inlineStr">
        <is>
          <t>Garnlav</t>
        </is>
      </c>
      <c r="S542">
        <f>HYPERLINK("https://klasma.github.io/Logging_2521/artfynd/A 14979-2023 artfynd.xlsx", "A 14979-2023")</f>
        <v/>
      </c>
      <c r="T542">
        <f>HYPERLINK("https://klasma.github.io/Logging_2521/kartor/A 14979-2023 karta.png", "A 14979-2023")</f>
        <v/>
      </c>
      <c r="V542">
        <f>HYPERLINK("https://klasma.github.io/Logging_2521/klagomål/A 14979-2023 FSC-klagomål.docx", "A 14979-2023")</f>
        <v/>
      </c>
      <c r="W542">
        <f>HYPERLINK("https://klasma.github.io/Logging_2521/klagomålsmail/A 14979-2023 FSC-klagomål mail.docx", "A 14979-2023")</f>
        <v/>
      </c>
      <c r="X542">
        <f>HYPERLINK("https://klasma.github.io/Logging_2521/tillsyn/A 14979-2023 tillsynsbegäran.docx", "A 14979-2023")</f>
        <v/>
      </c>
      <c r="Y542">
        <f>HYPERLINK("https://klasma.github.io/Logging_2521/tillsynsmail/A 14979-2023 tillsynsbegäran mail.docx", "A 14979-2023")</f>
        <v/>
      </c>
    </row>
    <row r="543" ht="15" customHeight="1">
      <c r="A543" t="inlineStr">
        <is>
          <t>A 50121-2024</t>
        </is>
      </c>
      <c r="B543" s="1" t="n">
        <v>45600.42096064815</v>
      </c>
      <c r="C543" s="1" t="n">
        <v>45895</v>
      </c>
      <c r="D543" t="inlineStr">
        <is>
          <t>NORRBOTTENS LÄN</t>
        </is>
      </c>
      <c r="E543" t="inlineStr">
        <is>
          <t>JOKKMOKK</t>
        </is>
      </c>
      <c r="G543" t="n">
        <v>2.3</v>
      </c>
      <c r="H543" t="n">
        <v>1</v>
      </c>
      <c r="I543" t="n">
        <v>0</v>
      </c>
      <c r="J543" t="n">
        <v>1</v>
      </c>
      <c r="K543" t="n">
        <v>0</v>
      </c>
      <c r="L543" t="n">
        <v>0</v>
      </c>
      <c r="M543" t="n">
        <v>0</v>
      </c>
      <c r="N543" t="n">
        <v>0</v>
      </c>
      <c r="O543" t="n">
        <v>1</v>
      </c>
      <c r="P543" t="n">
        <v>0</v>
      </c>
      <c r="Q543" t="n">
        <v>1</v>
      </c>
      <c r="R543" s="2" t="inlineStr">
        <is>
          <t>Buskskvätta</t>
        </is>
      </c>
      <c r="S543">
        <f>HYPERLINK("https://klasma.github.io/Logging_2510/artfynd/A 50121-2024 artfynd.xlsx", "A 50121-2024")</f>
        <v/>
      </c>
      <c r="T543">
        <f>HYPERLINK("https://klasma.github.io/Logging_2510/kartor/A 50121-2024 karta.png", "A 50121-2024")</f>
        <v/>
      </c>
      <c r="V543">
        <f>HYPERLINK("https://klasma.github.io/Logging_2510/klagomål/A 50121-2024 FSC-klagomål.docx", "A 50121-2024")</f>
        <v/>
      </c>
      <c r="W543">
        <f>HYPERLINK("https://klasma.github.io/Logging_2510/klagomålsmail/A 50121-2024 FSC-klagomål mail.docx", "A 50121-2024")</f>
        <v/>
      </c>
      <c r="X543">
        <f>HYPERLINK("https://klasma.github.io/Logging_2510/tillsyn/A 50121-2024 tillsynsbegäran.docx", "A 50121-2024")</f>
        <v/>
      </c>
      <c r="Y543">
        <f>HYPERLINK("https://klasma.github.io/Logging_2510/tillsynsmail/A 50121-2024 tillsynsbegäran mail.docx", "A 50121-2024")</f>
        <v/>
      </c>
      <c r="Z543">
        <f>HYPERLINK("https://klasma.github.io/Logging_2510/fåglar/A 50121-2024 prioriterade fågelarter.docx", "A 50121-2024")</f>
        <v/>
      </c>
    </row>
    <row r="544" ht="15" customHeight="1">
      <c r="A544" t="inlineStr">
        <is>
          <t>A 55788-2024</t>
        </is>
      </c>
      <c r="B544" s="1" t="n">
        <v>45623</v>
      </c>
      <c r="C544" s="1" t="n">
        <v>45895</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Orange taggsvamp</t>
        </is>
      </c>
      <c r="S544">
        <f>HYPERLINK("https://klasma.github.io/Logging_2560/artfynd/A 55788-2024 artfynd.xlsx", "A 55788-2024")</f>
        <v/>
      </c>
      <c r="T544">
        <f>HYPERLINK("https://klasma.github.io/Logging_2560/kartor/A 55788-2024 karta.png", "A 55788-2024")</f>
        <v/>
      </c>
      <c r="V544">
        <f>HYPERLINK("https://klasma.github.io/Logging_2560/klagomål/A 55788-2024 FSC-klagomål.docx", "A 55788-2024")</f>
        <v/>
      </c>
      <c r="W544">
        <f>HYPERLINK("https://klasma.github.io/Logging_2560/klagomålsmail/A 55788-2024 FSC-klagomål mail.docx", "A 55788-2024")</f>
        <v/>
      </c>
      <c r="X544">
        <f>HYPERLINK("https://klasma.github.io/Logging_2560/tillsyn/A 55788-2024 tillsynsbegäran.docx", "A 55788-2024")</f>
        <v/>
      </c>
      <c r="Y544">
        <f>HYPERLINK("https://klasma.github.io/Logging_2560/tillsynsmail/A 55788-2024 tillsynsbegäran mail.docx", "A 55788-2024")</f>
        <v/>
      </c>
    </row>
    <row r="545" ht="15" customHeight="1">
      <c r="A545" t="inlineStr">
        <is>
          <t>A 28428-2024</t>
        </is>
      </c>
      <c r="B545" s="1" t="n">
        <v>45477.64990740741</v>
      </c>
      <c r="C545" s="1" t="n">
        <v>45895</v>
      </c>
      <c r="D545" t="inlineStr">
        <is>
          <t>NORRBOTTENS LÄN</t>
        </is>
      </c>
      <c r="E545" t="inlineStr">
        <is>
          <t>PAJALA</t>
        </is>
      </c>
      <c r="G545" t="n">
        <v>44.7</v>
      </c>
      <c r="H545" t="n">
        <v>0</v>
      </c>
      <c r="I545" t="n">
        <v>0</v>
      </c>
      <c r="J545" t="n">
        <v>0</v>
      </c>
      <c r="K545" t="n">
        <v>1</v>
      </c>
      <c r="L545" t="n">
        <v>0</v>
      </c>
      <c r="M545" t="n">
        <v>0</v>
      </c>
      <c r="N545" t="n">
        <v>0</v>
      </c>
      <c r="O545" t="n">
        <v>1</v>
      </c>
      <c r="P545" t="n">
        <v>1</v>
      </c>
      <c r="Q545" t="n">
        <v>1</v>
      </c>
      <c r="R545" s="2" t="inlineStr">
        <is>
          <t>Gräddporing</t>
        </is>
      </c>
      <c r="S545">
        <f>HYPERLINK("https://klasma.github.io/Logging_2521/artfynd/A 28428-2024 artfynd.xlsx", "A 28428-2024")</f>
        <v/>
      </c>
      <c r="T545">
        <f>HYPERLINK("https://klasma.github.io/Logging_2521/kartor/A 28428-2024 karta.png", "A 28428-2024")</f>
        <v/>
      </c>
      <c r="V545">
        <f>HYPERLINK("https://klasma.github.io/Logging_2521/klagomål/A 28428-2024 FSC-klagomål.docx", "A 28428-2024")</f>
        <v/>
      </c>
      <c r="W545">
        <f>HYPERLINK("https://klasma.github.io/Logging_2521/klagomålsmail/A 28428-2024 FSC-klagomål mail.docx", "A 28428-2024")</f>
        <v/>
      </c>
      <c r="X545">
        <f>HYPERLINK("https://klasma.github.io/Logging_2521/tillsyn/A 28428-2024 tillsynsbegäran.docx", "A 28428-2024")</f>
        <v/>
      </c>
      <c r="Y545">
        <f>HYPERLINK("https://klasma.github.io/Logging_2521/tillsynsmail/A 28428-2024 tillsynsbegäran mail.docx", "A 28428-2024")</f>
        <v/>
      </c>
    </row>
    <row r="546" ht="15" customHeight="1">
      <c r="A546" t="inlineStr">
        <is>
          <t>A 35602-2025</t>
        </is>
      </c>
      <c r="B546" s="1" t="n">
        <v>45859.30603009259</v>
      </c>
      <c r="C546" s="1" t="n">
        <v>45895</v>
      </c>
      <c r="D546" t="inlineStr">
        <is>
          <t>NORRBOTTENS LÄN</t>
        </is>
      </c>
      <c r="E546" t="inlineStr">
        <is>
          <t>ÖVERKALIX</t>
        </is>
      </c>
      <c r="F546" t="inlineStr">
        <is>
          <t>Sveaskog</t>
        </is>
      </c>
      <c r="G546" t="n">
        <v>2.9</v>
      </c>
      <c r="H546" t="n">
        <v>1</v>
      </c>
      <c r="I546" t="n">
        <v>0</v>
      </c>
      <c r="J546" t="n">
        <v>0</v>
      </c>
      <c r="K546" t="n">
        <v>0</v>
      </c>
      <c r="L546" t="n">
        <v>0</v>
      </c>
      <c r="M546" t="n">
        <v>0</v>
      </c>
      <c r="N546" t="n">
        <v>0</v>
      </c>
      <c r="O546" t="n">
        <v>0</v>
      </c>
      <c r="P546" t="n">
        <v>0</v>
      </c>
      <c r="Q546" t="n">
        <v>1</v>
      </c>
      <c r="R546" s="2" t="inlineStr">
        <is>
          <t>Fläcknycklar</t>
        </is>
      </c>
      <c r="S546">
        <f>HYPERLINK("https://klasma.github.io/Logging_2513/artfynd/A 35602-2025 artfynd.xlsx", "A 35602-2025")</f>
        <v/>
      </c>
      <c r="T546">
        <f>HYPERLINK("https://klasma.github.io/Logging_2513/kartor/A 35602-2025 karta.png", "A 35602-2025")</f>
        <v/>
      </c>
      <c r="V546">
        <f>HYPERLINK("https://klasma.github.io/Logging_2513/klagomål/A 35602-2025 FSC-klagomål.docx", "A 35602-2025")</f>
        <v/>
      </c>
      <c r="W546">
        <f>HYPERLINK("https://klasma.github.io/Logging_2513/klagomålsmail/A 35602-2025 FSC-klagomål mail.docx", "A 35602-2025")</f>
        <v/>
      </c>
      <c r="X546">
        <f>HYPERLINK("https://klasma.github.io/Logging_2513/tillsyn/A 35602-2025 tillsynsbegäran.docx", "A 35602-2025")</f>
        <v/>
      </c>
      <c r="Y546">
        <f>HYPERLINK("https://klasma.github.io/Logging_2513/tillsynsmail/A 35602-2025 tillsynsbegäran mail.docx", "A 35602-2025")</f>
        <v/>
      </c>
    </row>
    <row r="547" ht="15" customHeight="1">
      <c r="A547" t="inlineStr">
        <is>
          <t>A 52260-2024</t>
        </is>
      </c>
      <c r="B547" s="1" t="n">
        <v>45608</v>
      </c>
      <c r="C547" s="1" t="n">
        <v>45895</v>
      </c>
      <c r="D547" t="inlineStr">
        <is>
          <t>NORRBOTTENS LÄN</t>
        </is>
      </c>
      <c r="E547" t="inlineStr">
        <is>
          <t>JOKKMOKK</t>
        </is>
      </c>
      <c r="F547" t="inlineStr">
        <is>
          <t>Allmännings- och besparingsskogar</t>
        </is>
      </c>
      <c r="G547" t="n">
        <v>11.6</v>
      </c>
      <c r="H547" t="n">
        <v>0</v>
      </c>
      <c r="I547" t="n">
        <v>0</v>
      </c>
      <c r="J547" t="n">
        <v>1</v>
      </c>
      <c r="K547" t="n">
        <v>0</v>
      </c>
      <c r="L547" t="n">
        <v>0</v>
      </c>
      <c r="M547" t="n">
        <v>0</v>
      </c>
      <c r="N547" t="n">
        <v>0</v>
      </c>
      <c r="O547" t="n">
        <v>1</v>
      </c>
      <c r="P547" t="n">
        <v>0</v>
      </c>
      <c r="Q547" t="n">
        <v>1</v>
      </c>
      <c r="R547" s="2" t="inlineStr">
        <is>
          <t>Tallticka</t>
        </is>
      </c>
      <c r="S547">
        <f>HYPERLINK("https://klasma.github.io/Logging_2510/artfynd/A 52260-2024 artfynd.xlsx", "A 52260-2024")</f>
        <v/>
      </c>
      <c r="T547">
        <f>HYPERLINK("https://klasma.github.io/Logging_2510/kartor/A 52260-2024 karta.png", "A 52260-2024")</f>
        <v/>
      </c>
      <c r="V547">
        <f>HYPERLINK("https://klasma.github.io/Logging_2510/klagomål/A 52260-2024 FSC-klagomål.docx", "A 52260-2024")</f>
        <v/>
      </c>
      <c r="W547">
        <f>HYPERLINK("https://klasma.github.io/Logging_2510/klagomålsmail/A 52260-2024 FSC-klagomål mail.docx", "A 52260-2024")</f>
        <v/>
      </c>
      <c r="X547">
        <f>HYPERLINK("https://klasma.github.io/Logging_2510/tillsyn/A 52260-2024 tillsynsbegäran.docx", "A 52260-2024")</f>
        <v/>
      </c>
      <c r="Y547">
        <f>HYPERLINK("https://klasma.github.io/Logging_2510/tillsynsmail/A 52260-2024 tillsynsbegäran mail.docx", "A 52260-2024")</f>
        <v/>
      </c>
    </row>
    <row r="548" ht="15" customHeight="1">
      <c r="A548" t="inlineStr">
        <is>
          <t>A 52994-2024</t>
        </is>
      </c>
      <c r="B548" s="1" t="n">
        <v>45611.37796296296</v>
      </c>
      <c r="C548" s="1" t="n">
        <v>45895</v>
      </c>
      <c r="D548" t="inlineStr">
        <is>
          <t>NORRBOTTENS LÄN</t>
        </is>
      </c>
      <c r="E548" t="inlineStr">
        <is>
          <t>JOKKMOKK</t>
        </is>
      </c>
      <c r="F548" t="inlineStr">
        <is>
          <t>Sveaskog</t>
        </is>
      </c>
      <c r="G548" t="n">
        <v>17.1</v>
      </c>
      <c r="H548" t="n">
        <v>0</v>
      </c>
      <c r="I548" t="n">
        <v>0</v>
      </c>
      <c r="J548" t="n">
        <v>1</v>
      </c>
      <c r="K548" t="n">
        <v>0</v>
      </c>
      <c r="L548" t="n">
        <v>0</v>
      </c>
      <c r="M548" t="n">
        <v>0</v>
      </c>
      <c r="N548" t="n">
        <v>0</v>
      </c>
      <c r="O548" t="n">
        <v>1</v>
      </c>
      <c r="P548" t="n">
        <v>0</v>
      </c>
      <c r="Q548" t="n">
        <v>1</v>
      </c>
      <c r="R548" s="2" t="inlineStr">
        <is>
          <t>Blå taggsvamp</t>
        </is>
      </c>
      <c r="S548">
        <f>HYPERLINK("https://klasma.github.io/Logging_2510/artfynd/A 52994-2024 artfynd.xlsx", "A 52994-2024")</f>
        <v/>
      </c>
      <c r="T548">
        <f>HYPERLINK("https://klasma.github.io/Logging_2510/kartor/A 52994-2024 karta.png", "A 52994-2024")</f>
        <v/>
      </c>
      <c r="V548">
        <f>HYPERLINK("https://klasma.github.io/Logging_2510/klagomål/A 52994-2024 FSC-klagomål.docx", "A 52994-2024")</f>
        <v/>
      </c>
      <c r="W548">
        <f>HYPERLINK("https://klasma.github.io/Logging_2510/klagomålsmail/A 52994-2024 FSC-klagomål mail.docx", "A 52994-2024")</f>
        <v/>
      </c>
      <c r="X548">
        <f>HYPERLINK("https://klasma.github.io/Logging_2510/tillsyn/A 52994-2024 tillsynsbegäran.docx", "A 52994-2024")</f>
        <v/>
      </c>
      <c r="Y548">
        <f>HYPERLINK("https://klasma.github.io/Logging_2510/tillsynsmail/A 52994-2024 tillsynsbegäran mail.docx", "A 52994-2024")</f>
        <v/>
      </c>
    </row>
    <row r="549" ht="15" customHeight="1">
      <c r="A549" t="inlineStr">
        <is>
          <t>A 12403-2025</t>
        </is>
      </c>
      <c r="B549" s="1" t="n">
        <v>45730</v>
      </c>
      <c r="C549" s="1" t="n">
        <v>45895</v>
      </c>
      <c r="D549" t="inlineStr">
        <is>
          <t>NORRBOTTENS LÄN</t>
        </is>
      </c>
      <c r="E549" t="inlineStr">
        <is>
          <t>ARJEPLOG</t>
        </is>
      </c>
      <c r="G549" t="n">
        <v>10.1</v>
      </c>
      <c r="H549" t="n">
        <v>1</v>
      </c>
      <c r="I549" t="n">
        <v>0</v>
      </c>
      <c r="J549" t="n">
        <v>1</v>
      </c>
      <c r="K549" t="n">
        <v>0</v>
      </c>
      <c r="L549" t="n">
        <v>0</v>
      </c>
      <c r="M549" t="n">
        <v>0</v>
      </c>
      <c r="N549" t="n">
        <v>0</v>
      </c>
      <c r="O549" t="n">
        <v>1</v>
      </c>
      <c r="P549" t="n">
        <v>0</v>
      </c>
      <c r="Q549" t="n">
        <v>1</v>
      </c>
      <c r="R549" s="2" t="inlineStr">
        <is>
          <t>Tretåig hackspett</t>
        </is>
      </c>
      <c r="S549">
        <f>HYPERLINK("https://klasma.github.io/Logging_2506/artfynd/A 12403-2025 artfynd.xlsx", "A 12403-2025")</f>
        <v/>
      </c>
      <c r="T549">
        <f>HYPERLINK("https://klasma.github.io/Logging_2506/kartor/A 12403-2025 karta.png", "A 12403-2025")</f>
        <v/>
      </c>
      <c r="V549">
        <f>HYPERLINK("https://klasma.github.io/Logging_2506/klagomål/A 12403-2025 FSC-klagomål.docx", "A 12403-2025")</f>
        <v/>
      </c>
      <c r="W549">
        <f>HYPERLINK("https://klasma.github.io/Logging_2506/klagomålsmail/A 12403-2025 FSC-klagomål mail.docx", "A 12403-2025")</f>
        <v/>
      </c>
      <c r="X549">
        <f>HYPERLINK("https://klasma.github.io/Logging_2506/tillsyn/A 12403-2025 tillsynsbegäran.docx", "A 12403-2025")</f>
        <v/>
      </c>
      <c r="Y549">
        <f>HYPERLINK("https://klasma.github.io/Logging_2506/tillsynsmail/A 12403-2025 tillsynsbegäran mail.docx", "A 12403-2025")</f>
        <v/>
      </c>
      <c r="Z549">
        <f>HYPERLINK("https://klasma.github.io/Logging_2506/fåglar/A 12403-2025 prioriterade fågelarter.docx", "A 12403-2025")</f>
        <v/>
      </c>
    </row>
    <row r="550" ht="15" customHeight="1">
      <c r="A550" t="inlineStr">
        <is>
          <t>A 29381-2025</t>
        </is>
      </c>
      <c r="B550" s="1" t="n">
        <v>45824.59027777778</v>
      </c>
      <c r="C550" s="1" t="n">
        <v>45895</v>
      </c>
      <c r="D550" t="inlineStr">
        <is>
          <t>NORRBOTTENS LÄN</t>
        </is>
      </c>
      <c r="E550" t="inlineStr">
        <is>
          <t>LULEÅ</t>
        </is>
      </c>
      <c r="G550" t="n">
        <v>1.5</v>
      </c>
      <c r="H550" t="n">
        <v>1</v>
      </c>
      <c r="I550" t="n">
        <v>0</v>
      </c>
      <c r="J550" t="n">
        <v>1</v>
      </c>
      <c r="K550" t="n">
        <v>0</v>
      </c>
      <c r="L550" t="n">
        <v>0</v>
      </c>
      <c r="M550" t="n">
        <v>0</v>
      </c>
      <c r="N550" t="n">
        <v>0</v>
      </c>
      <c r="O550" t="n">
        <v>1</v>
      </c>
      <c r="P550" t="n">
        <v>0</v>
      </c>
      <c r="Q550" t="n">
        <v>1</v>
      </c>
      <c r="R550" s="2" t="inlineStr">
        <is>
          <t>Havsörn</t>
        </is>
      </c>
      <c r="S550">
        <f>HYPERLINK("https://klasma.github.io/Logging_2580/artfynd/A 29381-2025 artfynd.xlsx", "A 29381-2025")</f>
        <v/>
      </c>
      <c r="T550">
        <f>HYPERLINK("https://klasma.github.io/Logging_2580/kartor/A 29381-2025 karta.png", "A 29381-2025")</f>
        <v/>
      </c>
      <c r="V550">
        <f>HYPERLINK("https://klasma.github.io/Logging_2580/klagomål/A 29381-2025 FSC-klagomål.docx", "A 29381-2025")</f>
        <v/>
      </c>
      <c r="W550">
        <f>HYPERLINK("https://klasma.github.io/Logging_2580/klagomålsmail/A 29381-2025 FSC-klagomål mail.docx", "A 29381-2025")</f>
        <v/>
      </c>
      <c r="X550">
        <f>HYPERLINK("https://klasma.github.io/Logging_2580/tillsyn/A 29381-2025 tillsynsbegäran.docx", "A 29381-2025")</f>
        <v/>
      </c>
      <c r="Y550">
        <f>HYPERLINK("https://klasma.github.io/Logging_2580/tillsynsmail/A 29381-2025 tillsynsbegäran mail.docx", "A 29381-2025")</f>
        <v/>
      </c>
      <c r="Z550">
        <f>HYPERLINK("https://klasma.github.io/Logging_2580/fåglar/A 29381-2025 prioriterade fågelarter.docx", "A 29381-2025")</f>
        <v/>
      </c>
    </row>
    <row r="551" ht="15" customHeight="1">
      <c r="A551" t="inlineStr">
        <is>
          <t>A 35260-2024</t>
        </is>
      </c>
      <c r="B551" s="1" t="n">
        <v>45530</v>
      </c>
      <c r="C551" s="1" t="n">
        <v>45895</v>
      </c>
      <c r="D551" t="inlineStr">
        <is>
          <t>NORRBOTTENS LÄN</t>
        </is>
      </c>
      <c r="E551" t="inlineStr">
        <is>
          <t>PAJALA</t>
        </is>
      </c>
      <c r="F551" t="inlineStr">
        <is>
          <t>Allmännings- och besparingsskogar</t>
        </is>
      </c>
      <c r="G551" t="n">
        <v>32.7</v>
      </c>
      <c r="H551" t="n">
        <v>0</v>
      </c>
      <c r="I551" t="n">
        <v>0</v>
      </c>
      <c r="J551" t="n">
        <v>1</v>
      </c>
      <c r="K551" t="n">
        <v>0</v>
      </c>
      <c r="L551" t="n">
        <v>0</v>
      </c>
      <c r="M551" t="n">
        <v>0</v>
      </c>
      <c r="N551" t="n">
        <v>0</v>
      </c>
      <c r="O551" t="n">
        <v>1</v>
      </c>
      <c r="P551" t="n">
        <v>0</v>
      </c>
      <c r="Q551" t="n">
        <v>1</v>
      </c>
      <c r="R551" s="2" t="inlineStr">
        <is>
          <t>Garnlav</t>
        </is>
      </c>
      <c r="S551">
        <f>HYPERLINK("https://klasma.github.io/Logging_2521/artfynd/A 35260-2024 artfynd.xlsx", "A 35260-2024")</f>
        <v/>
      </c>
      <c r="T551">
        <f>HYPERLINK("https://klasma.github.io/Logging_2521/kartor/A 35260-2024 karta.png", "A 35260-2024")</f>
        <v/>
      </c>
      <c r="V551">
        <f>HYPERLINK("https://klasma.github.io/Logging_2521/klagomål/A 35260-2024 FSC-klagomål.docx", "A 35260-2024")</f>
        <v/>
      </c>
      <c r="W551">
        <f>HYPERLINK("https://klasma.github.io/Logging_2521/klagomålsmail/A 35260-2024 FSC-klagomål mail.docx", "A 35260-2024")</f>
        <v/>
      </c>
      <c r="X551">
        <f>HYPERLINK("https://klasma.github.io/Logging_2521/tillsyn/A 35260-2024 tillsynsbegäran.docx", "A 35260-2024")</f>
        <v/>
      </c>
      <c r="Y551">
        <f>HYPERLINK("https://klasma.github.io/Logging_2521/tillsynsmail/A 35260-2024 tillsynsbegäran mail.docx", "A 35260-2024")</f>
        <v/>
      </c>
    </row>
    <row r="552" ht="15" customHeight="1">
      <c r="A552" t="inlineStr">
        <is>
          <t>A 36008-2025</t>
        </is>
      </c>
      <c r="B552" s="1" t="n">
        <v>45863.57627314814</v>
      </c>
      <c r="C552" s="1" t="n">
        <v>45895</v>
      </c>
      <c r="D552" t="inlineStr">
        <is>
          <t>NORRBOTTENS LÄN</t>
        </is>
      </c>
      <c r="E552" t="inlineStr">
        <is>
          <t>BODEN</t>
        </is>
      </c>
      <c r="F552" t="inlineStr">
        <is>
          <t>Sveaskog</t>
        </is>
      </c>
      <c r="G552" t="n">
        <v>3.3</v>
      </c>
      <c r="H552" t="n">
        <v>0</v>
      </c>
      <c r="I552" t="n">
        <v>0</v>
      </c>
      <c r="J552" t="n">
        <v>1</v>
      </c>
      <c r="K552" t="n">
        <v>0</v>
      </c>
      <c r="L552" t="n">
        <v>0</v>
      </c>
      <c r="M552" t="n">
        <v>0</v>
      </c>
      <c r="N552" t="n">
        <v>0</v>
      </c>
      <c r="O552" t="n">
        <v>1</v>
      </c>
      <c r="P552" t="n">
        <v>0</v>
      </c>
      <c r="Q552" t="n">
        <v>1</v>
      </c>
      <c r="R552" s="2" t="inlineStr">
        <is>
          <t>Tallticka</t>
        </is>
      </c>
      <c r="S552">
        <f>HYPERLINK("https://klasma.github.io/Logging_2582/artfynd/A 36008-2025 artfynd.xlsx", "A 36008-2025")</f>
        <v/>
      </c>
      <c r="T552">
        <f>HYPERLINK("https://klasma.github.io/Logging_2582/kartor/A 36008-2025 karta.png", "A 36008-2025")</f>
        <v/>
      </c>
      <c r="V552">
        <f>HYPERLINK("https://klasma.github.io/Logging_2582/klagomål/A 36008-2025 FSC-klagomål.docx", "A 36008-2025")</f>
        <v/>
      </c>
      <c r="W552">
        <f>HYPERLINK("https://klasma.github.io/Logging_2582/klagomålsmail/A 36008-2025 FSC-klagomål mail.docx", "A 36008-2025")</f>
        <v/>
      </c>
      <c r="X552">
        <f>HYPERLINK("https://klasma.github.io/Logging_2582/tillsyn/A 36008-2025 tillsynsbegäran.docx", "A 36008-2025")</f>
        <v/>
      </c>
      <c r="Y552">
        <f>HYPERLINK("https://klasma.github.io/Logging_2582/tillsynsmail/A 36008-2025 tillsynsbegäran mail.docx", "A 36008-2025")</f>
        <v/>
      </c>
    </row>
    <row r="553" ht="15" customHeight="1">
      <c r="A553" t="inlineStr">
        <is>
          <t>A 72480-2021</t>
        </is>
      </c>
      <c r="B553" s="1" t="n">
        <v>44545</v>
      </c>
      <c r="C553" s="1" t="n">
        <v>45895</v>
      </c>
      <c r="D553" t="inlineStr">
        <is>
          <t>NORRBOTTENS LÄN</t>
        </is>
      </c>
      <c r="E553" t="inlineStr">
        <is>
          <t>JOKKMOKK</t>
        </is>
      </c>
      <c r="G553" t="n">
        <v>8.800000000000001</v>
      </c>
      <c r="H553" t="n">
        <v>0</v>
      </c>
      <c r="I553" t="n">
        <v>0</v>
      </c>
      <c r="J553" t="n">
        <v>1</v>
      </c>
      <c r="K553" t="n">
        <v>0</v>
      </c>
      <c r="L553" t="n">
        <v>0</v>
      </c>
      <c r="M553" t="n">
        <v>0</v>
      </c>
      <c r="N553" t="n">
        <v>0</v>
      </c>
      <c r="O553" t="n">
        <v>1</v>
      </c>
      <c r="P553" t="n">
        <v>0</v>
      </c>
      <c r="Q553" t="n">
        <v>1</v>
      </c>
      <c r="R553" s="2" t="inlineStr">
        <is>
          <t>Dvärgbägarlav</t>
        </is>
      </c>
      <c r="S553">
        <f>HYPERLINK("https://klasma.github.io/Logging_2510/artfynd/A 72480-2021 artfynd.xlsx", "A 72480-2021")</f>
        <v/>
      </c>
      <c r="T553">
        <f>HYPERLINK("https://klasma.github.io/Logging_2510/kartor/A 72480-2021 karta.png", "A 72480-2021")</f>
        <v/>
      </c>
      <c r="V553">
        <f>HYPERLINK("https://klasma.github.io/Logging_2510/klagomål/A 72480-2021 FSC-klagomål.docx", "A 72480-2021")</f>
        <v/>
      </c>
      <c r="W553">
        <f>HYPERLINK("https://klasma.github.io/Logging_2510/klagomålsmail/A 72480-2021 FSC-klagomål mail.docx", "A 72480-2021")</f>
        <v/>
      </c>
      <c r="X553">
        <f>HYPERLINK("https://klasma.github.io/Logging_2510/tillsyn/A 72480-2021 tillsynsbegäran.docx", "A 72480-2021")</f>
        <v/>
      </c>
      <c r="Y553">
        <f>HYPERLINK("https://klasma.github.io/Logging_2510/tillsynsmail/A 72480-2021 tillsynsbegäran mail.docx", "A 72480-2021")</f>
        <v/>
      </c>
    </row>
    <row r="554" ht="15" customHeight="1">
      <c r="A554" t="inlineStr">
        <is>
          <t>A 59395-2024</t>
        </is>
      </c>
      <c r="B554" s="1" t="n">
        <v>45638</v>
      </c>
      <c r="C554" s="1" t="n">
        <v>45895</v>
      </c>
      <c r="D554" t="inlineStr">
        <is>
          <t>NORRBOTTENS LÄN</t>
        </is>
      </c>
      <c r="E554" t="inlineStr">
        <is>
          <t>LULEÅ</t>
        </is>
      </c>
      <c r="F554" t="inlineStr">
        <is>
          <t>Sveaskog</t>
        </is>
      </c>
      <c r="G554" t="n">
        <v>18.3</v>
      </c>
      <c r="H554" t="n">
        <v>0</v>
      </c>
      <c r="I554" t="n">
        <v>1</v>
      </c>
      <c r="J554" t="n">
        <v>0</v>
      </c>
      <c r="K554" t="n">
        <v>0</v>
      </c>
      <c r="L554" t="n">
        <v>0</v>
      </c>
      <c r="M554" t="n">
        <v>0</v>
      </c>
      <c r="N554" t="n">
        <v>0</v>
      </c>
      <c r="O554" t="n">
        <v>0</v>
      </c>
      <c r="P554" t="n">
        <v>0</v>
      </c>
      <c r="Q554" t="n">
        <v>1</v>
      </c>
      <c r="R554" s="2" t="inlineStr">
        <is>
          <t>Stuplav</t>
        </is>
      </c>
      <c r="S554">
        <f>HYPERLINK("https://klasma.github.io/Logging_2580/artfynd/A 59395-2024 artfynd.xlsx", "A 59395-2024")</f>
        <v/>
      </c>
      <c r="T554">
        <f>HYPERLINK("https://klasma.github.io/Logging_2580/kartor/A 59395-2024 karta.png", "A 59395-2024")</f>
        <v/>
      </c>
      <c r="V554">
        <f>HYPERLINK("https://klasma.github.io/Logging_2580/klagomål/A 59395-2024 FSC-klagomål.docx", "A 59395-2024")</f>
        <v/>
      </c>
      <c r="W554">
        <f>HYPERLINK("https://klasma.github.io/Logging_2580/klagomålsmail/A 59395-2024 FSC-klagomål mail.docx", "A 59395-2024")</f>
        <v/>
      </c>
      <c r="X554">
        <f>HYPERLINK("https://klasma.github.io/Logging_2580/tillsyn/A 59395-2024 tillsynsbegäran.docx", "A 59395-2024")</f>
        <v/>
      </c>
      <c r="Y554">
        <f>HYPERLINK("https://klasma.github.io/Logging_2580/tillsynsmail/A 59395-2024 tillsynsbegäran mail.docx", "A 59395-2024")</f>
        <v/>
      </c>
    </row>
    <row r="555" ht="15" customHeight="1">
      <c r="A555" t="inlineStr">
        <is>
          <t>A 733-2025</t>
        </is>
      </c>
      <c r="B555" s="1" t="n">
        <v>45664</v>
      </c>
      <c r="C555" s="1" t="n">
        <v>45895</v>
      </c>
      <c r="D555" t="inlineStr">
        <is>
          <t>NORRBOTTENS LÄN</t>
        </is>
      </c>
      <c r="E555" t="inlineStr">
        <is>
          <t>LULEÅ</t>
        </is>
      </c>
      <c r="G555" t="n">
        <v>0.8</v>
      </c>
      <c r="H555" t="n">
        <v>0</v>
      </c>
      <c r="I555" t="n">
        <v>0</v>
      </c>
      <c r="J555" t="n">
        <v>1</v>
      </c>
      <c r="K555" t="n">
        <v>0</v>
      </c>
      <c r="L555" t="n">
        <v>0</v>
      </c>
      <c r="M555" t="n">
        <v>0</v>
      </c>
      <c r="N555" t="n">
        <v>0</v>
      </c>
      <c r="O555" t="n">
        <v>1</v>
      </c>
      <c r="P555" t="n">
        <v>0</v>
      </c>
      <c r="Q555" t="n">
        <v>1</v>
      </c>
      <c r="R555" s="2" t="inlineStr">
        <is>
          <t>Gränsticka</t>
        </is>
      </c>
      <c r="S555">
        <f>HYPERLINK("https://klasma.github.io/Logging_2580/artfynd/A 733-2025 artfynd.xlsx", "A 733-2025")</f>
        <v/>
      </c>
      <c r="T555">
        <f>HYPERLINK("https://klasma.github.io/Logging_2580/kartor/A 733-2025 karta.png", "A 733-2025")</f>
        <v/>
      </c>
      <c r="V555">
        <f>HYPERLINK("https://klasma.github.io/Logging_2580/klagomål/A 733-2025 FSC-klagomål.docx", "A 733-2025")</f>
        <v/>
      </c>
      <c r="W555">
        <f>HYPERLINK("https://klasma.github.io/Logging_2580/klagomålsmail/A 733-2025 FSC-klagomål mail.docx", "A 733-2025")</f>
        <v/>
      </c>
      <c r="X555">
        <f>HYPERLINK("https://klasma.github.io/Logging_2580/tillsyn/A 733-2025 tillsynsbegäran.docx", "A 733-2025")</f>
        <v/>
      </c>
      <c r="Y555">
        <f>HYPERLINK("https://klasma.github.io/Logging_2580/tillsynsmail/A 733-2025 tillsynsbegäran mail.docx", "A 733-2025")</f>
        <v/>
      </c>
    </row>
    <row r="556" ht="15" customHeight="1">
      <c r="A556" t="inlineStr">
        <is>
          <t>A 29859-2025</t>
        </is>
      </c>
      <c r="B556" s="1" t="n">
        <v>45826.34621527778</v>
      </c>
      <c r="C556" s="1" t="n">
        <v>45895</v>
      </c>
      <c r="D556" t="inlineStr">
        <is>
          <t>NORRBOTTENS LÄN</t>
        </is>
      </c>
      <c r="E556" t="inlineStr">
        <is>
          <t>JOKKMOKK</t>
        </is>
      </c>
      <c r="F556" t="inlineStr">
        <is>
          <t>SCA</t>
        </is>
      </c>
      <c r="G556" t="n">
        <v>2.9</v>
      </c>
      <c r="H556" t="n">
        <v>0</v>
      </c>
      <c r="I556" t="n">
        <v>0</v>
      </c>
      <c r="J556" t="n">
        <v>0</v>
      </c>
      <c r="K556" t="n">
        <v>1</v>
      </c>
      <c r="L556" t="n">
        <v>0</v>
      </c>
      <c r="M556" t="n">
        <v>0</v>
      </c>
      <c r="N556" t="n">
        <v>0</v>
      </c>
      <c r="O556" t="n">
        <v>1</v>
      </c>
      <c r="P556" t="n">
        <v>1</v>
      </c>
      <c r="Q556" t="n">
        <v>1</v>
      </c>
      <c r="R556" s="2" t="inlineStr">
        <is>
          <t>Tallgråticka</t>
        </is>
      </c>
      <c r="S556">
        <f>HYPERLINK("https://klasma.github.io/Logging_2510/artfynd/A 29859-2025 artfynd.xlsx", "A 29859-2025")</f>
        <v/>
      </c>
      <c r="T556">
        <f>HYPERLINK("https://klasma.github.io/Logging_2510/kartor/A 29859-2025 karta.png", "A 29859-2025")</f>
        <v/>
      </c>
      <c r="V556">
        <f>HYPERLINK("https://klasma.github.io/Logging_2510/klagomål/A 29859-2025 FSC-klagomål.docx", "A 29859-2025")</f>
        <v/>
      </c>
      <c r="W556">
        <f>HYPERLINK("https://klasma.github.io/Logging_2510/klagomålsmail/A 29859-2025 FSC-klagomål mail.docx", "A 29859-2025")</f>
        <v/>
      </c>
      <c r="X556">
        <f>HYPERLINK("https://klasma.github.io/Logging_2510/tillsyn/A 29859-2025 tillsynsbegäran.docx", "A 29859-2025")</f>
        <v/>
      </c>
      <c r="Y556">
        <f>HYPERLINK("https://klasma.github.io/Logging_2510/tillsynsmail/A 29859-2025 tillsynsbegäran mail.docx", "A 29859-2025")</f>
        <v/>
      </c>
    </row>
    <row r="557" ht="15" customHeight="1">
      <c r="A557" t="inlineStr">
        <is>
          <t>A 36479-2025</t>
        </is>
      </c>
      <c r="B557" s="1" t="n">
        <v>45869.49376157407</v>
      </c>
      <c r="C557" s="1" t="n">
        <v>45895</v>
      </c>
      <c r="D557" t="inlineStr">
        <is>
          <t>NORRBOTTENS LÄN</t>
        </is>
      </c>
      <c r="E557" t="inlineStr">
        <is>
          <t>GÄLLIVARE</t>
        </is>
      </c>
      <c r="F557" t="inlineStr">
        <is>
          <t>Sveaskog</t>
        </is>
      </c>
      <c r="G557" t="n">
        <v>2.1</v>
      </c>
      <c r="H557" t="n">
        <v>1</v>
      </c>
      <c r="I557" t="n">
        <v>0</v>
      </c>
      <c r="J557" t="n">
        <v>0</v>
      </c>
      <c r="K557" t="n">
        <v>1</v>
      </c>
      <c r="L557" t="n">
        <v>0</v>
      </c>
      <c r="M557" t="n">
        <v>0</v>
      </c>
      <c r="N557" t="n">
        <v>0</v>
      </c>
      <c r="O557" t="n">
        <v>1</v>
      </c>
      <c r="P557" t="n">
        <v>1</v>
      </c>
      <c r="Q557" t="n">
        <v>1</v>
      </c>
      <c r="R557" s="2" t="inlineStr">
        <is>
          <t>Doftticka</t>
        </is>
      </c>
      <c r="S557">
        <f>HYPERLINK("https://klasma.github.io/Logging_2523/artfynd/A 36479-2025 artfynd.xlsx", "A 36479-2025")</f>
        <v/>
      </c>
      <c r="T557">
        <f>HYPERLINK("https://klasma.github.io/Logging_2523/kartor/A 36479-2025 karta.png", "A 36479-2025")</f>
        <v/>
      </c>
      <c r="U557">
        <f>HYPERLINK("https://klasma.github.io/Logging_2523/knärot/A 36479-2025 karta knärot.png", "A 36479-2025")</f>
        <v/>
      </c>
      <c r="V557">
        <f>HYPERLINK("https://klasma.github.io/Logging_2523/klagomål/A 36479-2025 FSC-klagomål.docx", "A 36479-2025")</f>
        <v/>
      </c>
      <c r="W557">
        <f>HYPERLINK("https://klasma.github.io/Logging_2523/klagomålsmail/A 36479-2025 FSC-klagomål mail.docx", "A 36479-2025")</f>
        <v/>
      </c>
      <c r="X557">
        <f>HYPERLINK("https://klasma.github.io/Logging_2523/tillsyn/A 36479-2025 tillsynsbegäran.docx", "A 36479-2025")</f>
        <v/>
      </c>
      <c r="Y557">
        <f>HYPERLINK("https://klasma.github.io/Logging_2523/tillsynsmail/A 36479-2025 tillsynsbegäran mail.docx", "A 36479-2025")</f>
        <v/>
      </c>
    </row>
    <row r="558" ht="15" customHeight="1">
      <c r="A558" t="inlineStr">
        <is>
          <t>A 18671-2024</t>
        </is>
      </c>
      <c r="B558" s="1" t="n">
        <v>45426</v>
      </c>
      <c r="C558" s="1" t="n">
        <v>45895</v>
      </c>
      <c r="D558" t="inlineStr">
        <is>
          <t>NORRBOTTENS LÄN</t>
        </is>
      </c>
      <c r="E558" t="inlineStr">
        <is>
          <t>ÖVERTORNEÅ</t>
        </is>
      </c>
      <c r="F558" t="inlineStr">
        <is>
          <t>Sveaskog</t>
        </is>
      </c>
      <c r="G558" t="n">
        <v>35.2</v>
      </c>
      <c r="H558" t="n">
        <v>0</v>
      </c>
      <c r="I558" t="n">
        <v>0</v>
      </c>
      <c r="J558" t="n">
        <v>1</v>
      </c>
      <c r="K558" t="n">
        <v>0</v>
      </c>
      <c r="L558" t="n">
        <v>0</v>
      </c>
      <c r="M558" t="n">
        <v>0</v>
      </c>
      <c r="N558" t="n">
        <v>0</v>
      </c>
      <c r="O558" t="n">
        <v>1</v>
      </c>
      <c r="P558" t="n">
        <v>0</v>
      </c>
      <c r="Q558" t="n">
        <v>1</v>
      </c>
      <c r="R558" s="2" t="inlineStr">
        <is>
          <t>Röd trolldruva</t>
        </is>
      </c>
      <c r="S558">
        <f>HYPERLINK("https://klasma.github.io/Logging_2518/artfynd/A 18671-2024 artfynd.xlsx", "A 18671-2024")</f>
        <v/>
      </c>
      <c r="T558">
        <f>HYPERLINK("https://klasma.github.io/Logging_2518/kartor/A 18671-2024 karta.png", "A 18671-2024")</f>
        <v/>
      </c>
      <c r="V558">
        <f>HYPERLINK("https://klasma.github.io/Logging_2518/klagomål/A 18671-2024 FSC-klagomål.docx", "A 18671-2024")</f>
        <v/>
      </c>
      <c r="W558">
        <f>HYPERLINK("https://klasma.github.io/Logging_2518/klagomålsmail/A 18671-2024 FSC-klagomål mail.docx", "A 18671-2024")</f>
        <v/>
      </c>
      <c r="X558">
        <f>HYPERLINK("https://klasma.github.io/Logging_2518/tillsyn/A 18671-2024 tillsynsbegäran.docx", "A 18671-2024")</f>
        <v/>
      </c>
      <c r="Y558">
        <f>HYPERLINK("https://klasma.github.io/Logging_2518/tillsynsmail/A 18671-2024 tillsynsbegäran mail.docx", "A 18671-2024")</f>
        <v/>
      </c>
    </row>
    <row r="559" ht="15" customHeight="1">
      <c r="A559" t="inlineStr">
        <is>
          <t>A 44704-2024</t>
        </is>
      </c>
      <c r="B559" s="1" t="n">
        <v>45574.56923611111</v>
      </c>
      <c r="C559" s="1" t="n">
        <v>45895</v>
      </c>
      <c r="D559" t="inlineStr">
        <is>
          <t>NORRBOTTENS LÄN</t>
        </is>
      </c>
      <c r="E559" t="inlineStr">
        <is>
          <t>PITEÅ</t>
        </is>
      </c>
      <c r="F559" t="inlineStr">
        <is>
          <t>Sveaskog</t>
        </is>
      </c>
      <c r="G559" t="n">
        <v>3.2</v>
      </c>
      <c r="H559" t="n">
        <v>0</v>
      </c>
      <c r="I559" t="n">
        <v>0</v>
      </c>
      <c r="J559" t="n">
        <v>1</v>
      </c>
      <c r="K559" t="n">
        <v>0</v>
      </c>
      <c r="L559" t="n">
        <v>0</v>
      </c>
      <c r="M559" t="n">
        <v>0</v>
      </c>
      <c r="N559" t="n">
        <v>0</v>
      </c>
      <c r="O559" t="n">
        <v>1</v>
      </c>
      <c r="P559" t="n">
        <v>0</v>
      </c>
      <c r="Q559" t="n">
        <v>1</v>
      </c>
      <c r="R559" s="2" t="inlineStr">
        <is>
          <t>Granticka</t>
        </is>
      </c>
      <c r="S559">
        <f>HYPERLINK("https://klasma.github.io/Logging_2581/artfynd/A 44704-2024 artfynd.xlsx", "A 44704-2024")</f>
        <v/>
      </c>
      <c r="T559">
        <f>HYPERLINK("https://klasma.github.io/Logging_2581/kartor/A 44704-2024 karta.png", "A 44704-2024")</f>
        <v/>
      </c>
      <c r="V559">
        <f>HYPERLINK("https://klasma.github.io/Logging_2581/klagomål/A 44704-2024 FSC-klagomål.docx", "A 44704-2024")</f>
        <v/>
      </c>
      <c r="W559">
        <f>HYPERLINK("https://klasma.github.io/Logging_2581/klagomålsmail/A 44704-2024 FSC-klagomål mail.docx", "A 44704-2024")</f>
        <v/>
      </c>
      <c r="X559">
        <f>HYPERLINK("https://klasma.github.io/Logging_2581/tillsyn/A 44704-2024 tillsynsbegäran.docx", "A 44704-2024")</f>
        <v/>
      </c>
      <c r="Y559">
        <f>HYPERLINK("https://klasma.github.io/Logging_2581/tillsynsmail/A 44704-2024 tillsynsbegäran mail.docx", "A 44704-2024")</f>
        <v/>
      </c>
    </row>
    <row r="560" ht="15" customHeight="1">
      <c r="A560" t="inlineStr">
        <is>
          <t>A 30868-2025</t>
        </is>
      </c>
      <c r="B560" s="1" t="n">
        <v>45832.32988425926</v>
      </c>
      <c r="C560" s="1" t="n">
        <v>45895</v>
      </c>
      <c r="D560" t="inlineStr">
        <is>
          <t>NORRBOTTENS LÄN</t>
        </is>
      </c>
      <c r="E560" t="inlineStr">
        <is>
          <t>PITEÅ</t>
        </is>
      </c>
      <c r="F560" t="inlineStr">
        <is>
          <t>Sveaskog</t>
        </is>
      </c>
      <c r="G560" t="n">
        <v>20</v>
      </c>
      <c r="H560" t="n">
        <v>0</v>
      </c>
      <c r="I560" t="n">
        <v>0</v>
      </c>
      <c r="J560" t="n">
        <v>1</v>
      </c>
      <c r="K560" t="n">
        <v>0</v>
      </c>
      <c r="L560" t="n">
        <v>0</v>
      </c>
      <c r="M560" t="n">
        <v>0</v>
      </c>
      <c r="N560" t="n">
        <v>0</v>
      </c>
      <c r="O560" t="n">
        <v>1</v>
      </c>
      <c r="P560" t="n">
        <v>0</v>
      </c>
      <c r="Q560" t="n">
        <v>1</v>
      </c>
      <c r="R560" s="2" t="inlineStr">
        <is>
          <t>Lunglav</t>
        </is>
      </c>
      <c r="S560">
        <f>HYPERLINK("https://klasma.github.io/Logging_2581/artfynd/A 30868-2025 artfynd.xlsx", "A 30868-2025")</f>
        <v/>
      </c>
      <c r="T560">
        <f>HYPERLINK("https://klasma.github.io/Logging_2581/kartor/A 30868-2025 karta.png", "A 30868-2025")</f>
        <v/>
      </c>
      <c r="V560">
        <f>HYPERLINK("https://klasma.github.io/Logging_2581/klagomål/A 30868-2025 FSC-klagomål.docx", "A 30868-2025")</f>
        <v/>
      </c>
      <c r="W560">
        <f>HYPERLINK("https://klasma.github.io/Logging_2581/klagomålsmail/A 30868-2025 FSC-klagomål mail.docx", "A 30868-2025")</f>
        <v/>
      </c>
      <c r="X560">
        <f>HYPERLINK("https://klasma.github.io/Logging_2581/tillsyn/A 30868-2025 tillsynsbegäran.docx", "A 30868-2025")</f>
        <v/>
      </c>
      <c r="Y560">
        <f>HYPERLINK("https://klasma.github.io/Logging_2581/tillsynsmail/A 30868-2025 tillsynsbegäran mail.docx", "A 30868-2025")</f>
        <v/>
      </c>
    </row>
    <row r="561" ht="15" customHeight="1">
      <c r="A561" t="inlineStr">
        <is>
          <t>A 30532-2025</t>
        </is>
      </c>
      <c r="B561" s="1" t="n">
        <v>45831.36143518519</v>
      </c>
      <c r="C561" s="1" t="n">
        <v>45895</v>
      </c>
      <c r="D561" t="inlineStr">
        <is>
          <t>NORRBOTTENS LÄN</t>
        </is>
      </c>
      <c r="E561" t="inlineStr">
        <is>
          <t>ÖVERKALIX</t>
        </is>
      </c>
      <c r="F561" t="inlineStr">
        <is>
          <t>Sveaskog</t>
        </is>
      </c>
      <c r="G561" t="n">
        <v>6</v>
      </c>
      <c r="H561" t="n">
        <v>0</v>
      </c>
      <c r="I561" t="n">
        <v>0</v>
      </c>
      <c r="J561" t="n">
        <v>1</v>
      </c>
      <c r="K561" t="n">
        <v>0</v>
      </c>
      <c r="L561" t="n">
        <v>0</v>
      </c>
      <c r="M561" t="n">
        <v>0</v>
      </c>
      <c r="N561" t="n">
        <v>0</v>
      </c>
      <c r="O561" t="n">
        <v>1</v>
      </c>
      <c r="P561" t="n">
        <v>0</v>
      </c>
      <c r="Q561" t="n">
        <v>1</v>
      </c>
      <c r="R561" s="2" t="inlineStr">
        <is>
          <t>Garnlav</t>
        </is>
      </c>
      <c r="S561">
        <f>HYPERLINK("https://klasma.github.io/Logging_2513/artfynd/A 30532-2025 artfynd.xlsx", "A 30532-2025")</f>
        <v/>
      </c>
      <c r="T561">
        <f>HYPERLINK("https://klasma.github.io/Logging_2513/kartor/A 30532-2025 karta.png", "A 30532-2025")</f>
        <v/>
      </c>
      <c r="V561">
        <f>HYPERLINK("https://klasma.github.io/Logging_2513/klagomål/A 30532-2025 FSC-klagomål.docx", "A 30532-2025")</f>
        <v/>
      </c>
      <c r="W561">
        <f>HYPERLINK("https://klasma.github.io/Logging_2513/klagomålsmail/A 30532-2025 FSC-klagomål mail.docx", "A 30532-2025")</f>
        <v/>
      </c>
      <c r="X561">
        <f>HYPERLINK("https://klasma.github.io/Logging_2513/tillsyn/A 30532-2025 tillsynsbegäran.docx", "A 30532-2025")</f>
        <v/>
      </c>
      <c r="Y561">
        <f>HYPERLINK("https://klasma.github.io/Logging_2513/tillsynsmail/A 30532-2025 tillsynsbegäran mail.docx", "A 30532-2025")</f>
        <v/>
      </c>
    </row>
    <row r="562" ht="15" customHeight="1">
      <c r="A562" t="inlineStr">
        <is>
          <t>A 31079-2025</t>
        </is>
      </c>
      <c r="B562" s="1" t="n">
        <v>45832.58524305555</v>
      </c>
      <c r="C562" s="1" t="n">
        <v>45895</v>
      </c>
      <c r="D562" t="inlineStr">
        <is>
          <t>NORRBOTTENS LÄN</t>
        </is>
      </c>
      <c r="E562" t="inlineStr">
        <is>
          <t>BODEN</t>
        </is>
      </c>
      <c r="F562" t="inlineStr">
        <is>
          <t>Sveaskog</t>
        </is>
      </c>
      <c r="G562" t="n">
        <v>21.5</v>
      </c>
      <c r="H562" t="n">
        <v>1</v>
      </c>
      <c r="I562" t="n">
        <v>0</v>
      </c>
      <c r="J562" t="n">
        <v>0</v>
      </c>
      <c r="K562" t="n">
        <v>0</v>
      </c>
      <c r="L562" t="n">
        <v>0</v>
      </c>
      <c r="M562" t="n">
        <v>0</v>
      </c>
      <c r="N562" t="n">
        <v>0</v>
      </c>
      <c r="O562" t="n">
        <v>0</v>
      </c>
      <c r="P562" t="n">
        <v>0</v>
      </c>
      <c r="Q562" t="n">
        <v>1</v>
      </c>
      <c r="R562" s="2" t="inlineStr">
        <is>
          <t>Fläcknycklar</t>
        </is>
      </c>
      <c r="S562">
        <f>HYPERLINK("https://klasma.github.io/Logging_2582/artfynd/A 31079-2025 artfynd.xlsx", "A 31079-2025")</f>
        <v/>
      </c>
      <c r="T562">
        <f>HYPERLINK("https://klasma.github.io/Logging_2582/kartor/A 31079-2025 karta.png", "A 31079-2025")</f>
        <v/>
      </c>
      <c r="V562">
        <f>HYPERLINK("https://klasma.github.io/Logging_2582/klagomål/A 31079-2025 FSC-klagomål.docx", "A 31079-2025")</f>
        <v/>
      </c>
      <c r="W562">
        <f>HYPERLINK("https://klasma.github.io/Logging_2582/klagomålsmail/A 31079-2025 FSC-klagomål mail.docx", "A 31079-2025")</f>
        <v/>
      </c>
      <c r="X562">
        <f>HYPERLINK("https://klasma.github.io/Logging_2582/tillsyn/A 31079-2025 tillsynsbegäran.docx", "A 31079-2025")</f>
        <v/>
      </c>
      <c r="Y562">
        <f>HYPERLINK("https://klasma.github.io/Logging_2582/tillsynsmail/A 31079-2025 tillsynsbegäran mail.docx", "A 31079-2025")</f>
        <v/>
      </c>
    </row>
    <row r="563" ht="15" customHeight="1">
      <c r="A563" t="inlineStr">
        <is>
          <t>A 31204-2025</t>
        </is>
      </c>
      <c r="B563" s="1" t="n">
        <v>45832.7002199074</v>
      </c>
      <c r="C563" s="1" t="n">
        <v>45895</v>
      </c>
      <c r="D563" t="inlineStr">
        <is>
          <t>NORRBOTTENS LÄN</t>
        </is>
      </c>
      <c r="E563" t="inlineStr">
        <is>
          <t>PAJALA</t>
        </is>
      </c>
      <c r="F563" t="inlineStr">
        <is>
          <t>Sveaskog</t>
        </is>
      </c>
      <c r="G563" t="n">
        <v>5.8</v>
      </c>
      <c r="H563" t="n">
        <v>0</v>
      </c>
      <c r="I563" t="n">
        <v>0</v>
      </c>
      <c r="J563" t="n">
        <v>1</v>
      </c>
      <c r="K563" t="n">
        <v>0</v>
      </c>
      <c r="L563" t="n">
        <v>0</v>
      </c>
      <c r="M563" t="n">
        <v>0</v>
      </c>
      <c r="N563" t="n">
        <v>0</v>
      </c>
      <c r="O563" t="n">
        <v>1</v>
      </c>
      <c r="P563" t="n">
        <v>0</v>
      </c>
      <c r="Q563" t="n">
        <v>1</v>
      </c>
      <c r="R563" s="2" t="inlineStr">
        <is>
          <t>Mörk kolflarnlav</t>
        </is>
      </c>
      <c r="S563">
        <f>HYPERLINK("https://klasma.github.io/Logging_2521/artfynd/A 31204-2025 artfynd.xlsx", "A 31204-2025")</f>
        <v/>
      </c>
      <c r="T563">
        <f>HYPERLINK("https://klasma.github.io/Logging_2521/kartor/A 31204-2025 karta.png", "A 31204-2025")</f>
        <v/>
      </c>
      <c r="V563">
        <f>HYPERLINK("https://klasma.github.io/Logging_2521/klagomål/A 31204-2025 FSC-klagomål.docx", "A 31204-2025")</f>
        <v/>
      </c>
      <c r="W563">
        <f>HYPERLINK("https://klasma.github.io/Logging_2521/klagomålsmail/A 31204-2025 FSC-klagomål mail.docx", "A 31204-2025")</f>
        <v/>
      </c>
      <c r="X563">
        <f>HYPERLINK("https://klasma.github.io/Logging_2521/tillsyn/A 31204-2025 tillsynsbegäran.docx", "A 31204-2025")</f>
        <v/>
      </c>
      <c r="Y563">
        <f>HYPERLINK("https://klasma.github.io/Logging_2521/tillsynsmail/A 31204-2025 tillsynsbegäran mail.docx", "A 31204-2025")</f>
        <v/>
      </c>
    </row>
    <row r="564" ht="15" customHeight="1">
      <c r="A564" t="inlineStr">
        <is>
          <t>A 30602-2025</t>
        </is>
      </c>
      <c r="B564" s="1" t="n">
        <v>45831.45141203704</v>
      </c>
      <c r="C564" s="1" t="n">
        <v>45895</v>
      </c>
      <c r="D564" t="inlineStr">
        <is>
          <t>NORRBOTTENS LÄN</t>
        </is>
      </c>
      <c r="E564" t="inlineStr">
        <is>
          <t>PITEÅ</t>
        </is>
      </c>
      <c r="F564" t="inlineStr">
        <is>
          <t>Sveaskog</t>
        </is>
      </c>
      <c r="G564" t="n">
        <v>7.8</v>
      </c>
      <c r="H564" t="n">
        <v>0</v>
      </c>
      <c r="I564" t="n">
        <v>0</v>
      </c>
      <c r="J564" t="n">
        <v>1</v>
      </c>
      <c r="K564" t="n">
        <v>0</v>
      </c>
      <c r="L564" t="n">
        <v>0</v>
      </c>
      <c r="M564" t="n">
        <v>0</v>
      </c>
      <c r="N564" t="n">
        <v>0</v>
      </c>
      <c r="O564" t="n">
        <v>1</v>
      </c>
      <c r="P564" t="n">
        <v>0</v>
      </c>
      <c r="Q564" t="n">
        <v>1</v>
      </c>
      <c r="R564" s="2" t="inlineStr">
        <is>
          <t>Lunglav</t>
        </is>
      </c>
      <c r="S564">
        <f>HYPERLINK("https://klasma.github.io/Logging_2581/artfynd/A 30602-2025 artfynd.xlsx", "A 30602-2025")</f>
        <v/>
      </c>
      <c r="T564">
        <f>HYPERLINK("https://klasma.github.io/Logging_2581/kartor/A 30602-2025 karta.png", "A 30602-2025")</f>
        <v/>
      </c>
      <c r="V564">
        <f>HYPERLINK("https://klasma.github.io/Logging_2581/klagomål/A 30602-2025 FSC-klagomål.docx", "A 30602-2025")</f>
        <v/>
      </c>
      <c r="W564">
        <f>HYPERLINK("https://klasma.github.io/Logging_2581/klagomålsmail/A 30602-2025 FSC-klagomål mail.docx", "A 30602-2025")</f>
        <v/>
      </c>
      <c r="X564">
        <f>HYPERLINK("https://klasma.github.io/Logging_2581/tillsyn/A 30602-2025 tillsynsbegäran.docx", "A 30602-2025")</f>
        <v/>
      </c>
      <c r="Y564">
        <f>HYPERLINK("https://klasma.github.io/Logging_2581/tillsynsmail/A 30602-2025 tillsynsbegäran mail.docx", "A 30602-2025")</f>
        <v/>
      </c>
    </row>
    <row r="565" ht="15" customHeight="1">
      <c r="A565" t="inlineStr">
        <is>
          <t>A 30784-2025</t>
        </is>
      </c>
      <c r="B565" s="1" t="n">
        <v>45831.62631944445</v>
      </c>
      <c r="C565" s="1" t="n">
        <v>45895</v>
      </c>
      <c r="D565" t="inlineStr">
        <is>
          <t>NORRBOTTENS LÄN</t>
        </is>
      </c>
      <c r="E565" t="inlineStr">
        <is>
          <t>ÖVERTORNEÅ</t>
        </is>
      </c>
      <c r="F565" t="inlineStr">
        <is>
          <t>Sveaskog</t>
        </is>
      </c>
      <c r="G565" t="n">
        <v>12.4</v>
      </c>
      <c r="H565" t="n">
        <v>1</v>
      </c>
      <c r="I565" t="n">
        <v>0</v>
      </c>
      <c r="J565" t="n">
        <v>0</v>
      </c>
      <c r="K565" t="n">
        <v>0</v>
      </c>
      <c r="L565" t="n">
        <v>0</v>
      </c>
      <c r="M565" t="n">
        <v>0</v>
      </c>
      <c r="N565" t="n">
        <v>0</v>
      </c>
      <c r="O565" t="n">
        <v>0</v>
      </c>
      <c r="P565" t="n">
        <v>0</v>
      </c>
      <c r="Q565" t="n">
        <v>1</v>
      </c>
      <c r="R565" s="2" t="inlineStr">
        <is>
          <t>Fläcknycklar</t>
        </is>
      </c>
      <c r="S565">
        <f>HYPERLINK("https://klasma.github.io/Logging_2518/artfynd/A 30784-2025 artfynd.xlsx", "A 30784-2025")</f>
        <v/>
      </c>
      <c r="T565">
        <f>HYPERLINK("https://klasma.github.io/Logging_2518/kartor/A 30784-2025 karta.png", "A 30784-2025")</f>
        <v/>
      </c>
      <c r="V565">
        <f>HYPERLINK("https://klasma.github.io/Logging_2518/klagomål/A 30784-2025 FSC-klagomål.docx", "A 30784-2025")</f>
        <v/>
      </c>
      <c r="W565">
        <f>HYPERLINK("https://klasma.github.io/Logging_2518/klagomålsmail/A 30784-2025 FSC-klagomål mail.docx", "A 30784-2025")</f>
        <v/>
      </c>
      <c r="X565">
        <f>HYPERLINK("https://klasma.github.io/Logging_2518/tillsyn/A 30784-2025 tillsynsbegäran.docx", "A 30784-2025")</f>
        <v/>
      </c>
      <c r="Y565">
        <f>HYPERLINK("https://klasma.github.io/Logging_2518/tillsynsmail/A 30784-2025 tillsynsbegäran mail.docx", "A 30784-2025")</f>
        <v/>
      </c>
    </row>
    <row r="566" ht="15" customHeight="1">
      <c r="A566" t="inlineStr">
        <is>
          <t>A 41375-2024</t>
        </is>
      </c>
      <c r="B566" s="1" t="n">
        <v>45559</v>
      </c>
      <c r="C566" s="1" t="n">
        <v>45895</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31487-2025</t>
        </is>
      </c>
      <c r="B567" s="1" t="n">
        <v>45833.57443287037</v>
      </c>
      <c r="C567" s="1" t="n">
        <v>45895</v>
      </c>
      <c r="D567" t="inlineStr">
        <is>
          <t>NORRBOTTENS LÄN</t>
        </is>
      </c>
      <c r="E567" t="inlineStr">
        <is>
          <t>BODEN</t>
        </is>
      </c>
      <c r="F567" t="inlineStr">
        <is>
          <t>Övriga Aktiebolag</t>
        </is>
      </c>
      <c r="G567" t="n">
        <v>9.800000000000001</v>
      </c>
      <c r="H567" t="n">
        <v>1</v>
      </c>
      <c r="I567" t="n">
        <v>1</v>
      </c>
      <c r="J567" t="n">
        <v>0</v>
      </c>
      <c r="K567" t="n">
        <v>0</v>
      </c>
      <c r="L567" t="n">
        <v>0</v>
      </c>
      <c r="M567" t="n">
        <v>0</v>
      </c>
      <c r="N567" t="n">
        <v>0</v>
      </c>
      <c r="O567" t="n">
        <v>0</v>
      </c>
      <c r="P567" t="n">
        <v>0</v>
      </c>
      <c r="Q567" t="n">
        <v>1</v>
      </c>
      <c r="R567" s="2" t="inlineStr">
        <is>
          <t>Plattlummer</t>
        </is>
      </c>
      <c r="S567">
        <f>HYPERLINK("https://klasma.github.io/Logging_2582/artfynd/A 31487-2025 artfynd.xlsx", "A 31487-2025")</f>
        <v/>
      </c>
      <c r="T567">
        <f>HYPERLINK("https://klasma.github.io/Logging_2582/kartor/A 31487-2025 karta.png", "A 31487-2025")</f>
        <v/>
      </c>
      <c r="V567">
        <f>HYPERLINK("https://klasma.github.io/Logging_2582/klagomål/A 31487-2025 FSC-klagomål.docx", "A 31487-2025")</f>
        <v/>
      </c>
      <c r="W567">
        <f>HYPERLINK("https://klasma.github.io/Logging_2582/klagomålsmail/A 31487-2025 FSC-klagomål mail.docx", "A 31487-2025")</f>
        <v/>
      </c>
      <c r="X567">
        <f>HYPERLINK("https://klasma.github.io/Logging_2582/tillsyn/A 31487-2025 tillsynsbegäran.docx", "A 31487-2025")</f>
        <v/>
      </c>
      <c r="Y567">
        <f>HYPERLINK("https://klasma.github.io/Logging_2582/tillsynsmail/A 31487-2025 tillsynsbegäran mail.docx", "A 31487-2025")</f>
        <v/>
      </c>
    </row>
    <row r="568" ht="15" customHeight="1">
      <c r="A568" t="inlineStr">
        <is>
          <t>A 41171-2023</t>
        </is>
      </c>
      <c r="B568" s="1" t="n">
        <v>45174</v>
      </c>
      <c r="C568" s="1" t="n">
        <v>45895</v>
      </c>
      <c r="D568" t="inlineStr">
        <is>
          <t>NORRBOTTENS LÄN</t>
        </is>
      </c>
      <c r="E568" t="inlineStr">
        <is>
          <t>ÖVERKALIX</t>
        </is>
      </c>
      <c r="F568" t="inlineStr">
        <is>
          <t>Sveaskog</t>
        </is>
      </c>
      <c r="G568" t="n">
        <v>17</v>
      </c>
      <c r="H568" t="n">
        <v>0</v>
      </c>
      <c r="I568" t="n">
        <v>0</v>
      </c>
      <c r="J568" t="n">
        <v>1</v>
      </c>
      <c r="K568" t="n">
        <v>0</v>
      </c>
      <c r="L568" t="n">
        <v>0</v>
      </c>
      <c r="M568" t="n">
        <v>0</v>
      </c>
      <c r="N568" t="n">
        <v>0</v>
      </c>
      <c r="O568" t="n">
        <v>1</v>
      </c>
      <c r="P568" t="n">
        <v>0</v>
      </c>
      <c r="Q568" t="n">
        <v>1</v>
      </c>
      <c r="R568" s="2" t="inlineStr">
        <is>
          <t>Lunglav</t>
        </is>
      </c>
      <c r="S568">
        <f>HYPERLINK("https://klasma.github.io/Logging_2513/artfynd/A 41171-2023 artfynd.xlsx", "A 41171-2023")</f>
        <v/>
      </c>
      <c r="T568">
        <f>HYPERLINK("https://klasma.github.io/Logging_2513/kartor/A 41171-2023 karta.png", "A 41171-2023")</f>
        <v/>
      </c>
      <c r="V568">
        <f>HYPERLINK("https://klasma.github.io/Logging_2513/klagomål/A 41171-2023 FSC-klagomål.docx", "A 41171-2023")</f>
        <v/>
      </c>
      <c r="W568">
        <f>HYPERLINK("https://klasma.github.io/Logging_2513/klagomålsmail/A 41171-2023 FSC-klagomål mail.docx", "A 41171-2023")</f>
        <v/>
      </c>
      <c r="X568">
        <f>HYPERLINK("https://klasma.github.io/Logging_2513/tillsyn/A 41171-2023 tillsynsbegäran.docx", "A 41171-2023")</f>
        <v/>
      </c>
      <c r="Y568">
        <f>HYPERLINK("https://klasma.github.io/Logging_2513/tillsynsmail/A 41171-2023 tillsynsbegäran mail.docx", "A 41171-2023")</f>
        <v/>
      </c>
    </row>
    <row r="569" ht="15" customHeight="1">
      <c r="A569" t="inlineStr">
        <is>
          <t>A 31651-2025</t>
        </is>
      </c>
      <c r="B569" s="1" t="n">
        <v>45834.34667824074</v>
      </c>
      <c r="C569" s="1" t="n">
        <v>45895</v>
      </c>
      <c r="D569" t="inlineStr">
        <is>
          <t>NORRBOTTENS LÄN</t>
        </is>
      </c>
      <c r="E569" t="inlineStr">
        <is>
          <t>GÄLLIVARE</t>
        </is>
      </c>
      <c r="F569" t="inlineStr">
        <is>
          <t>SCA</t>
        </is>
      </c>
      <c r="G569" t="n">
        <v>4.4</v>
      </c>
      <c r="H569" t="n">
        <v>0</v>
      </c>
      <c r="I569" t="n">
        <v>0</v>
      </c>
      <c r="J569" t="n">
        <v>1</v>
      </c>
      <c r="K569" t="n">
        <v>0</v>
      </c>
      <c r="L569" t="n">
        <v>0</v>
      </c>
      <c r="M569" t="n">
        <v>0</v>
      </c>
      <c r="N569" t="n">
        <v>0</v>
      </c>
      <c r="O569" t="n">
        <v>1</v>
      </c>
      <c r="P569" t="n">
        <v>0</v>
      </c>
      <c r="Q569" t="n">
        <v>1</v>
      </c>
      <c r="R569" s="2" t="inlineStr">
        <is>
          <t>Talltaggsvamp</t>
        </is>
      </c>
      <c r="S569">
        <f>HYPERLINK("https://klasma.github.io/Logging_2523/artfynd/A 31651-2025 artfynd.xlsx", "A 31651-2025")</f>
        <v/>
      </c>
      <c r="T569">
        <f>HYPERLINK("https://klasma.github.io/Logging_2523/kartor/A 31651-2025 karta.png", "A 31651-2025")</f>
        <v/>
      </c>
      <c r="V569">
        <f>HYPERLINK("https://klasma.github.io/Logging_2523/klagomål/A 31651-2025 FSC-klagomål.docx", "A 31651-2025")</f>
        <v/>
      </c>
      <c r="W569">
        <f>HYPERLINK("https://klasma.github.io/Logging_2523/klagomålsmail/A 31651-2025 FSC-klagomål mail.docx", "A 31651-2025")</f>
        <v/>
      </c>
      <c r="X569">
        <f>HYPERLINK("https://klasma.github.io/Logging_2523/tillsyn/A 31651-2025 tillsynsbegäran.docx", "A 31651-2025")</f>
        <v/>
      </c>
      <c r="Y569">
        <f>HYPERLINK("https://klasma.github.io/Logging_2523/tillsynsmail/A 31651-2025 tillsynsbegäran mail.docx", "A 31651-2025")</f>
        <v/>
      </c>
    </row>
    <row r="570" ht="15" customHeight="1">
      <c r="A570" t="inlineStr">
        <is>
          <t>A 31900-2025</t>
        </is>
      </c>
      <c r="B570" s="1" t="n">
        <v>45834</v>
      </c>
      <c r="C570" s="1" t="n">
        <v>45895</v>
      </c>
      <c r="D570" t="inlineStr">
        <is>
          <t>NORRBOTTENS LÄN</t>
        </is>
      </c>
      <c r="E570" t="inlineStr">
        <is>
          <t>LULEÅ</t>
        </is>
      </c>
      <c r="G570" t="n">
        <v>1.9</v>
      </c>
      <c r="H570" t="n">
        <v>0</v>
      </c>
      <c r="I570" t="n">
        <v>1</v>
      </c>
      <c r="J570" t="n">
        <v>0</v>
      </c>
      <c r="K570" t="n">
        <v>0</v>
      </c>
      <c r="L570" t="n">
        <v>0</v>
      </c>
      <c r="M570" t="n">
        <v>0</v>
      </c>
      <c r="N570" t="n">
        <v>0</v>
      </c>
      <c r="O570" t="n">
        <v>0</v>
      </c>
      <c r="P570" t="n">
        <v>0</v>
      </c>
      <c r="Q570" t="n">
        <v>1</v>
      </c>
      <c r="R570" s="2" t="inlineStr">
        <is>
          <t>Strutbräken</t>
        </is>
      </c>
      <c r="S570">
        <f>HYPERLINK("https://klasma.github.io/Logging_2580/artfynd/A 31900-2025 artfynd.xlsx", "A 31900-2025")</f>
        <v/>
      </c>
      <c r="T570">
        <f>HYPERLINK("https://klasma.github.io/Logging_2580/kartor/A 31900-2025 karta.png", "A 31900-2025")</f>
        <v/>
      </c>
      <c r="V570">
        <f>HYPERLINK("https://klasma.github.io/Logging_2580/klagomål/A 31900-2025 FSC-klagomål.docx", "A 31900-2025")</f>
        <v/>
      </c>
      <c r="W570">
        <f>HYPERLINK("https://klasma.github.io/Logging_2580/klagomålsmail/A 31900-2025 FSC-klagomål mail.docx", "A 31900-2025")</f>
        <v/>
      </c>
      <c r="X570">
        <f>HYPERLINK("https://klasma.github.io/Logging_2580/tillsyn/A 31900-2025 tillsynsbegäran.docx", "A 31900-2025")</f>
        <v/>
      </c>
      <c r="Y570">
        <f>HYPERLINK("https://klasma.github.io/Logging_2580/tillsynsmail/A 31900-2025 tillsynsbegäran mail.docx", "A 31900-2025")</f>
        <v/>
      </c>
    </row>
    <row r="571" ht="15" customHeight="1">
      <c r="A571" t="inlineStr">
        <is>
          <t>A 37252-2025</t>
        </is>
      </c>
      <c r="B571" s="1" t="n">
        <v>45876.4228125</v>
      </c>
      <c r="C571" s="1" t="n">
        <v>45895</v>
      </c>
      <c r="D571" t="inlineStr">
        <is>
          <t>NORRBOTTENS LÄN</t>
        </is>
      </c>
      <c r="E571" t="inlineStr">
        <is>
          <t>JOKKMOKK</t>
        </is>
      </c>
      <c r="F571" t="inlineStr">
        <is>
          <t>Sveaskog</t>
        </is>
      </c>
      <c r="G571" t="n">
        <v>4.5</v>
      </c>
      <c r="H571" t="n">
        <v>1</v>
      </c>
      <c r="I571" t="n">
        <v>1</v>
      </c>
      <c r="J571" t="n">
        <v>0</v>
      </c>
      <c r="K571" t="n">
        <v>0</v>
      </c>
      <c r="L571" t="n">
        <v>0</v>
      </c>
      <c r="M571" t="n">
        <v>0</v>
      </c>
      <c r="N571" t="n">
        <v>0</v>
      </c>
      <c r="O571" t="n">
        <v>0</v>
      </c>
      <c r="P571" t="n">
        <v>0</v>
      </c>
      <c r="Q571" t="n">
        <v>1</v>
      </c>
      <c r="R571" s="2" t="inlineStr">
        <is>
          <t>Spindelblomster</t>
        </is>
      </c>
      <c r="S571">
        <f>HYPERLINK("https://klasma.github.io/Logging_2510/artfynd/A 37252-2025 artfynd.xlsx", "A 37252-2025")</f>
        <v/>
      </c>
      <c r="T571">
        <f>HYPERLINK("https://klasma.github.io/Logging_2510/kartor/A 37252-2025 karta.png", "A 37252-2025")</f>
        <v/>
      </c>
      <c r="V571">
        <f>HYPERLINK("https://klasma.github.io/Logging_2510/klagomål/A 37252-2025 FSC-klagomål.docx", "A 37252-2025")</f>
        <v/>
      </c>
      <c r="W571">
        <f>HYPERLINK("https://klasma.github.io/Logging_2510/klagomålsmail/A 37252-2025 FSC-klagomål mail.docx", "A 37252-2025")</f>
        <v/>
      </c>
      <c r="X571">
        <f>HYPERLINK("https://klasma.github.io/Logging_2510/tillsyn/A 37252-2025 tillsynsbegäran.docx", "A 37252-2025")</f>
        <v/>
      </c>
      <c r="Y571">
        <f>HYPERLINK("https://klasma.github.io/Logging_2510/tillsynsmail/A 37252-2025 tillsynsbegäran mail.docx", "A 37252-2025")</f>
        <v/>
      </c>
    </row>
    <row r="572" ht="15" customHeight="1">
      <c r="A572" t="inlineStr">
        <is>
          <t>A 36074-2025</t>
        </is>
      </c>
      <c r="B572" s="1" t="n">
        <v>45866</v>
      </c>
      <c r="C572" s="1" t="n">
        <v>45895</v>
      </c>
      <c r="D572" t="inlineStr">
        <is>
          <t>NORRBOTTENS LÄN</t>
        </is>
      </c>
      <c r="E572" t="inlineStr">
        <is>
          <t>PAJALA</t>
        </is>
      </c>
      <c r="F572" t="inlineStr">
        <is>
          <t>Sveaskog</t>
        </is>
      </c>
      <c r="G572" t="n">
        <v>10.8</v>
      </c>
      <c r="H572" t="n">
        <v>0</v>
      </c>
      <c r="I572" t="n">
        <v>0</v>
      </c>
      <c r="J572" t="n">
        <v>1</v>
      </c>
      <c r="K572" t="n">
        <v>0</v>
      </c>
      <c r="L572" t="n">
        <v>0</v>
      </c>
      <c r="M572" t="n">
        <v>0</v>
      </c>
      <c r="N572" t="n">
        <v>0</v>
      </c>
      <c r="O572" t="n">
        <v>1</v>
      </c>
      <c r="P572" t="n">
        <v>0</v>
      </c>
      <c r="Q572" t="n">
        <v>1</v>
      </c>
      <c r="R572" s="2" t="inlineStr">
        <is>
          <t>Ullticka</t>
        </is>
      </c>
      <c r="S572">
        <f>HYPERLINK("https://klasma.github.io/Logging_2521/artfynd/A 36074-2025 artfynd.xlsx", "A 36074-2025")</f>
        <v/>
      </c>
      <c r="T572">
        <f>HYPERLINK("https://klasma.github.io/Logging_2521/kartor/A 36074-2025 karta.png", "A 36074-2025")</f>
        <v/>
      </c>
      <c r="V572">
        <f>HYPERLINK("https://klasma.github.io/Logging_2521/klagomål/A 36074-2025 FSC-klagomål.docx", "A 36074-2025")</f>
        <v/>
      </c>
      <c r="W572">
        <f>HYPERLINK("https://klasma.github.io/Logging_2521/klagomålsmail/A 36074-2025 FSC-klagomål mail.docx", "A 36074-2025")</f>
        <v/>
      </c>
      <c r="X572">
        <f>HYPERLINK("https://klasma.github.io/Logging_2521/tillsyn/A 36074-2025 tillsynsbegäran.docx", "A 36074-2025")</f>
        <v/>
      </c>
      <c r="Y572">
        <f>HYPERLINK("https://klasma.github.io/Logging_2521/tillsynsmail/A 36074-2025 tillsynsbegäran mail.docx", "A 36074-2025")</f>
        <v/>
      </c>
    </row>
    <row r="573" ht="15" customHeight="1">
      <c r="A573" t="inlineStr">
        <is>
          <t>A 36692-2025</t>
        </is>
      </c>
      <c r="B573" s="1" t="n">
        <v>45873.43134259259</v>
      </c>
      <c r="C573" s="1" t="n">
        <v>45895</v>
      </c>
      <c r="D573" t="inlineStr">
        <is>
          <t>NORRBOTTENS LÄN</t>
        </is>
      </c>
      <c r="E573" t="inlineStr">
        <is>
          <t>PAJALA</t>
        </is>
      </c>
      <c r="F573" t="inlineStr">
        <is>
          <t>Sveaskog</t>
        </is>
      </c>
      <c r="G573" t="n">
        <v>21.8</v>
      </c>
      <c r="H573" t="n">
        <v>0</v>
      </c>
      <c r="I573" t="n">
        <v>0</v>
      </c>
      <c r="J573" t="n">
        <v>1</v>
      </c>
      <c r="K573" t="n">
        <v>0</v>
      </c>
      <c r="L573" t="n">
        <v>0</v>
      </c>
      <c r="M573" t="n">
        <v>0</v>
      </c>
      <c r="N573" t="n">
        <v>0</v>
      </c>
      <c r="O573" t="n">
        <v>1</v>
      </c>
      <c r="P573" t="n">
        <v>0</v>
      </c>
      <c r="Q573" t="n">
        <v>1</v>
      </c>
      <c r="R573" s="2" t="inlineStr">
        <is>
          <t>Blå taggsvamp</t>
        </is>
      </c>
      <c r="S573">
        <f>HYPERLINK("https://klasma.github.io/Logging_2521/artfynd/A 36692-2025 artfynd.xlsx", "A 36692-2025")</f>
        <v/>
      </c>
      <c r="T573">
        <f>HYPERLINK("https://klasma.github.io/Logging_2521/kartor/A 36692-2025 karta.png", "A 36692-2025")</f>
        <v/>
      </c>
      <c r="V573">
        <f>HYPERLINK("https://klasma.github.io/Logging_2521/klagomål/A 36692-2025 FSC-klagomål.docx", "A 36692-2025")</f>
        <v/>
      </c>
      <c r="W573">
        <f>HYPERLINK("https://klasma.github.io/Logging_2521/klagomålsmail/A 36692-2025 FSC-klagomål mail.docx", "A 36692-2025")</f>
        <v/>
      </c>
      <c r="X573">
        <f>HYPERLINK("https://klasma.github.io/Logging_2521/tillsyn/A 36692-2025 tillsynsbegäran.docx", "A 36692-2025")</f>
        <v/>
      </c>
      <c r="Y573">
        <f>HYPERLINK("https://klasma.github.io/Logging_2521/tillsynsmail/A 36692-2025 tillsynsbegäran mail.docx", "A 36692-2025")</f>
        <v/>
      </c>
    </row>
    <row r="574" ht="15" customHeight="1">
      <c r="A574" t="inlineStr">
        <is>
          <t>A 27927-2023</t>
        </is>
      </c>
      <c r="B574" s="1" t="n">
        <v>45098</v>
      </c>
      <c r="C574" s="1" t="n">
        <v>45895</v>
      </c>
      <c r="D574" t="inlineStr">
        <is>
          <t>NORRBOTTENS LÄN</t>
        </is>
      </c>
      <c r="E574" t="inlineStr">
        <is>
          <t>PITEÅ</t>
        </is>
      </c>
      <c r="F574" t="inlineStr">
        <is>
          <t>Sveaskog</t>
        </is>
      </c>
      <c r="G574" t="n">
        <v>13.7</v>
      </c>
      <c r="H574" t="n">
        <v>0</v>
      </c>
      <c r="I574" t="n">
        <v>0</v>
      </c>
      <c r="J574" t="n">
        <v>1</v>
      </c>
      <c r="K574" t="n">
        <v>0</v>
      </c>
      <c r="L574" t="n">
        <v>0</v>
      </c>
      <c r="M574" t="n">
        <v>0</v>
      </c>
      <c r="N574" t="n">
        <v>0</v>
      </c>
      <c r="O574" t="n">
        <v>1</v>
      </c>
      <c r="P574" t="n">
        <v>0</v>
      </c>
      <c r="Q574" t="n">
        <v>1</v>
      </c>
      <c r="R574" s="2" t="inlineStr">
        <is>
          <t>Garnlav</t>
        </is>
      </c>
      <c r="S574">
        <f>HYPERLINK("https://klasma.github.io/Logging_2581/artfynd/A 27927-2023 artfynd.xlsx", "A 27927-2023")</f>
        <v/>
      </c>
      <c r="T574">
        <f>HYPERLINK("https://klasma.github.io/Logging_2581/kartor/A 27927-2023 karta.png", "A 27927-2023")</f>
        <v/>
      </c>
      <c r="V574">
        <f>HYPERLINK("https://klasma.github.io/Logging_2581/klagomål/A 27927-2023 FSC-klagomål.docx", "A 27927-2023")</f>
        <v/>
      </c>
      <c r="W574">
        <f>HYPERLINK("https://klasma.github.io/Logging_2581/klagomålsmail/A 27927-2023 FSC-klagomål mail.docx", "A 27927-2023")</f>
        <v/>
      </c>
      <c r="X574">
        <f>HYPERLINK("https://klasma.github.io/Logging_2581/tillsyn/A 27927-2023 tillsynsbegäran.docx", "A 27927-2023")</f>
        <v/>
      </c>
      <c r="Y574">
        <f>HYPERLINK("https://klasma.github.io/Logging_2581/tillsynsmail/A 27927-2023 tillsynsbegäran mail.docx", "A 27927-2023")</f>
        <v/>
      </c>
    </row>
    <row r="575" ht="15" customHeight="1">
      <c r="A575" t="inlineStr">
        <is>
          <t>A 37182-2025</t>
        </is>
      </c>
      <c r="B575" s="1" t="n">
        <v>45875.62949074074</v>
      </c>
      <c r="C575" s="1" t="n">
        <v>45895</v>
      </c>
      <c r="D575" t="inlineStr">
        <is>
          <t>NORRBOTTENS LÄN</t>
        </is>
      </c>
      <c r="E575" t="inlineStr">
        <is>
          <t>PAJALA</t>
        </is>
      </c>
      <c r="F575" t="inlineStr">
        <is>
          <t>Sveaskog</t>
        </is>
      </c>
      <c r="G575" t="n">
        <v>4.1</v>
      </c>
      <c r="H575" t="n">
        <v>0</v>
      </c>
      <c r="I575" t="n">
        <v>0</v>
      </c>
      <c r="J575" t="n">
        <v>1</v>
      </c>
      <c r="K575" t="n">
        <v>0</v>
      </c>
      <c r="L575" t="n">
        <v>0</v>
      </c>
      <c r="M575" t="n">
        <v>0</v>
      </c>
      <c r="N575" t="n">
        <v>0</v>
      </c>
      <c r="O575" t="n">
        <v>1</v>
      </c>
      <c r="P575" t="n">
        <v>0</v>
      </c>
      <c r="Q575" t="n">
        <v>1</v>
      </c>
      <c r="R575" s="2" t="inlineStr">
        <is>
          <t>Ullticka</t>
        </is>
      </c>
      <c r="S575">
        <f>HYPERLINK("https://klasma.github.io/Logging_2521/artfynd/A 37182-2025 artfynd.xlsx", "A 37182-2025")</f>
        <v/>
      </c>
      <c r="T575">
        <f>HYPERLINK("https://klasma.github.io/Logging_2521/kartor/A 37182-2025 karta.png", "A 37182-2025")</f>
        <v/>
      </c>
      <c r="V575">
        <f>HYPERLINK("https://klasma.github.io/Logging_2521/klagomål/A 37182-2025 FSC-klagomål.docx", "A 37182-2025")</f>
        <v/>
      </c>
      <c r="W575">
        <f>HYPERLINK("https://klasma.github.io/Logging_2521/klagomålsmail/A 37182-2025 FSC-klagomål mail.docx", "A 37182-2025")</f>
        <v/>
      </c>
      <c r="X575">
        <f>HYPERLINK("https://klasma.github.io/Logging_2521/tillsyn/A 37182-2025 tillsynsbegäran.docx", "A 37182-2025")</f>
        <v/>
      </c>
      <c r="Y575">
        <f>HYPERLINK("https://klasma.github.io/Logging_2521/tillsynsmail/A 37182-2025 tillsynsbegäran mail.docx", "A 37182-2025")</f>
        <v/>
      </c>
    </row>
    <row r="576" ht="15" customHeight="1">
      <c r="A576" t="inlineStr">
        <is>
          <t>A 32669-2025</t>
        </is>
      </c>
      <c r="B576" s="1" t="n">
        <v>45838.69793981482</v>
      </c>
      <c r="C576" s="1" t="n">
        <v>45895</v>
      </c>
      <c r="D576" t="inlineStr">
        <is>
          <t>NORRBOTTENS LÄN</t>
        </is>
      </c>
      <c r="E576" t="inlineStr">
        <is>
          <t>JOKKMOKK</t>
        </is>
      </c>
      <c r="F576" t="inlineStr">
        <is>
          <t>Sveaskog</t>
        </is>
      </c>
      <c r="G576" t="n">
        <v>14.6</v>
      </c>
      <c r="H576" t="n">
        <v>1</v>
      </c>
      <c r="I576" t="n">
        <v>1</v>
      </c>
      <c r="J576" t="n">
        <v>0</v>
      </c>
      <c r="K576" t="n">
        <v>0</v>
      </c>
      <c r="L576" t="n">
        <v>0</v>
      </c>
      <c r="M576" t="n">
        <v>0</v>
      </c>
      <c r="N576" t="n">
        <v>0</v>
      </c>
      <c r="O576" t="n">
        <v>0</v>
      </c>
      <c r="P576" t="n">
        <v>0</v>
      </c>
      <c r="Q576" t="n">
        <v>1</v>
      </c>
      <c r="R576" s="2" t="inlineStr">
        <is>
          <t>Plattlummer</t>
        </is>
      </c>
      <c r="S576">
        <f>HYPERLINK("https://klasma.github.io/Logging_2510/artfynd/A 32669-2025 artfynd.xlsx", "A 32669-2025")</f>
        <v/>
      </c>
      <c r="T576">
        <f>HYPERLINK("https://klasma.github.io/Logging_2510/kartor/A 32669-2025 karta.png", "A 32669-2025")</f>
        <v/>
      </c>
      <c r="V576">
        <f>HYPERLINK("https://klasma.github.io/Logging_2510/klagomål/A 32669-2025 FSC-klagomål.docx", "A 32669-2025")</f>
        <v/>
      </c>
      <c r="W576">
        <f>HYPERLINK("https://klasma.github.io/Logging_2510/klagomålsmail/A 32669-2025 FSC-klagomål mail.docx", "A 32669-2025")</f>
        <v/>
      </c>
      <c r="X576">
        <f>HYPERLINK("https://klasma.github.io/Logging_2510/tillsyn/A 32669-2025 tillsynsbegäran.docx", "A 32669-2025")</f>
        <v/>
      </c>
      <c r="Y576">
        <f>HYPERLINK("https://klasma.github.io/Logging_2510/tillsynsmail/A 32669-2025 tillsynsbegäran mail.docx", "A 32669-2025")</f>
        <v/>
      </c>
    </row>
    <row r="577" ht="15" customHeight="1">
      <c r="A577" t="inlineStr">
        <is>
          <t>A 32119-2025</t>
        </is>
      </c>
      <c r="B577" s="1" t="n">
        <v>45835.49065972222</v>
      </c>
      <c r="C577" s="1" t="n">
        <v>45895</v>
      </c>
      <c r="D577" t="inlineStr">
        <is>
          <t>NORRBOTTENS LÄN</t>
        </is>
      </c>
      <c r="E577" t="inlineStr">
        <is>
          <t>BODEN</t>
        </is>
      </c>
      <c r="F577" t="inlineStr">
        <is>
          <t>Sveaskog</t>
        </is>
      </c>
      <c r="G577" t="n">
        <v>2</v>
      </c>
      <c r="H577" t="n">
        <v>0</v>
      </c>
      <c r="I577" t="n">
        <v>1</v>
      </c>
      <c r="J577" t="n">
        <v>0</v>
      </c>
      <c r="K577" t="n">
        <v>0</v>
      </c>
      <c r="L577" t="n">
        <v>0</v>
      </c>
      <c r="M577" t="n">
        <v>0</v>
      </c>
      <c r="N577" t="n">
        <v>0</v>
      </c>
      <c r="O577" t="n">
        <v>0</v>
      </c>
      <c r="P577" t="n">
        <v>0</v>
      </c>
      <c r="Q577" t="n">
        <v>1</v>
      </c>
      <c r="R577" s="2" t="inlineStr">
        <is>
          <t>Grönpyrola</t>
        </is>
      </c>
      <c r="S577">
        <f>HYPERLINK("https://klasma.github.io/Logging_2582/artfynd/A 32119-2025 artfynd.xlsx", "A 32119-2025")</f>
        <v/>
      </c>
      <c r="T577">
        <f>HYPERLINK("https://klasma.github.io/Logging_2582/kartor/A 32119-2025 karta.png", "A 32119-2025")</f>
        <v/>
      </c>
      <c r="V577">
        <f>HYPERLINK("https://klasma.github.io/Logging_2582/klagomål/A 32119-2025 FSC-klagomål.docx", "A 32119-2025")</f>
        <v/>
      </c>
      <c r="W577">
        <f>HYPERLINK("https://klasma.github.io/Logging_2582/klagomålsmail/A 32119-2025 FSC-klagomål mail.docx", "A 32119-2025")</f>
        <v/>
      </c>
      <c r="X577">
        <f>HYPERLINK("https://klasma.github.io/Logging_2582/tillsyn/A 32119-2025 tillsynsbegäran.docx", "A 32119-2025")</f>
        <v/>
      </c>
      <c r="Y577">
        <f>HYPERLINK("https://klasma.github.io/Logging_2582/tillsynsmail/A 32119-2025 tillsynsbegäran mail.docx", "A 32119-2025")</f>
        <v/>
      </c>
    </row>
    <row r="578" ht="15" customHeight="1">
      <c r="A578" t="inlineStr">
        <is>
          <t>A 32407-2025</t>
        </is>
      </c>
      <c r="B578" s="1" t="n">
        <v>45838</v>
      </c>
      <c r="C578" s="1" t="n">
        <v>45895</v>
      </c>
      <c r="D578" t="inlineStr">
        <is>
          <t>NORRBOTTENS LÄN</t>
        </is>
      </c>
      <c r="E578" t="inlineStr">
        <is>
          <t>ÖVERKALIX</t>
        </is>
      </c>
      <c r="F578" t="inlineStr">
        <is>
          <t>Sveaskog</t>
        </is>
      </c>
      <c r="G578" t="n">
        <v>10.6</v>
      </c>
      <c r="H578" t="n">
        <v>1</v>
      </c>
      <c r="I578" t="n">
        <v>0</v>
      </c>
      <c r="J578" t="n">
        <v>0</v>
      </c>
      <c r="K578" t="n">
        <v>1</v>
      </c>
      <c r="L578" t="n">
        <v>0</v>
      </c>
      <c r="M578" t="n">
        <v>0</v>
      </c>
      <c r="N578" t="n">
        <v>0</v>
      </c>
      <c r="O578" t="n">
        <v>1</v>
      </c>
      <c r="P578" t="n">
        <v>1</v>
      </c>
      <c r="Q578" t="n">
        <v>1</v>
      </c>
      <c r="R578" s="2" t="inlineStr">
        <is>
          <t>Knärot</t>
        </is>
      </c>
      <c r="S578">
        <f>HYPERLINK("https://klasma.github.io/Logging_2513/artfynd/A 32407-2025 artfynd.xlsx", "A 32407-2025")</f>
        <v/>
      </c>
      <c r="T578">
        <f>HYPERLINK("https://klasma.github.io/Logging_2513/kartor/A 32407-2025 karta.png", "A 32407-2025")</f>
        <v/>
      </c>
      <c r="U578">
        <f>HYPERLINK("https://klasma.github.io/Logging_2513/knärot/A 32407-2025 karta knärot.png", "A 32407-2025")</f>
        <v/>
      </c>
      <c r="V578">
        <f>HYPERLINK("https://klasma.github.io/Logging_2513/klagomål/A 32407-2025 FSC-klagomål.docx", "A 32407-2025")</f>
        <v/>
      </c>
      <c r="W578">
        <f>HYPERLINK("https://klasma.github.io/Logging_2513/klagomålsmail/A 32407-2025 FSC-klagomål mail.docx", "A 32407-2025")</f>
        <v/>
      </c>
      <c r="X578">
        <f>HYPERLINK("https://klasma.github.io/Logging_2513/tillsyn/A 32407-2025 tillsynsbegäran.docx", "A 32407-2025")</f>
        <v/>
      </c>
      <c r="Y578">
        <f>HYPERLINK("https://klasma.github.io/Logging_2513/tillsynsmail/A 32407-2025 tillsynsbegäran mail.docx", "A 32407-2025")</f>
        <v/>
      </c>
    </row>
    <row r="579" ht="15" customHeight="1">
      <c r="A579" t="inlineStr">
        <is>
          <t>A 32148-2025</t>
        </is>
      </c>
      <c r="B579" s="1" t="n">
        <v>45835.52969907408</v>
      </c>
      <c r="C579" s="1" t="n">
        <v>45895</v>
      </c>
      <c r="D579" t="inlineStr">
        <is>
          <t>NORRBOTTENS LÄN</t>
        </is>
      </c>
      <c r="E579" t="inlineStr">
        <is>
          <t>LULEÅ</t>
        </is>
      </c>
      <c r="F579" t="inlineStr">
        <is>
          <t>Sveaskog</t>
        </is>
      </c>
      <c r="G579" t="n">
        <v>2.2</v>
      </c>
      <c r="H579" t="n">
        <v>0</v>
      </c>
      <c r="I579" t="n">
        <v>0</v>
      </c>
      <c r="J579" t="n">
        <v>1</v>
      </c>
      <c r="K579" t="n">
        <v>0</v>
      </c>
      <c r="L579" t="n">
        <v>0</v>
      </c>
      <c r="M579" t="n">
        <v>0</v>
      </c>
      <c r="N579" t="n">
        <v>0</v>
      </c>
      <c r="O579" t="n">
        <v>1</v>
      </c>
      <c r="P579" t="n">
        <v>0</v>
      </c>
      <c r="Q579" t="n">
        <v>1</v>
      </c>
      <c r="R579" s="2" t="inlineStr">
        <is>
          <t>Tallticka</t>
        </is>
      </c>
      <c r="S579">
        <f>HYPERLINK("https://klasma.github.io/Logging_2580/artfynd/A 32148-2025 artfynd.xlsx", "A 32148-2025")</f>
        <v/>
      </c>
      <c r="T579">
        <f>HYPERLINK("https://klasma.github.io/Logging_2580/kartor/A 32148-2025 karta.png", "A 32148-2025")</f>
        <v/>
      </c>
      <c r="V579">
        <f>HYPERLINK("https://klasma.github.io/Logging_2580/klagomål/A 32148-2025 FSC-klagomål.docx", "A 32148-2025")</f>
        <v/>
      </c>
      <c r="W579">
        <f>HYPERLINK("https://klasma.github.io/Logging_2580/klagomålsmail/A 32148-2025 FSC-klagomål mail.docx", "A 32148-2025")</f>
        <v/>
      </c>
      <c r="X579">
        <f>HYPERLINK("https://klasma.github.io/Logging_2580/tillsyn/A 32148-2025 tillsynsbegäran.docx", "A 32148-2025")</f>
        <v/>
      </c>
      <c r="Y579">
        <f>HYPERLINK("https://klasma.github.io/Logging_2580/tillsynsmail/A 32148-2025 tillsynsbegäran mail.docx", "A 32148-2025")</f>
        <v/>
      </c>
    </row>
    <row r="580" ht="15" customHeight="1">
      <c r="A580" t="inlineStr">
        <is>
          <t>A 20466-2025</t>
        </is>
      </c>
      <c r="B580" s="1" t="n">
        <v>45775</v>
      </c>
      <c r="C580" s="1" t="n">
        <v>45895</v>
      </c>
      <c r="D580" t="inlineStr">
        <is>
          <t>NORRBOTTENS LÄN</t>
        </is>
      </c>
      <c r="E580" t="inlineStr">
        <is>
          <t>ÄLVSBYN</t>
        </is>
      </c>
      <c r="G580" t="n">
        <v>1.6</v>
      </c>
      <c r="H580" t="n">
        <v>0</v>
      </c>
      <c r="I580" t="n">
        <v>0</v>
      </c>
      <c r="J580" t="n">
        <v>1</v>
      </c>
      <c r="K580" t="n">
        <v>0</v>
      </c>
      <c r="L580" t="n">
        <v>0</v>
      </c>
      <c r="M580" t="n">
        <v>0</v>
      </c>
      <c r="N580" t="n">
        <v>0</v>
      </c>
      <c r="O580" t="n">
        <v>1</v>
      </c>
      <c r="P580" t="n">
        <v>0</v>
      </c>
      <c r="Q580" t="n">
        <v>1</v>
      </c>
      <c r="R580" s="2" t="inlineStr">
        <is>
          <t>Kolflarnlav</t>
        </is>
      </c>
      <c r="S580">
        <f>HYPERLINK("https://klasma.github.io/Logging_2560/artfynd/A 20466-2025 artfynd.xlsx", "A 20466-2025")</f>
        <v/>
      </c>
      <c r="T580">
        <f>HYPERLINK("https://klasma.github.io/Logging_2560/kartor/A 20466-2025 karta.png", "A 20466-2025")</f>
        <v/>
      </c>
      <c r="V580">
        <f>HYPERLINK("https://klasma.github.io/Logging_2560/klagomål/A 20466-2025 FSC-klagomål.docx", "A 20466-2025")</f>
        <v/>
      </c>
      <c r="W580">
        <f>HYPERLINK("https://klasma.github.io/Logging_2560/klagomålsmail/A 20466-2025 FSC-klagomål mail.docx", "A 20466-2025")</f>
        <v/>
      </c>
      <c r="X580">
        <f>HYPERLINK("https://klasma.github.io/Logging_2560/tillsyn/A 20466-2025 tillsynsbegäran.docx", "A 20466-2025")</f>
        <v/>
      </c>
      <c r="Y580">
        <f>HYPERLINK("https://klasma.github.io/Logging_2560/tillsynsmail/A 20466-2025 tillsynsbegäran mail.docx", "A 20466-2025")</f>
        <v/>
      </c>
    </row>
    <row r="581" ht="15" customHeight="1">
      <c r="A581" t="inlineStr">
        <is>
          <t>A 32277-2025</t>
        </is>
      </c>
      <c r="B581" s="1" t="n">
        <v>45835.66175925926</v>
      </c>
      <c r="C581" s="1" t="n">
        <v>45895</v>
      </c>
      <c r="D581" t="inlineStr">
        <is>
          <t>NORRBOTTENS LÄN</t>
        </is>
      </c>
      <c r="E581" t="inlineStr">
        <is>
          <t>ÖVERKALIX</t>
        </is>
      </c>
      <c r="F581" t="inlineStr">
        <is>
          <t>Sveaskog</t>
        </is>
      </c>
      <c r="G581" t="n">
        <v>9.699999999999999</v>
      </c>
      <c r="H581" t="n">
        <v>1</v>
      </c>
      <c r="I581" t="n">
        <v>1</v>
      </c>
      <c r="J581" t="n">
        <v>0</v>
      </c>
      <c r="K581" t="n">
        <v>0</v>
      </c>
      <c r="L581" t="n">
        <v>0</v>
      </c>
      <c r="M581" t="n">
        <v>0</v>
      </c>
      <c r="N581" t="n">
        <v>0</v>
      </c>
      <c r="O581" t="n">
        <v>0</v>
      </c>
      <c r="P581" t="n">
        <v>0</v>
      </c>
      <c r="Q581" t="n">
        <v>1</v>
      </c>
      <c r="R581" s="2" t="inlineStr">
        <is>
          <t>Plattlummer</t>
        </is>
      </c>
      <c r="S581">
        <f>HYPERLINK("https://klasma.github.io/Logging_2513/artfynd/A 32277-2025 artfynd.xlsx", "A 32277-2025")</f>
        <v/>
      </c>
      <c r="T581">
        <f>HYPERLINK("https://klasma.github.io/Logging_2513/kartor/A 32277-2025 karta.png", "A 32277-2025")</f>
        <v/>
      </c>
      <c r="V581">
        <f>HYPERLINK("https://klasma.github.io/Logging_2513/klagomål/A 32277-2025 FSC-klagomål.docx", "A 32277-2025")</f>
        <v/>
      </c>
      <c r="W581">
        <f>HYPERLINK("https://klasma.github.io/Logging_2513/klagomålsmail/A 32277-2025 FSC-klagomål mail.docx", "A 32277-2025")</f>
        <v/>
      </c>
      <c r="X581">
        <f>HYPERLINK("https://klasma.github.io/Logging_2513/tillsyn/A 32277-2025 tillsynsbegäran.docx", "A 32277-2025")</f>
        <v/>
      </c>
      <c r="Y581">
        <f>HYPERLINK("https://klasma.github.io/Logging_2513/tillsynsmail/A 32277-2025 tillsynsbegäran mail.docx", "A 32277-2025")</f>
        <v/>
      </c>
    </row>
    <row r="582" ht="15" customHeight="1">
      <c r="A582" t="inlineStr">
        <is>
          <t>A 38166-2023</t>
        </is>
      </c>
      <c r="B582" s="1" t="n">
        <v>45161</v>
      </c>
      <c r="C582" s="1" t="n">
        <v>45895</v>
      </c>
      <c r="D582" t="inlineStr">
        <is>
          <t>NORRBOTTENS LÄN</t>
        </is>
      </c>
      <c r="E582" t="inlineStr">
        <is>
          <t>ARVIDSJAUR</t>
        </is>
      </c>
      <c r="F582" t="inlineStr">
        <is>
          <t>Sveaskog</t>
        </is>
      </c>
      <c r="G582" t="n">
        <v>8.1</v>
      </c>
      <c r="H582" t="n">
        <v>0</v>
      </c>
      <c r="I582" t="n">
        <v>0</v>
      </c>
      <c r="J582" t="n">
        <v>1</v>
      </c>
      <c r="K582" t="n">
        <v>0</v>
      </c>
      <c r="L582" t="n">
        <v>0</v>
      </c>
      <c r="M582" t="n">
        <v>0</v>
      </c>
      <c r="N582" t="n">
        <v>0</v>
      </c>
      <c r="O582" t="n">
        <v>1</v>
      </c>
      <c r="P582" t="n">
        <v>0</v>
      </c>
      <c r="Q582" t="n">
        <v>1</v>
      </c>
      <c r="R582" s="2" t="inlineStr">
        <is>
          <t>Violmussling</t>
        </is>
      </c>
      <c r="S582">
        <f>HYPERLINK("https://klasma.github.io/Logging_2505/artfynd/A 38166-2023 artfynd.xlsx", "A 38166-2023")</f>
        <v/>
      </c>
      <c r="T582">
        <f>HYPERLINK("https://klasma.github.io/Logging_2505/kartor/A 38166-2023 karta.png", "A 38166-2023")</f>
        <v/>
      </c>
      <c r="V582">
        <f>HYPERLINK("https://klasma.github.io/Logging_2505/klagomål/A 38166-2023 FSC-klagomål.docx", "A 38166-2023")</f>
        <v/>
      </c>
      <c r="W582">
        <f>HYPERLINK("https://klasma.github.io/Logging_2505/klagomålsmail/A 38166-2023 FSC-klagomål mail.docx", "A 38166-2023")</f>
        <v/>
      </c>
      <c r="X582">
        <f>HYPERLINK("https://klasma.github.io/Logging_2505/tillsyn/A 38166-2023 tillsynsbegäran.docx", "A 38166-2023")</f>
        <v/>
      </c>
      <c r="Y582">
        <f>HYPERLINK("https://klasma.github.io/Logging_2505/tillsynsmail/A 38166-2023 tillsynsbegäran mail.docx", "A 38166-2023")</f>
        <v/>
      </c>
    </row>
    <row r="583" ht="15" customHeight="1">
      <c r="A583" t="inlineStr">
        <is>
          <t>A 36488-2025</t>
        </is>
      </c>
      <c r="B583" s="1" t="n">
        <v>45869.51623842592</v>
      </c>
      <c r="C583" s="1" t="n">
        <v>45895</v>
      </c>
      <c r="D583" t="inlineStr">
        <is>
          <t>NORRBOTTENS LÄN</t>
        </is>
      </c>
      <c r="E583" t="inlineStr">
        <is>
          <t>GÄLLIVARE</t>
        </is>
      </c>
      <c r="F583" t="inlineStr">
        <is>
          <t>Sveaskog</t>
        </is>
      </c>
      <c r="G583" t="n">
        <v>1.4</v>
      </c>
      <c r="H583" t="n">
        <v>1</v>
      </c>
      <c r="I583" t="n">
        <v>0</v>
      </c>
      <c r="J583" t="n">
        <v>0</v>
      </c>
      <c r="K583" t="n">
        <v>0</v>
      </c>
      <c r="L583" t="n">
        <v>0</v>
      </c>
      <c r="M583" t="n">
        <v>0</v>
      </c>
      <c r="N583" t="n">
        <v>0</v>
      </c>
      <c r="O583" t="n">
        <v>0</v>
      </c>
      <c r="P583" t="n">
        <v>0</v>
      </c>
      <c r="Q583" t="n">
        <v>1</v>
      </c>
      <c r="R583" s="2" t="inlineStr">
        <is>
          <t>Revlummer</t>
        </is>
      </c>
      <c r="S583">
        <f>HYPERLINK("https://klasma.github.io/Logging_2523/artfynd/A 36488-2025 artfynd.xlsx", "A 36488-2025")</f>
        <v/>
      </c>
      <c r="T583">
        <f>HYPERLINK("https://klasma.github.io/Logging_2523/kartor/A 36488-2025 karta.png", "A 36488-2025")</f>
        <v/>
      </c>
      <c r="U583">
        <f>HYPERLINK("https://klasma.github.io/Logging_2523/knärot/A 36488-2025 karta knärot.png", "A 36488-2025")</f>
        <v/>
      </c>
      <c r="V583">
        <f>HYPERLINK("https://klasma.github.io/Logging_2523/klagomål/A 36488-2025 FSC-klagomål.docx", "A 36488-2025")</f>
        <v/>
      </c>
      <c r="W583">
        <f>HYPERLINK("https://klasma.github.io/Logging_2523/klagomålsmail/A 36488-2025 FSC-klagomål mail.docx", "A 36488-2025")</f>
        <v/>
      </c>
      <c r="X583">
        <f>HYPERLINK("https://klasma.github.io/Logging_2523/tillsyn/A 36488-2025 tillsynsbegäran.docx", "A 36488-2025")</f>
        <v/>
      </c>
      <c r="Y583">
        <f>HYPERLINK("https://klasma.github.io/Logging_2523/tillsynsmail/A 36488-2025 tillsynsbegäran mail.docx", "A 36488-2025")</f>
        <v/>
      </c>
    </row>
    <row r="584" ht="15" customHeight="1">
      <c r="A584" t="inlineStr">
        <is>
          <t>A 6527-2021</t>
        </is>
      </c>
      <c r="B584" s="1" t="n">
        <v>44236</v>
      </c>
      <c r="C584" s="1" t="n">
        <v>45895</v>
      </c>
      <c r="D584" t="inlineStr">
        <is>
          <t>NORRBOTTENS LÄN</t>
        </is>
      </c>
      <c r="E584" t="inlineStr">
        <is>
          <t>LULEÅ</t>
        </is>
      </c>
      <c r="G584" t="n">
        <v>19.7</v>
      </c>
      <c r="H584" t="n">
        <v>1</v>
      </c>
      <c r="I584" t="n">
        <v>0</v>
      </c>
      <c r="J584" t="n">
        <v>1</v>
      </c>
      <c r="K584" t="n">
        <v>0</v>
      </c>
      <c r="L584" t="n">
        <v>0</v>
      </c>
      <c r="M584" t="n">
        <v>0</v>
      </c>
      <c r="N584" t="n">
        <v>0</v>
      </c>
      <c r="O584" t="n">
        <v>1</v>
      </c>
      <c r="P584" t="n">
        <v>0</v>
      </c>
      <c r="Q584" t="n">
        <v>1</v>
      </c>
      <c r="R584" s="2" t="inlineStr">
        <is>
          <t>Videsparv</t>
        </is>
      </c>
      <c r="S584">
        <f>HYPERLINK("https://klasma.github.io/Logging_2580/artfynd/A 6527-2021 artfynd.xlsx", "A 6527-2021")</f>
        <v/>
      </c>
      <c r="T584">
        <f>HYPERLINK("https://klasma.github.io/Logging_2580/kartor/A 6527-2021 karta.png", "A 6527-2021")</f>
        <v/>
      </c>
      <c r="V584">
        <f>HYPERLINK("https://klasma.github.io/Logging_2580/klagomål/A 6527-2021 FSC-klagomål.docx", "A 6527-2021")</f>
        <v/>
      </c>
      <c r="W584">
        <f>HYPERLINK("https://klasma.github.io/Logging_2580/klagomålsmail/A 6527-2021 FSC-klagomål mail.docx", "A 6527-2021")</f>
        <v/>
      </c>
      <c r="X584">
        <f>HYPERLINK("https://klasma.github.io/Logging_2580/tillsyn/A 6527-2021 tillsynsbegäran.docx", "A 6527-2021")</f>
        <v/>
      </c>
      <c r="Y584">
        <f>HYPERLINK("https://klasma.github.io/Logging_2580/tillsynsmail/A 6527-2021 tillsynsbegäran mail.docx", "A 6527-2021")</f>
        <v/>
      </c>
      <c r="Z584">
        <f>HYPERLINK("https://klasma.github.io/Logging_2580/fåglar/A 6527-2021 prioriterade fågelarter.docx", "A 6527-2021")</f>
        <v/>
      </c>
    </row>
    <row r="585" ht="15" customHeight="1">
      <c r="A585" t="inlineStr">
        <is>
          <t>A 24589-2022</t>
        </is>
      </c>
      <c r="B585" s="1" t="n">
        <v>44727</v>
      </c>
      <c r="C585" s="1" t="n">
        <v>45895</v>
      </c>
      <c r="D585" t="inlineStr">
        <is>
          <t>NORRBOTTENS LÄN</t>
        </is>
      </c>
      <c r="E585" t="inlineStr">
        <is>
          <t>PITEÅ</t>
        </is>
      </c>
      <c r="G585" t="n">
        <v>1.7</v>
      </c>
      <c r="H585" t="n">
        <v>1</v>
      </c>
      <c r="I585" t="n">
        <v>0</v>
      </c>
      <c r="J585" t="n">
        <v>1</v>
      </c>
      <c r="K585" t="n">
        <v>0</v>
      </c>
      <c r="L585" t="n">
        <v>0</v>
      </c>
      <c r="M585" t="n">
        <v>0</v>
      </c>
      <c r="N585" t="n">
        <v>0</v>
      </c>
      <c r="O585" t="n">
        <v>1</v>
      </c>
      <c r="P585" t="n">
        <v>0</v>
      </c>
      <c r="Q585" t="n">
        <v>1</v>
      </c>
      <c r="R585" s="2" t="inlineStr">
        <is>
          <t>Rosenfink</t>
        </is>
      </c>
      <c r="S585">
        <f>HYPERLINK("https://klasma.github.io/Logging_2581/artfynd/A 24589-2022 artfynd.xlsx", "A 24589-2022")</f>
        <v/>
      </c>
      <c r="T585">
        <f>HYPERLINK("https://klasma.github.io/Logging_2581/kartor/A 24589-2022 karta.png", "A 24589-2022")</f>
        <v/>
      </c>
      <c r="V585">
        <f>HYPERLINK("https://klasma.github.io/Logging_2581/klagomål/A 24589-2022 FSC-klagomål.docx", "A 24589-2022")</f>
        <v/>
      </c>
      <c r="W585">
        <f>HYPERLINK("https://klasma.github.io/Logging_2581/klagomålsmail/A 24589-2022 FSC-klagomål mail.docx", "A 24589-2022")</f>
        <v/>
      </c>
      <c r="X585">
        <f>HYPERLINK("https://klasma.github.io/Logging_2581/tillsyn/A 24589-2022 tillsynsbegäran.docx", "A 24589-2022")</f>
        <v/>
      </c>
      <c r="Y585">
        <f>HYPERLINK("https://klasma.github.io/Logging_2581/tillsynsmail/A 24589-2022 tillsynsbegäran mail.docx", "A 24589-2022")</f>
        <v/>
      </c>
      <c r="Z585">
        <f>HYPERLINK("https://klasma.github.io/Logging_2581/fåglar/A 24589-2022 prioriterade fågelarter.docx", "A 24589-2022")</f>
        <v/>
      </c>
    </row>
    <row r="586" ht="15" customHeight="1">
      <c r="A586" t="inlineStr">
        <is>
          <t>A 33234-2025</t>
        </is>
      </c>
      <c r="B586" s="1" t="n">
        <v>45840.64365740741</v>
      </c>
      <c r="C586" s="1" t="n">
        <v>45895</v>
      </c>
      <c r="D586" t="inlineStr">
        <is>
          <t>NORRBOTTENS LÄN</t>
        </is>
      </c>
      <c r="E586" t="inlineStr">
        <is>
          <t>ÄLVSBYN</t>
        </is>
      </c>
      <c r="F586" t="inlineStr">
        <is>
          <t>Sveaskog</t>
        </is>
      </c>
      <c r="G586" t="n">
        <v>30.8</v>
      </c>
      <c r="H586" t="n">
        <v>1</v>
      </c>
      <c r="I586" t="n">
        <v>0</v>
      </c>
      <c r="J586" t="n">
        <v>1</v>
      </c>
      <c r="K586" t="n">
        <v>0</v>
      </c>
      <c r="L586" t="n">
        <v>0</v>
      </c>
      <c r="M586" t="n">
        <v>0</v>
      </c>
      <c r="N586" t="n">
        <v>0</v>
      </c>
      <c r="O586" t="n">
        <v>1</v>
      </c>
      <c r="P586" t="n">
        <v>0</v>
      </c>
      <c r="Q586" t="n">
        <v>1</v>
      </c>
      <c r="R586" s="2" t="inlineStr">
        <is>
          <t>Tretåig hackspett</t>
        </is>
      </c>
      <c r="S586">
        <f>HYPERLINK("https://klasma.github.io/Logging_2560/artfynd/A 33234-2025 artfynd.xlsx", "A 33234-2025")</f>
        <v/>
      </c>
      <c r="T586">
        <f>HYPERLINK("https://klasma.github.io/Logging_2560/kartor/A 33234-2025 karta.png", "A 33234-2025")</f>
        <v/>
      </c>
      <c r="V586">
        <f>HYPERLINK("https://klasma.github.io/Logging_2560/klagomål/A 33234-2025 FSC-klagomål.docx", "A 33234-2025")</f>
        <v/>
      </c>
      <c r="W586">
        <f>HYPERLINK("https://klasma.github.io/Logging_2560/klagomålsmail/A 33234-2025 FSC-klagomål mail.docx", "A 33234-2025")</f>
        <v/>
      </c>
      <c r="X586">
        <f>HYPERLINK("https://klasma.github.io/Logging_2560/tillsyn/A 33234-2025 tillsynsbegäran.docx", "A 33234-2025")</f>
        <v/>
      </c>
      <c r="Y586">
        <f>HYPERLINK("https://klasma.github.io/Logging_2560/tillsynsmail/A 33234-2025 tillsynsbegäran mail.docx", "A 33234-2025")</f>
        <v/>
      </c>
      <c r="Z586">
        <f>HYPERLINK("https://klasma.github.io/Logging_2560/fåglar/A 33234-2025 prioriterade fågelarter.docx", "A 33234-2025")</f>
        <v/>
      </c>
    </row>
    <row r="587" ht="15" customHeight="1">
      <c r="A587" t="inlineStr">
        <is>
          <t>A 20260-2025</t>
        </is>
      </c>
      <c r="B587" s="1" t="n">
        <v>45773</v>
      </c>
      <c r="C587" s="1" t="n">
        <v>45895</v>
      </c>
      <c r="D587" t="inlineStr">
        <is>
          <t>NORRBOTTENS LÄN</t>
        </is>
      </c>
      <c r="E587" t="inlineStr">
        <is>
          <t>BODEN</t>
        </is>
      </c>
      <c r="F587" t="inlineStr">
        <is>
          <t>SCA</t>
        </is>
      </c>
      <c r="G587" t="n">
        <v>3.3</v>
      </c>
      <c r="H587" t="n">
        <v>1</v>
      </c>
      <c r="I587" t="n">
        <v>0</v>
      </c>
      <c r="J587" t="n">
        <v>0</v>
      </c>
      <c r="K587" t="n">
        <v>0</v>
      </c>
      <c r="L587" t="n">
        <v>0</v>
      </c>
      <c r="M587" t="n">
        <v>0</v>
      </c>
      <c r="N587" t="n">
        <v>0</v>
      </c>
      <c r="O587" t="n">
        <v>0</v>
      </c>
      <c r="P587" t="n">
        <v>0</v>
      </c>
      <c r="Q587" t="n">
        <v>1</v>
      </c>
      <c r="R587" s="2" t="inlineStr">
        <is>
          <t>Grön flodtrollslända</t>
        </is>
      </c>
      <c r="S587">
        <f>HYPERLINK("https://klasma.github.io/Logging_2582/artfynd/A 20260-2025 artfynd.xlsx", "A 20260-2025")</f>
        <v/>
      </c>
      <c r="T587">
        <f>HYPERLINK("https://klasma.github.io/Logging_2582/kartor/A 20260-2025 karta.png", "A 20260-2025")</f>
        <v/>
      </c>
      <c r="V587">
        <f>HYPERLINK("https://klasma.github.io/Logging_2582/klagomål/A 20260-2025 FSC-klagomål.docx", "A 20260-2025")</f>
        <v/>
      </c>
      <c r="W587">
        <f>HYPERLINK("https://klasma.github.io/Logging_2582/klagomålsmail/A 20260-2025 FSC-klagomål mail.docx", "A 20260-2025")</f>
        <v/>
      </c>
      <c r="X587">
        <f>HYPERLINK("https://klasma.github.io/Logging_2582/tillsyn/A 20260-2025 tillsynsbegäran.docx", "A 20260-2025")</f>
        <v/>
      </c>
      <c r="Y587">
        <f>HYPERLINK("https://klasma.github.io/Logging_2582/tillsynsmail/A 20260-2025 tillsynsbegäran mail.docx", "A 20260-2025")</f>
        <v/>
      </c>
    </row>
    <row r="588" ht="15" customHeight="1">
      <c r="A588" t="inlineStr">
        <is>
          <t>A 54539-2024</t>
        </is>
      </c>
      <c r="B588" s="1" t="n">
        <v>45617</v>
      </c>
      <c r="C588" s="1" t="n">
        <v>45895</v>
      </c>
      <c r="D588" t="inlineStr">
        <is>
          <t>NORRBOTTENS LÄN</t>
        </is>
      </c>
      <c r="E588" t="inlineStr">
        <is>
          <t>ARVIDSJAUR</t>
        </is>
      </c>
      <c r="F588" t="inlineStr">
        <is>
          <t>Sveaskog</t>
        </is>
      </c>
      <c r="G588" t="n">
        <v>22.1</v>
      </c>
      <c r="H588" t="n">
        <v>0</v>
      </c>
      <c r="I588" t="n">
        <v>0</v>
      </c>
      <c r="J588" t="n">
        <v>1</v>
      </c>
      <c r="K588" t="n">
        <v>0</v>
      </c>
      <c r="L588" t="n">
        <v>0</v>
      </c>
      <c r="M588" t="n">
        <v>0</v>
      </c>
      <c r="N588" t="n">
        <v>0</v>
      </c>
      <c r="O588" t="n">
        <v>1</v>
      </c>
      <c r="P588" t="n">
        <v>0</v>
      </c>
      <c r="Q588" t="n">
        <v>1</v>
      </c>
      <c r="R588" s="2" t="inlineStr">
        <is>
          <t>Vaddporing</t>
        </is>
      </c>
      <c r="S588">
        <f>HYPERLINK("https://klasma.github.io/Logging_2505/artfynd/A 54539-2024 artfynd.xlsx", "A 54539-2024")</f>
        <v/>
      </c>
      <c r="T588">
        <f>HYPERLINK("https://klasma.github.io/Logging_2505/kartor/A 54539-2024 karta.png", "A 54539-2024")</f>
        <v/>
      </c>
      <c r="V588">
        <f>HYPERLINK("https://klasma.github.io/Logging_2505/klagomål/A 54539-2024 FSC-klagomål.docx", "A 54539-2024")</f>
        <v/>
      </c>
      <c r="W588">
        <f>HYPERLINK("https://klasma.github.io/Logging_2505/klagomålsmail/A 54539-2024 FSC-klagomål mail.docx", "A 54539-2024")</f>
        <v/>
      </c>
      <c r="X588">
        <f>HYPERLINK("https://klasma.github.io/Logging_2505/tillsyn/A 54539-2024 tillsynsbegäran.docx", "A 54539-2024")</f>
        <v/>
      </c>
      <c r="Y588">
        <f>HYPERLINK("https://klasma.github.io/Logging_2505/tillsynsmail/A 54539-2024 tillsynsbegäran mail.docx", "A 54539-2024")</f>
        <v/>
      </c>
    </row>
    <row r="589" ht="15" customHeight="1">
      <c r="A589" t="inlineStr">
        <is>
          <t>A 33230-2025</t>
        </is>
      </c>
      <c r="B589" s="1" t="n">
        <v>45840.63932870371</v>
      </c>
      <c r="C589" s="1" t="n">
        <v>45895</v>
      </c>
      <c r="D589" t="inlineStr">
        <is>
          <t>NORRBOTTENS LÄN</t>
        </is>
      </c>
      <c r="E589" t="inlineStr">
        <is>
          <t>ÄLVSBYN</t>
        </is>
      </c>
      <c r="F589" t="inlineStr">
        <is>
          <t>Sveaskog</t>
        </is>
      </c>
      <c r="G589" t="n">
        <v>30.8</v>
      </c>
      <c r="H589" t="n">
        <v>1</v>
      </c>
      <c r="I589" t="n">
        <v>0</v>
      </c>
      <c r="J589" t="n">
        <v>1</v>
      </c>
      <c r="K589" t="n">
        <v>0</v>
      </c>
      <c r="L589" t="n">
        <v>0</v>
      </c>
      <c r="M589" t="n">
        <v>0</v>
      </c>
      <c r="N589" t="n">
        <v>0</v>
      </c>
      <c r="O589" t="n">
        <v>1</v>
      </c>
      <c r="P589" t="n">
        <v>0</v>
      </c>
      <c r="Q589" t="n">
        <v>1</v>
      </c>
      <c r="R589" s="2" t="inlineStr">
        <is>
          <t>Tretåig hackspett</t>
        </is>
      </c>
      <c r="S589">
        <f>HYPERLINK("https://klasma.github.io/Logging_2560/artfynd/A 33230-2025 artfynd.xlsx", "A 33230-2025")</f>
        <v/>
      </c>
      <c r="T589">
        <f>HYPERLINK("https://klasma.github.io/Logging_2560/kartor/A 33230-2025 karta.png", "A 33230-2025")</f>
        <v/>
      </c>
      <c r="V589">
        <f>HYPERLINK("https://klasma.github.io/Logging_2560/klagomål/A 33230-2025 FSC-klagomål.docx", "A 33230-2025")</f>
        <v/>
      </c>
      <c r="W589">
        <f>HYPERLINK("https://klasma.github.io/Logging_2560/klagomålsmail/A 33230-2025 FSC-klagomål mail.docx", "A 33230-2025")</f>
        <v/>
      </c>
      <c r="X589">
        <f>HYPERLINK("https://klasma.github.io/Logging_2560/tillsyn/A 33230-2025 tillsynsbegäran.docx", "A 33230-2025")</f>
        <v/>
      </c>
      <c r="Y589">
        <f>HYPERLINK("https://klasma.github.io/Logging_2560/tillsynsmail/A 33230-2025 tillsynsbegäran mail.docx", "A 33230-2025")</f>
        <v/>
      </c>
      <c r="Z589">
        <f>HYPERLINK("https://klasma.github.io/Logging_2560/fåglar/A 33230-2025 prioriterade fågelarter.docx", "A 33230-2025")</f>
        <v/>
      </c>
    </row>
    <row r="590" ht="15" customHeight="1">
      <c r="A590" t="inlineStr">
        <is>
          <t>A 37532-2022</t>
        </is>
      </c>
      <c r="B590" s="1" t="n">
        <v>44809.62597222222</v>
      </c>
      <c r="C590" s="1" t="n">
        <v>45895</v>
      </c>
      <c r="D590" t="inlineStr">
        <is>
          <t>NORRBOTTENS LÄN</t>
        </is>
      </c>
      <c r="E590" t="inlineStr">
        <is>
          <t>ÖVERKALIX</t>
        </is>
      </c>
      <c r="F590" t="inlineStr">
        <is>
          <t>Sveaskog</t>
        </is>
      </c>
      <c r="G590" t="n">
        <v>2</v>
      </c>
      <c r="H590" t="n">
        <v>0</v>
      </c>
      <c r="I590" t="n">
        <v>0</v>
      </c>
      <c r="J590" t="n">
        <v>1</v>
      </c>
      <c r="K590" t="n">
        <v>0</v>
      </c>
      <c r="L590" t="n">
        <v>0</v>
      </c>
      <c r="M590" t="n">
        <v>0</v>
      </c>
      <c r="N590" t="n">
        <v>0</v>
      </c>
      <c r="O590" t="n">
        <v>1</v>
      </c>
      <c r="P590" t="n">
        <v>0</v>
      </c>
      <c r="Q590" t="n">
        <v>1</v>
      </c>
      <c r="R590" s="2" t="inlineStr">
        <is>
          <t>Blå taggsvamp</t>
        </is>
      </c>
      <c r="S590">
        <f>HYPERLINK("https://klasma.github.io/Logging_2513/artfynd/A 37532-2022 artfynd.xlsx", "A 37532-2022")</f>
        <v/>
      </c>
      <c r="T590">
        <f>HYPERLINK("https://klasma.github.io/Logging_2513/kartor/A 37532-2022 karta.png", "A 37532-2022")</f>
        <v/>
      </c>
      <c r="V590">
        <f>HYPERLINK("https://klasma.github.io/Logging_2513/klagomål/A 37532-2022 FSC-klagomål.docx", "A 37532-2022")</f>
        <v/>
      </c>
      <c r="W590">
        <f>HYPERLINK("https://klasma.github.io/Logging_2513/klagomålsmail/A 37532-2022 FSC-klagomål mail.docx", "A 37532-2022")</f>
        <v/>
      </c>
      <c r="X590">
        <f>HYPERLINK("https://klasma.github.io/Logging_2513/tillsyn/A 37532-2022 tillsynsbegäran.docx", "A 37532-2022")</f>
        <v/>
      </c>
      <c r="Y590">
        <f>HYPERLINK("https://klasma.github.io/Logging_2513/tillsynsmail/A 37532-2022 tillsynsbegäran mail.docx", "A 37532-2022")</f>
        <v/>
      </c>
    </row>
    <row r="591" ht="15" customHeight="1">
      <c r="A591" t="inlineStr">
        <is>
          <t>A 2568-2024</t>
        </is>
      </c>
      <c r="B591" s="1" t="n">
        <v>45313.6253125</v>
      </c>
      <c r="C591" s="1" t="n">
        <v>45895</v>
      </c>
      <c r="D591" t="inlineStr">
        <is>
          <t>NORRBOTTENS LÄN</t>
        </is>
      </c>
      <c r="E591" t="inlineStr">
        <is>
          <t>BODEN</t>
        </is>
      </c>
      <c r="G591" t="n">
        <v>1.6</v>
      </c>
      <c r="H591" t="n">
        <v>0</v>
      </c>
      <c r="I591" t="n">
        <v>0</v>
      </c>
      <c r="J591" t="n">
        <v>1</v>
      </c>
      <c r="K591" t="n">
        <v>0</v>
      </c>
      <c r="L591" t="n">
        <v>0</v>
      </c>
      <c r="M591" t="n">
        <v>0</v>
      </c>
      <c r="N591" t="n">
        <v>0</v>
      </c>
      <c r="O591" t="n">
        <v>1</v>
      </c>
      <c r="P591" t="n">
        <v>0</v>
      </c>
      <c r="Q591" t="n">
        <v>1</v>
      </c>
      <c r="R591" s="2" t="inlineStr">
        <is>
          <t>Blå taggsvamp</t>
        </is>
      </c>
      <c r="S591">
        <f>HYPERLINK("https://klasma.github.io/Logging_2582/artfynd/A 2568-2024 artfynd.xlsx", "A 2568-2024")</f>
        <v/>
      </c>
      <c r="T591">
        <f>HYPERLINK("https://klasma.github.io/Logging_2582/kartor/A 2568-2024 karta.png", "A 2568-2024")</f>
        <v/>
      </c>
      <c r="V591">
        <f>HYPERLINK("https://klasma.github.io/Logging_2582/klagomål/A 2568-2024 FSC-klagomål.docx", "A 2568-2024")</f>
        <v/>
      </c>
      <c r="W591">
        <f>HYPERLINK("https://klasma.github.io/Logging_2582/klagomålsmail/A 2568-2024 FSC-klagomål mail.docx", "A 2568-2024")</f>
        <v/>
      </c>
      <c r="X591">
        <f>HYPERLINK("https://klasma.github.io/Logging_2582/tillsyn/A 2568-2024 tillsynsbegäran.docx", "A 2568-2024")</f>
        <v/>
      </c>
      <c r="Y591">
        <f>HYPERLINK("https://klasma.github.io/Logging_2582/tillsynsmail/A 2568-2024 tillsynsbegäran mail.docx", "A 2568-2024")</f>
        <v/>
      </c>
    </row>
    <row r="592" ht="15" customHeight="1">
      <c r="A592" t="inlineStr">
        <is>
          <t>A 55419-2024</t>
        </is>
      </c>
      <c r="B592" s="1" t="n">
        <v>45622</v>
      </c>
      <c r="C592" s="1" t="n">
        <v>45895</v>
      </c>
      <c r="D592" t="inlineStr">
        <is>
          <t>NORRBOTTENS LÄN</t>
        </is>
      </c>
      <c r="E592" t="inlineStr">
        <is>
          <t>ÖVERKALIX</t>
        </is>
      </c>
      <c r="F592" t="inlineStr">
        <is>
          <t>Sveaskog</t>
        </is>
      </c>
      <c r="G592" t="n">
        <v>15.8</v>
      </c>
      <c r="H592" t="n">
        <v>0</v>
      </c>
      <c r="I592" t="n">
        <v>0</v>
      </c>
      <c r="J592" t="n">
        <v>1</v>
      </c>
      <c r="K592" t="n">
        <v>0</v>
      </c>
      <c r="L592" t="n">
        <v>0</v>
      </c>
      <c r="M592" t="n">
        <v>0</v>
      </c>
      <c r="N592" t="n">
        <v>0</v>
      </c>
      <c r="O592" t="n">
        <v>1</v>
      </c>
      <c r="P592" t="n">
        <v>0</v>
      </c>
      <c r="Q592" t="n">
        <v>1</v>
      </c>
      <c r="R592" s="2" t="inlineStr">
        <is>
          <t>Lunglav</t>
        </is>
      </c>
      <c r="S592">
        <f>HYPERLINK("https://klasma.github.io/Logging_2513/artfynd/A 55419-2024 artfynd.xlsx", "A 55419-2024")</f>
        <v/>
      </c>
      <c r="T592">
        <f>HYPERLINK("https://klasma.github.io/Logging_2513/kartor/A 55419-2024 karta.png", "A 55419-2024")</f>
        <v/>
      </c>
      <c r="V592">
        <f>HYPERLINK("https://klasma.github.io/Logging_2513/klagomål/A 55419-2024 FSC-klagomål.docx", "A 55419-2024")</f>
        <v/>
      </c>
      <c r="W592">
        <f>HYPERLINK("https://klasma.github.io/Logging_2513/klagomålsmail/A 55419-2024 FSC-klagomål mail.docx", "A 55419-2024")</f>
        <v/>
      </c>
      <c r="X592">
        <f>HYPERLINK("https://klasma.github.io/Logging_2513/tillsyn/A 55419-2024 tillsynsbegäran.docx", "A 55419-2024")</f>
        <v/>
      </c>
      <c r="Y592">
        <f>HYPERLINK("https://klasma.github.io/Logging_2513/tillsynsmail/A 55419-2024 tillsynsbegäran mail.docx", "A 55419-2024")</f>
        <v/>
      </c>
    </row>
    <row r="593" ht="15" customHeight="1">
      <c r="A593" t="inlineStr">
        <is>
          <t>A 33514-2025</t>
        </is>
      </c>
      <c r="B593" s="1" t="n">
        <v>45841.52672453703</v>
      </c>
      <c r="C593" s="1" t="n">
        <v>45895</v>
      </c>
      <c r="D593" t="inlineStr">
        <is>
          <t>NORRBOTTENS LÄN</t>
        </is>
      </c>
      <c r="E593" t="inlineStr">
        <is>
          <t>LULEÅ</t>
        </is>
      </c>
      <c r="G593" t="n">
        <v>10</v>
      </c>
      <c r="H593" t="n">
        <v>1</v>
      </c>
      <c r="I593" t="n">
        <v>0</v>
      </c>
      <c r="J593" t="n">
        <v>0</v>
      </c>
      <c r="K593" t="n">
        <v>0</v>
      </c>
      <c r="L593" t="n">
        <v>0</v>
      </c>
      <c r="M593" t="n">
        <v>0</v>
      </c>
      <c r="N593" t="n">
        <v>0</v>
      </c>
      <c r="O593" t="n">
        <v>0</v>
      </c>
      <c r="P593" t="n">
        <v>0</v>
      </c>
      <c r="Q593" t="n">
        <v>1</v>
      </c>
      <c r="R593" s="2" t="inlineStr">
        <is>
          <t>Huggorm</t>
        </is>
      </c>
      <c r="S593">
        <f>HYPERLINK("https://klasma.github.io/Logging_2580/artfynd/A 33514-2025 artfynd.xlsx", "A 33514-2025")</f>
        <v/>
      </c>
      <c r="T593">
        <f>HYPERLINK("https://klasma.github.io/Logging_2580/kartor/A 33514-2025 karta.png", "A 33514-2025")</f>
        <v/>
      </c>
      <c r="V593">
        <f>HYPERLINK("https://klasma.github.io/Logging_2580/klagomål/A 33514-2025 FSC-klagomål.docx", "A 33514-2025")</f>
        <v/>
      </c>
      <c r="W593">
        <f>HYPERLINK("https://klasma.github.io/Logging_2580/klagomålsmail/A 33514-2025 FSC-klagomål mail.docx", "A 33514-2025")</f>
        <v/>
      </c>
      <c r="X593">
        <f>HYPERLINK("https://klasma.github.io/Logging_2580/tillsyn/A 33514-2025 tillsynsbegäran.docx", "A 33514-2025")</f>
        <v/>
      </c>
      <c r="Y593">
        <f>HYPERLINK("https://klasma.github.io/Logging_2580/tillsynsmail/A 33514-2025 tillsynsbegäran mail.docx", "A 33514-2025")</f>
        <v/>
      </c>
    </row>
    <row r="594" ht="15" customHeight="1">
      <c r="A594" t="inlineStr">
        <is>
          <t>A 21552-2023</t>
        </is>
      </c>
      <c r="B594" s="1" t="n">
        <v>45063</v>
      </c>
      <c r="C594" s="1" t="n">
        <v>45895</v>
      </c>
      <c r="D594" t="inlineStr">
        <is>
          <t>NORRBOTTENS LÄN</t>
        </is>
      </c>
      <c r="E594" t="inlineStr">
        <is>
          <t>KALIX</t>
        </is>
      </c>
      <c r="G594" t="n">
        <v>3.7</v>
      </c>
      <c r="H594" t="n">
        <v>1</v>
      </c>
      <c r="I594" t="n">
        <v>0</v>
      </c>
      <c r="J594" t="n">
        <v>0</v>
      </c>
      <c r="K594" t="n">
        <v>0</v>
      </c>
      <c r="L594" t="n">
        <v>0</v>
      </c>
      <c r="M594" t="n">
        <v>0</v>
      </c>
      <c r="N594" t="n">
        <v>0</v>
      </c>
      <c r="O594" t="n">
        <v>0</v>
      </c>
      <c r="P594" t="n">
        <v>0</v>
      </c>
      <c r="Q594" t="n">
        <v>1</v>
      </c>
      <c r="R594" s="2" t="inlineStr">
        <is>
          <t>Mattlummer</t>
        </is>
      </c>
      <c r="S594">
        <f>HYPERLINK("https://klasma.github.io/Logging_2514/artfynd/A 21552-2023 artfynd.xlsx", "A 21552-2023")</f>
        <v/>
      </c>
      <c r="T594">
        <f>HYPERLINK("https://klasma.github.io/Logging_2514/kartor/A 21552-2023 karta.png", "A 21552-2023")</f>
        <v/>
      </c>
      <c r="V594">
        <f>HYPERLINK("https://klasma.github.io/Logging_2514/klagomål/A 21552-2023 FSC-klagomål.docx", "A 21552-2023")</f>
        <v/>
      </c>
      <c r="W594">
        <f>HYPERLINK("https://klasma.github.io/Logging_2514/klagomålsmail/A 21552-2023 FSC-klagomål mail.docx", "A 21552-2023")</f>
        <v/>
      </c>
      <c r="X594">
        <f>HYPERLINK("https://klasma.github.io/Logging_2514/tillsyn/A 21552-2023 tillsynsbegäran.docx", "A 21552-2023")</f>
        <v/>
      </c>
      <c r="Y594">
        <f>HYPERLINK("https://klasma.github.io/Logging_2514/tillsynsmail/A 21552-2023 tillsynsbegäran mail.docx", "A 21552-2023")</f>
        <v/>
      </c>
    </row>
    <row r="595" ht="15" customHeight="1">
      <c r="A595" t="inlineStr">
        <is>
          <t>A 47018-2024</t>
        </is>
      </c>
      <c r="B595" s="1" t="n">
        <v>45586</v>
      </c>
      <c r="C595" s="1" t="n">
        <v>45895</v>
      </c>
      <c r="D595" t="inlineStr">
        <is>
          <t>NORRBOTTENS LÄN</t>
        </is>
      </c>
      <c r="E595" t="inlineStr">
        <is>
          <t>BODEN</t>
        </is>
      </c>
      <c r="F595" t="inlineStr">
        <is>
          <t>Sveaskog</t>
        </is>
      </c>
      <c r="G595" t="n">
        <v>18.1</v>
      </c>
      <c r="H595" t="n">
        <v>0</v>
      </c>
      <c r="I595" t="n">
        <v>0</v>
      </c>
      <c r="J595" t="n">
        <v>1</v>
      </c>
      <c r="K595" t="n">
        <v>0</v>
      </c>
      <c r="L595" t="n">
        <v>0</v>
      </c>
      <c r="M595" t="n">
        <v>0</v>
      </c>
      <c r="N595" t="n">
        <v>0</v>
      </c>
      <c r="O595" t="n">
        <v>1</v>
      </c>
      <c r="P595" t="n">
        <v>0</v>
      </c>
      <c r="Q595" t="n">
        <v>1</v>
      </c>
      <c r="R595" s="2" t="inlineStr">
        <is>
          <t>Blågrå svartspik</t>
        </is>
      </c>
      <c r="S595">
        <f>HYPERLINK("https://klasma.github.io/Logging_2582/artfynd/A 47018-2024 artfynd.xlsx", "A 47018-2024")</f>
        <v/>
      </c>
      <c r="T595">
        <f>HYPERLINK("https://klasma.github.io/Logging_2582/kartor/A 47018-2024 karta.png", "A 47018-2024")</f>
        <v/>
      </c>
      <c r="V595">
        <f>HYPERLINK("https://klasma.github.io/Logging_2582/klagomål/A 47018-2024 FSC-klagomål.docx", "A 47018-2024")</f>
        <v/>
      </c>
      <c r="W595">
        <f>HYPERLINK("https://klasma.github.io/Logging_2582/klagomålsmail/A 47018-2024 FSC-klagomål mail.docx", "A 47018-2024")</f>
        <v/>
      </c>
      <c r="X595">
        <f>HYPERLINK("https://klasma.github.io/Logging_2582/tillsyn/A 47018-2024 tillsynsbegäran.docx", "A 47018-2024")</f>
        <v/>
      </c>
      <c r="Y595">
        <f>HYPERLINK("https://klasma.github.io/Logging_2582/tillsynsmail/A 47018-2024 tillsynsbegäran mail.docx", "A 47018-2024")</f>
        <v/>
      </c>
    </row>
    <row r="596" ht="15" customHeight="1">
      <c r="A596" t="inlineStr">
        <is>
          <t>A 36804-2025</t>
        </is>
      </c>
      <c r="B596" s="1" t="n">
        <v>45873.67907407408</v>
      </c>
      <c r="C596" s="1" t="n">
        <v>45895</v>
      </c>
      <c r="D596" t="inlineStr">
        <is>
          <t>NORRBOTTENS LÄN</t>
        </is>
      </c>
      <c r="E596" t="inlineStr">
        <is>
          <t>PITEÅ</t>
        </is>
      </c>
      <c r="F596" t="inlineStr">
        <is>
          <t>Sveaskog</t>
        </is>
      </c>
      <c r="G596" t="n">
        <v>1.2</v>
      </c>
      <c r="H596" t="n">
        <v>0</v>
      </c>
      <c r="I596" t="n">
        <v>0</v>
      </c>
      <c r="J596" t="n">
        <v>1</v>
      </c>
      <c r="K596" t="n">
        <v>0</v>
      </c>
      <c r="L596" t="n">
        <v>0</v>
      </c>
      <c r="M596" t="n">
        <v>0</v>
      </c>
      <c r="N596" t="n">
        <v>0</v>
      </c>
      <c r="O596" t="n">
        <v>1</v>
      </c>
      <c r="P596" t="n">
        <v>0</v>
      </c>
      <c r="Q596" t="n">
        <v>1</v>
      </c>
      <c r="R596" s="2" t="inlineStr">
        <is>
          <t>Granticka</t>
        </is>
      </c>
      <c r="S596">
        <f>HYPERLINK("https://klasma.github.io/Logging_2581/artfynd/A 36804-2025 artfynd.xlsx", "A 36804-2025")</f>
        <v/>
      </c>
      <c r="T596">
        <f>HYPERLINK("https://klasma.github.io/Logging_2581/kartor/A 36804-2025 karta.png", "A 36804-2025")</f>
        <v/>
      </c>
      <c r="V596">
        <f>HYPERLINK("https://klasma.github.io/Logging_2581/klagomål/A 36804-2025 FSC-klagomål.docx", "A 36804-2025")</f>
        <v/>
      </c>
      <c r="W596">
        <f>HYPERLINK("https://klasma.github.io/Logging_2581/klagomålsmail/A 36804-2025 FSC-klagomål mail.docx", "A 36804-2025")</f>
        <v/>
      </c>
      <c r="X596">
        <f>HYPERLINK("https://klasma.github.io/Logging_2581/tillsyn/A 36804-2025 tillsynsbegäran.docx", "A 36804-2025")</f>
        <v/>
      </c>
      <c r="Y596">
        <f>HYPERLINK("https://klasma.github.io/Logging_2581/tillsynsmail/A 36804-2025 tillsynsbegäran mail.docx", "A 36804-2025")</f>
        <v/>
      </c>
    </row>
    <row r="597" ht="15" customHeight="1">
      <c r="A597" t="inlineStr">
        <is>
          <t>A 38660-2025</t>
        </is>
      </c>
      <c r="B597" s="1" t="n">
        <v>45884.6115162037</v>
      </c>
      <c r="C597" s="1" t="n">
        <v>45895</v>
      </c>
      <c r="D597" t="inlineStr">
        <is>
          <t>NORRBOTTENS LÄN</t>
        </is>
      </c>
      <c r="E597" t="inlineStr">
        <is>
          <t>PAJALA</t>
        </is>
      </c>
      <c r="F597" t="inlineStr">
        <is>
          <t>Sveaskog</t>
        </is>
      </c>
      <c r="G597" t="n">
        <v>8</v>
      </c>
      <c r="H597" t="n">
        <v>0</v>
      </c>
      <c r="I597" t="n">
        <v>0</v>
      </c>
      <c r="J597" t="n">
        <v>1</v>
      </c>
      <c r="K597" t="n">
        <v>0</v>
      </c>
      <c r="L597" t="n">
        <v>0</v>
      </c>
      <c r="M597" t="n">
        <v>0</v>
      </c>
      <c r="N597" t="n">
        <v>0</v>
      </c>
      <c r="O597" t="n">
        <v>1</v>
      </c>
      <c r="P597" t="n">
        <v>0</v>
      </c>
      <c r="Q597" t="n">
        <v>1</v>
      </c>
      <c r="R597" s="2" t="inlineStr">
        <is>
          <t>Orange taggsvamp</t>
        </is>
      </c>
      <c r="S597">
        <f>HYPERLINK("https://klasma.github.io/Logging_2521/artfynd/A 38660-2025 artfynd.xlsx", "A 38660-2025")</f>
        <v/>
      </c>
      <c r="T597">
        <f>HYPERLINK("https://klasma.github.io/Logging_2521/kartor/A 38660-2025 karta.png", "A 38660-2025")</f>
        <v/>
      </c>
      <c r="V597">
        <f>HYPERLINK("https://klasma.github.io/Logging_2521/klagomål/A 38660-2025 FSC-klagomål.docx", "A 38660-2025")</f>
        <v/>
      </c>
      <c r="W597">
        <f>HYPERLINK("https://klasma.github.io/Logging_2521/klagomålsmail/A 38660-2025 FSC-klagomål mail.docx", "A 38660-2025")</f>
        <v/>
      </c>
      <c r="X597">
        <f>HYPERLINK("https://klasma.github.io/Logging_2521/tillsyn/A 38660-2025 tillsynsbegäran.docx", "A 38660-2025")</f>
        <v/>
      </c>
      <c r="Y597">
        <f>HYPERLINK("https://klasma.github.io/Logging_2521/tillsynsmail/A 38660-2025 tillsynsbegäran mail.docx", "A 38660-2025")</f>
        <v/>
      </c>
    </row>
    <row r="598" ht="15" customHeight="1">
      <c r="A598" t="inlineStr">
        <is>
          <t>A 51641-2022</t>
        </is>
      </c>
      <c r="B598" s="1" t="n">
        <v>44867</v>
      </c>
      <c r="C598" s="1" t="n">
        <v>45895</v>
      </c>
      <c r="D598" t="inlineStr">
        <is>
          <t>NORRBOTTENS LÄN</t>
        </is>
      </c>
      <c r="E598" t="inlineStr">
        <is>
          <t>LULEÅ</t>
        </is>
      </c>
      <c r="G598" t="n">
        <v>5.7</v>
      </c>
      <c r="H598" t="n">
        <v>0</v>
      </c>
      <c r="I598" t="n">
        <v>0</v>
      </c>
      <c r="J598" t="n">
        <v>1</v>
      </c>
      <c r="K598" t="n">
        <v>0</v>
      </c>
      <c r="L598" t="n">
        <v>0</v>
      </c>
      <c r="M598" t="n">
        <v>0</v>
      </c>
      <c r="N598" t="n">
        <v>0</v>
      </c>
      <c r="O598" t="n">
        <v>1</v>
      </c>
      <c r="P598" t="n">
        <v>0</v>
      </c>
      <c r="Q598" t="n">
        <v>1</v>
      </c>
      <c r="R598" s="2" t="inlineStr">
        <is>
          <t>Granticka</t>
        </is>
      </c>
      <c r="S598">
        <f>HYPERLINK("https://klasma.github.io/Logging_2580/artfynd/A 51641-2022 artfynd.xlsx", "A 51641-2022")</f>
        <v/>
      </c>
      <c r="T598">
        <f>HYPERLINK("https://klasma.github.io/Logging_2580/kartor/A 51641-2022 karta.png", "A 51641-2022")</f>
        <v/>
      </c>
      <c r="V598">
        <f>HYPERLINK("https://klasma.github.io/Logging_2580/klagomål/A 51641-2022 FSC-klagomål.docx", "A 51641-2022")</f>
        <v/>
      </c>
      <c r="W598">
        <f>HYPERLINK("https://klasma.github.io/Logging_2580/klagomålsmail/A 51641-2022 FSC-klagomål mail.docx", "A 51641-2022")</f>
        <v/>
      </c>
      <c r="X598">
        <f>HYPERLINK("https://klasma.github.io/Logging_2580/tillsyn/A 51641-2022 tillsynsbegäran.docx", "A 51641-2022")</f>
        <v/>
      </c>
      <c r="Y598">
        <f>HYPERLINK("https://klasma.github.io/Logging_2580/tillsynsmail/A 51641-2022 tillsynsbegäran mail.docx", "A 51641-2022")</f>
        <v/>
      </c>
    </row>
    <row r="599" ht="15" customHeight="1">
      <c r="A599" t="inlineStr">
        <is>
          <t>A 38889-2025</t>
        </is>
      </c>
      <c r="B599" s="1" t="n">
        <v>45887.58668981482</v>
      </c>
      <c r="C599" s="1" t="n">
        <v>45895</v>
      </c>
      <c r="D599" t="inlineStr">
        <is>
          <t>NORRBOTTENS LÄN</t>
        </is>
      </c>
      <c r="E599" t="inlineStr">
        <is>
          <t>LULEÅ</t>
        </is>
      </c>
      <c r="G599" t="n">
        <v>5.5</v>
      </c>
      <c r="H599" t="n">
        <v>1</v>
      </c>
      <c r="I599" t="n">
        <v>0</v>
      </c>
      <c r="J599" t="n">
        <v>1</v>
      </c>
      <c r="K599" t="n">
        <v>0</v>
      </c>
      <c r="L599" t="n">
        <v>0</v>
      </c>
      <c r="M599" t="n">
        <v>0</v>
      </c>
      <c r="N599" t="n">
        <v>0</v>
      </c>
      <c r="O599" t="n">
        <v>1</v>
      </c>
      <c r="P599" t="n">
        <v>0</v>
      </c>
      <c r="Q599" t="n">
        <v>1</v>
      </c>
      <c r="R599" s="2" t="inlineStr">
        <is>
          <t>Svartvit flugsnappare</t>
        </is>
      </c>
      <c r="S599">
        <f>HYPERLINK("https://klasma.github.io/Logging_2580/artfynd/A 38889-2025 artfynd.xlsx", "A 38889-2025")</f>
        <v/>
      </c>
      <c r="T599">
        <f>HYPERLINK("https://klasma.github.io/Logging_2580/kartor/A 38889-2025 karta.png", "A 38889-2025")</f>
        <v/>
      </c>
      <c r="V599">
        <f>HYPERLINK("https://klasma.github.io/Logging_2580/klagomål/A 38889-2025 FSC-klagomål.docx", "A 38889-2025")</f>
        <v/>
      </c>
      <c r="W599">
        <f>HYPERLINK("https://klasma.github.io/Logging_2580/klagomålsmail/A 38889-2025 FSC-klagomål mail.docx", "A 38889-2025")</f>
        <v/>
      </c>
      <c r="X599">
        <f>HYPERLINK("https://klasma.github.io/Logging_2580/tillsyn/A 38889-2025 tillsynsbegäran.docx", "A 38889-2025")</f>
        <v/>
      </c>
      <c r="Y599">
        <f>HYPERLINK("https://klasma.github.io/Logging_2580/tillsynsmail/A 38889-2025 tillsynsbegäran mail.docx", "A 38889-2025")</f>
        <v/>
      </c>
      <c r="Z599">
        <f>HYPERLINK("https://klasma.github.io/Logging_2580/fåglar/A 38889-2025 prioriterade fågelarter.docx", "A 38889-2025")</f>
        <v/>
      </c>
    </row>
    <row r="600" ht="15" customHeight="1">
      <c r="A600" t="inlineStr">
        <is>
          <t>A 37532-2025</t>
        </is>
      </c>
      <c r="B600" s="1" t="n">
        <v>45878</v>
      </c>
      <c r="C600" s="1" t="n">
        <v>45895</v>
      </c>
      <c r="D600" t="inlineStr">
        <is>
          <t>NORRBOTTENS LÄN</t>
        </is>
      </c>
      <c r="E600" t="inlineStr">
        <is>
          <t>ÄLVSBYN</t>
        </is>
      </c>
      <c r="F600" t="inlineStr">
        <is>
          <t>SCA</t>
        </is>
      </c>
      <c r="G600" t="n">
        <v>12.9</v>
      </c>
      <c r="H600" t="n">
        <v>0</v>
      </c>
      <c r="I600" t="n">
        <v>1</v>
      </c>
      <c r="J600" t="n">
        <v>0</v>
      </c>
      <c r="K600" t="n">
        <v>0</v>
      </c>
      <c r="L600" t="n">
        <v>0</v>
      </c>
      <c r="M600" t="n">
        <v>0</v>
      </c>
      <c r="N600" t="n">
        <v>0</v>
      </c>
      <c r="O600" t="n">
        <v>0</v>
      </c>
      <c r="P600" t="n">
        <v>0</v>
      </c>
      <c r="Q600" t="n">
        <v>1</v>
      </c>
      <c r="R600" s="2" t="inlineStr">
        <is>
          <t>Bollvitmossa</t>
        </is>
      </c>
      <c r="S600">
        <f>HYPERLINK("https://klasma.github.io/Logging_2560/artfynd/A 37532-2025 artfynd.xlsx", "A 37532-2025")</f>
        <v/>
      </c>
      <c r="T600">
        <f>HYPERLINK("https://klasma.github.io/Logging_2560/kartor/A 37532-2025 karta.png", "A 37532-2025")</f>
        <v/>
      </c>
      <c r="V600">
        <f>HYPERLINK("https://klasma.github.io/Logging_2560/klagomål/A 37532-2025 FSC-klagomål.docx", "A 37532-2025")</f>
        <v/>
      </c>
      <c r="W600">
        <f>HYPERLINK("https://klasma.github.io/Logging_2560/klagomålsmail/A 37532-2025 FSC-klagomål mail.docx", "A 37532-2025")</f>
        <v/>
      </c>
      <c r="X600">
        <f>HYPERLINK("https://klasma.github.io/Logging_2560/tillsyn/A 37532-2025 tillsynsbegäran.docx", "A 37532-2025")</f>
        <v/>
      </c>
      <c r="Y600">
        <f>HYPERLINK("https://klasma.github.io/Logging_2560/tillsynsmail/A 37532-2025 tillsynsbegäran mail.docx", "A 37532-2025")</f>
        <v/>
      </c>
    </row>
    <row r="601" ht="15" customHeight="1">
      <c r="A601" t="inlineStr">
        <is>
          <t>A 42554-2024</t>
        </is>
      </c>
      <c r="B601" s="1" t="n">
        <v>45565</v>
      </c>
      <c r="C601" s="1" t="n">
        <v>45895</v>
      </c>
      <c r="D601" t="inlineStr">
        <is>
          <t>NORRBOTTENS LÄN</t>
        </is>
      </c>
      <c r="E601" t="inlineStr">
        <is>
          <t>ÄLVSBYN</t>
        </is>
      </c>
      <c r="F601" t="inlineStr">
        <is>
          <t>Sveaskog</t>
        </is>
      </c>
      <c r="G601" t="n">
        <v>4.8</v>
      </c>
      <c r="H601" t="n">
        <v>1</v>
      </c>
      <c r="I601" t="n">
        <v>0</v>
      </c>
      <c r="J601" t="n">
        <v>0</v>
      </c>
      <c r="K601" t="n">
        <v>0</v>
      </c>
      <c r="L601" t="n">
        <v>0</v>
      </c>
      <c r="M601" t="n">
        <v>0</v>
      </c>
      <c r="N601" t="n">
        <v>0</v>
      </c>
      <c r="O601" t="n">
        <v>0</v>
      </c>
      <c r="P601" t="n">
        <v>0</v>
      </c>
      <c r="Q601" t="n">
        <v>1</v>
      </c>
      <c r="R601" s="2" t="inlineStr">
        <is>
          <t>Nattviol</t>
        </is>
      </c>
      <c r="S601">
        <f>HYPERLINK("https://klasma.github.io/Logging_2560/artfynd/A 42554-2024 artfynd.xlsx", "A 42554-2024")</f>
        <v/>
      </c>
      <c r="T601">
        <f>HYPERLINK("https://klasma.github.io/Logging_2560/kartor/A 42554-2024 karta.png", "A 42554-2024")</f>
        <v/>
      </c>
      <c r="V601">
        <f>HYPERLINK("https://klasma.github.io/Logging_2560/klagomål/A 42554-2024 FSC-klagomål.docx", "A 42554-2024")</f>
        <v/>
      </c>
      <c r="W601">
        <f>HYPERLINK("https://klasma.github.io/Logging_2560/klagomålsmail/A 42554-2024 FSC-klagomål mail.docx", "A 42554-2024")</f>
        <v/>
      </c>
      <c r="X601">
        <f>HYPERLINK("https://klasma.github.io/Logging_2560/tillsyn/A 42554-2024 tillsynsbegäran.docx", "A 42554-2024")</f>
        <v/>
      </c>
      <c r="Y601">
        <f>HYPERLINK("https://klasma.github.io/Logging_2560/tillsynsmail/A 42554-2024 tillsynsbegäran mail.docx", "A 42554-2024")</f>
        <v/>
      </c>
    </row>
    <row r="602" ht="15" customHeight="1">
      <c r="A602" t="inlineStr">
        <is>
          <t>A 46280-2024</t>
        </is>
      </c>
      <c r="B602" s="1" t="n">
        <v>45581</v>
      </c>
      <c r="C602" s="1" t="n">
        <v>45895</v>
      </c>
      <c r="D602" t="inlineStr">
        <is>
          <t>NORRBOTTENS LÄN</t>
        </is>
      </c>
      <c r="E602" t="inlineStr">
        <is>
          <t>ÖVERKALIX</t>
        </is>
      </c>
      <c r="F602" t="inlineStr">
        <is>
          <t>SCA</t>
        </is>
      </c>
      <c r="G602" t="n">
        <v>6</v>
      </c>
      <c r="H602" t="n">
        <v>1</v>
      </c>
      <c r="I602" t="n">
        <v>0</v>
      </c>
      <c r="J602" t="n">
        <v>1</v>
      </c>
      <c r="K602" t="n">
        <v>0</v>
      </c>
      <c r="L602" t="n">
        <v>0</v>
      </c>
      <c r="M602" t="n">
        <v>0</v>
      </c>
      <c r="N602" t="n">
        <v>0</v>
      </c>
      <c r="O602" t="n">
        <v>1</v>
      </c>
      <c r="P602" t="n">
        <v>0</v>
      </c>
      <c r="Q602" t="n">
        <v>1</v>
      </c>
      <c r="R602" s="2" t="inlineStr">
        <is>
          <t>Spillkråka</t>
        </is>
      </c>
      <c r="S602">
        <f>HYPERLINK("https://klasma.github.io/Logging_2513/artfynd/A 46280-2024 artfynd.xlsx", "A 46280-2024")</f>
        <v/>
      </c>
      <c r="T602">
        <f>HYPERLINK("https://klasma.github.io/Logging_2513/kartor/A 46280-2024 karta.png", "A 46280-2024")</f>
        <v/>
      </c>
      <c r="V602">
        <f>HYPERLINK("https://klasma.github.io/Logging_2513/klagomål/A 46280-2024 FSC-klagomål.docx", "A 46280-2024")</f>
        <v/>
      </c>
      <c r="W602">
        <f>HYPERLINK("https://klasma.github.io/Logging_2513/klagomålsmail/A 46280-2024 FSC-klagomål mail.docx", "A 46280-2024")</f>
        <v/>
      </c>
      <c r="X602">
        <f>HYPERLINK("https://klasma.github.io/Logging_2513/tillsyn/A 46280-2024 tillsynsbegäran.docx", "A 46280-2024")</f>
        <v/>
      </c>
      <c r="Y602">
        <f>HYPERLINK("https://klasma.github.io/Logging_2513/tillsynsmail/A 46280-2024 tillsynsbegäran mail.docx", "A 46280-2024")</f>
        <v/>
      </c>
      <c r="Z602">
        <f>HYPERLINK("https://klasma.github.io/Logging_2513/fåglar/A 46280-2024 prioriterade fågelarter.docx", "A 46280-2024")</f>
        <v/>
      </c>
    </row>
    <row r="603" ht="15" customHeight="1">
      <c r="A603" t="inlineStr">
        <is>
          <t>A 46281-2024</t>
        </is>
      </c>
      <c r="B603" s="1" t="n">
        <v>45581</v>
      </c>
      <c r="C603" s="1" t="n">
        <v>45895</v>
      </c>
      <c r="D603" t="inlineStr">
        <is>
          <t>NORRBOTTENS LÄN</t>
        </is>
      </c>
      <c r="E603" t="inlineStr">
        <is>
          <t>ÖVERKALIX</t>
        </is>
      </c>
      <c r="F603" t="inlineStr">
        <is>
          <t>SCA</t>
        </is>
      </c>
      <c r="G603" t="n">
        <v>1.2</v>
      </c>
      <c r="H603" t="n">
        <v>0</v>
      </c>
      <c r="I603" t="n">
        <v>0</v>
      </c>
      <c r="J603" t="n">
        <v>1</v>
      </c>
      <c r="K603" t="n">
        <v>0</v>
      </c>
      <c r="L603" t="n">
        <v>0</v>
      </c>
      <c r="M603" t="n">
        <v>0</v>
      </c>
      <c r="N603" t="n">
        <v>0</v>
      </c>
      <c r="O603" t="n">
        <v>1</v>
      </c>
      <c r="P603" t="n">
        <v>0</v>
      </c>
      <c r="Q603" t="n">
        <v>1</v>
      </c>
      <c r="R603" s="2" t="inlineStr">
        <is>
          <t>Blå taggsvamp</t>
        </is>
      </c>
      <c r="S603">
        <f>HYPERLINK("https://klasma.github.io/Logging_2513/artfynd/A 46281-2024 artfynd.xlsx", "A 46281-2024")</f>
        <v/>
      </c>
      <c r="T603">
        <f>HYPERLINK("https://klasma.github.io/Logging_2513/kartor/A 46281-2024 karta.png", "A 46281-2024")</f>
        <v/>
      </c>
      <c r="V603">
        <f>HYPERLINK("https://klasma.github.io/Logging_2513/klagomål/A 46281-2024 FSC-klagomål.docx", "A 46281-2024")</f>
        <v/>
      </c>
      <c r="W603">
        <f>HYPERLINK("https://klasma.github.io/Logging_2513/klagomålsmail/A 46281-2024 FSC-klagomål mail.docx", "A 46281-2024")</f>
        <v/>
      </c>
      <c r="X603">
        <f>HYPERLINK("https://klasma.github.io/Logging_2513/tillsyn/A 46281-2024 tillsynsbegäran.docx", "A 46281-2024")</f>
        <v/>
      </c>
      <c r="Y603">
        <f>HYPERLINK("https://klasma.github.io/Logging_2513/tillsynsmail/A 46281-2024 tillsynsbegäran mail.docx", "A 46281-2024")</f>
        <v/>
      </c>
    </row>
    <row r="604" ht="15" customHeight="1">
      <c r="A604" t="inlineStr">
        <is>
          <t>A 17428-2023</t>
        </is>
      </c>
      <c r="B604" s="1" t="n">
        <v>45035.9266087963</v>
      </c>
      <c r="C604" s="1" t="n">
        <v>45895</v>
      </c>
      <c r="D604" t="inlineStr">
        <is>
          <t>NORRBOTTENS LÄN</t>
        </is>
      </c>
      <c r="E604" t="inlineStr">
        <is>
          <t>LULEÅ</t>
        </is>
      </c>
      <c r="G604" t="n">
        <v>2</v>
      </c>
      <c r="H604" t="n">
        <v>0</v>
      </c>
      <c r="I604" t="n">
        <v>1</v>
      </c>
      <c r="J604" t="n">
        <v>0</v>
      </c>
      <c r="K604" t="n">
        <v>0</v>
      </c>
      <c r="L604" t="n">
        <v>0</v>
      </c>
      <c r="M604" t="n">
        <v>0</v>
      </c>
      <c r="N604" t="n">
        <v>0</v>
      </c>
      <c r="O604" t="n">
        <v>0</v>
      </c>
      <c r="P604" t="n">
        <v>0</v>
      </c>
      <c r="Q604" t="n">
        <v>1</v>
      </c>
      <c r="R604" s="2" t="inlineStr">
        <is>
          <t>Mindre märgborre</t>
        </is>
      </c>
      <c r="S604">
        <f>HYPERLINK("https://klasma.github.io/Logging_2580/artfynd/A 17428-2023 artfynd.xlsx", "A 17428-2023")</f>
        <v/>
      </c>
      <c r="T604">
        <f>HYPERLINK("https://klasma.github.io/Logging_2580/kartor/A 17428-2023 karta.png", "A 17428-2023")</f>
        <v/>
      </c>
      <c r="V604">
        <f>HYPERLINK("https://klasma.github.io/Logging_2580/klagomål/A 17428-2023 FSC-klagomål.docx", "A 17428-2023")</f>
        <v/>
      </c>
      <c r="W604">
        <f>HYPERLINK("https://klasma.github.io/Logging_2580/klagomålsmail/A 17428-2023 FSC-klagomål mail.docx", "A 17428-2023")</f>
        <v/>
      </c>
      <c r="X604">
        <f>HYPERLINK("https://klasma.github.io/Logging_2580/tillsyn/A 17428-2023 tillsynsbegäran.docx", "A 17428-2023")</f>
        <v/>
      </c>
      <c r="Y604">
        <f>HYPERLINK("https://klasma.github.io/Logging_2580/tillsynsmail/A 17428-2023 tillsynsbegäran mail.docx", "A 17428-2023")</f>
        <v/>
      </c>
    </row>
    <row r="605" ht="15" customHeight="1">
      <c r="A605" t="inlineStr">
        <is>
          <t>A 37309-2024</t>
        </is>
      </c>
      <c r="B605" s="1" t="n">
        <v>45540</v>
      </c>
      <c r="C605" s="1" t="n">
        <v>45895</v>
      </c>
      <c r="D605" t="inlineStr">
        <is>
          <t>NORRBOTTENS LÄN</t>
        </is>
      </c>
      <c r="E605" t="inlineStr">
        <is>
          <t>ÖVERKALIX</t>
        </is>
      </c>
      <c r="F605" t="inlineStr">
        <is>
          <t>Sveaskog</t>
        </is>
      </c>
      <c r="G605" t="n">
        <v>10.4</v>
      </c>
      <c r="H605" t="n">
        <v>0</v>
      </c>
      <c r="I605" t="n">
        <v>0</v>
      </c>
      <c r="J605" t="n">
        <v>1</v>
      </c>
      <c r="K605" t="n">
        <v>0</v>
      </c>
      <c r="L605" t="n">
        <v>0</v>
      </c>
      <c r="M605" t="n">
        <v>0</v>
      </c>
      <c r="N605" t="n">
        <v>0</v>
      </c>
      <c r="O605" t="n">
        <v>1</v>
      </c>
      <c r="P605" t="n">
        <v>0</v>
      </c>
      <c r="Q605" t="n">
        <v>1</v>
      </c>
      <c r="R605" s="2" t="inlineStr">
        <is>
          <t>Lunglav</t>
        </is>
      </c>
      <c r="S605">
        <f>HYPERLINK("https://klasma.github.io/Logging_2513/artfynd/A 37309-2024 artfynd.xlsx", "A 37309-2024")</f>
        <v/>
      </c>
      <c r="T605">
        <f>HYPERLINK("https://klasma.github.io/Logging_2513/kartor/A 37309-2024 karta.png", "A 37309-2024")</f>
        <v/>
      </c>
      <c r="U605">
        <f>HYPERLINK("https://klasma.github.io/Logging_2513/knärot/A 37309-2024 karta knärot.png", "A 37309-2024")</f>
        <v/>
      </c>
      <c r="V605">
        <f>HYPERLINK("https://klasma.github.io/Logging_2513/klagomål/A 37309-2024 FSC-klagomål.docx", "A 37309-2024")</f>
        <v/>
      </c>
      <c r="W605">
        <f>HYPERLINK("https://klasma.github.io/Logging_2513/klagomålsmail/A 37309-2024 FSC-klagomål mail.docx", "A 37309-2024")</f>
        <v/>
      </c>
      <c r="X605">
        <f>HYPERLINK("https://klasma.github.io/Logging_2513/tillsyn/A 37309-2024 tillsynsbegäran.docx", "A 37309-2024")</f>
        <v/>
      </c>
      <c r="Y605">
        <f>HYPERLINK("https://klasma.github.io/Logging_2513/tillsynsmail/A 37309-2024 tillsynsbegäran mail.docx", "A 37309-2024")</f>
        <v/>
      </c>
    </row>
    <row r="606" ht="15" customHeight="1">
      <c r="A606" t="inlineStr">
        <is>
          <t>A 34325-2025</t>
        </is>
      </c>
      <c r="B606" s="1" t="n">
        <v>45846.4328587963</v>
      </c>
      <c r="C606" s="1" t="n">
        <v>45895</v>
      </c>
      <c r="D606" t="inlineStr">
        <is>
          <t>NORRBOTTENS LÄN</t>
        </is>
      </c>
      <c r="E606" t="inlineStr">
        <is>
          <t>ÖVERTORNEÅ</t>
        </is>
      </c>
      <c r="F606" t="inlineStr">
        <is>
          <t>Sveaskog</t>
        </is>
      </c>
      <c r="G606" t="n">
        <v>3.8</v>
      </c>
      <c r="H606" t="n">
        <v>1</v>
      </c>
      <c r="I606" t="n">
        <v>0</v>
      </c>
      <c r="J606" t="n">
        <v>0</v>
      </c>
      <c r="K606" t="n">
        <v>0</v>
      </c>
      <c r="L606" t="n">
        <v>0</v>
      </c>
      <c r="M606" t="n">
        <v>0</v>
      </c>
      <c r="N606" t="n">
        <v>0</v>
      </c>
      <c r="O606" t="n">
        <v>0</v>
      </c>
      <c r="P606" t="n">
        <v>0</v>
      </c>
      <c r="Q606" t="n">
        <v>1</v>
      </c>
      <c r="R606" s="2" t="inlineStr">
        <is>
          <t>Fläcknycklar</t>
        </is>
      </c>
      <c r="S606">
        <f>HYPERLINK("https://klasma.github.io/Logging_2518/artfynd/A 34325-2025 artfynd.xlsx", "A 34325-2025")</f>
        <v/>
      </c>
      <c r="T606">
        <f>HYPERLINK("https://klasma.github.io/Logging_2518/kartor/A 34325-2025 karta.png", "A 34325-2025")</f>
        <v/>
      </c>
      <c r="V606">
        <f>HYPERLINK("https://klasma.github.io/Logging_2518/klagomål/A 34325-2025 FSC-klagomål.docx", "A 34325-2025")</f>
        <v/>
      </c>
      <c r="W606">
        <f>HYPERLINK("https://klasma.github.io/Logging_2518/klagomålsmail/A 34325-2025 FSC-klagomål mail.docx", "A 34325-2025")</f>
        <v/>
      </c>
      <c r="X606">
        <f>HYPERLINK("https://klasma.github.io/Logging_2518/tillsyn/A 34325-2025 tillsynsbegäran.docx", "A 34325-2025")</f>
        <v/>
      </c>
      <c r="Y606">
        <f>HYPERLINK("https://klasma.github.io/Logging_2518/tillsynsmail/A 34325-2025 tillsynsbegäran mail.docx", "A 34325-2025")</f>
        <v/>
      </c>
    </row>
    <row r="607" ht="15" customHeight="1">
      <c r="A607" t="inlineStr">
        <is>
          <t>A 34329-2025</t>
        </is>
      </c>
      <c r="B607" s="1" t="n">
        <v>45846.44512731482</v>
      </c>
      <c r="C607" s="1" t="n">
        <v>45895</v>
      </c>
      <c r="D607" t="inlineStr">
        <is>
          <t>NORRBOTTENS LÄN</t>
        </is>
      </c>
      <c r="E607" t="inlineStr">
        <is>
          <t>PITEÅ</t>
        </is>
      </c>
      <c r="F607" t="inlineStr">
        <is>
          <t>Övriga statliga verk och myndigheter</t>
        </is>
      </c>
      <c r="G607" t="n">
        <v>2.4</v>
      </c>
      <c r="H607" t="n">
        <v>1</v>
      </c>
      <c r="I607" t="n">
        <v>0</v>
      </c>
      <c r="J607" t="n">
        <v>1</v>
      </c>
      <c r="K607" t="n">
        <v>0</v>
      </c>
      <c r="L607" t="n">
        <v>0</v>
      </c>
      <c r="M607" t="n">
        <v>0</v>
      </c>
      <c r="N607" t="n">
        <v>0</v>
      </c>
      <c r="O607" t="n">
        <v>1</v>
      </c>
      <c r="P607" t="n">
        <v>0</v>
      </c>
      <c r="Q607" t="n">
        <v>1</v>
      </c>
      <c r="R607" s="2" t="inlineStr">
        <is>
          <t>Spillkråka</t>
        </is>
      </c>
      <c r="S607">
        <f>HYPERLINK("https://klasma.github.io/Logging_2581/artfynd/A 34329-2025 artfynd.xlsx", "A 34329-2025")</f>
        <v/>
      </c>
      <c r="T607">
        <f>HYPERLINK("https://klasma.github.io/Logging_2581/kartor/A 34329-2025 karta.png", "A 34329-2025")</f>
        <v/>
      </c>
      <c r="V607">
        <f>HYPERLINK("https://klasma.github.io/Logging_2581/klagomål/A 34329-2025 FSC-klagomål.docx", "A 34329-2025")</f>
        <v/>
      </c>
      <c r="W607">
        <f>HYPERLINK("https://klasma.github.io/Logging_2581/klagomålsmail/A 34329-2025 FSC-klagomål mail.docx", "A 34329-2025")</f>
        <v/>
      </c>
      <c r="X607">
        <f>HYPERLINK("https://klasma.github.io/Logging_2581/tillsyn/A 34329-2025 tillsynsbegäran.docx", "A 34329-2025")</f>
        <v/>
      </c>
      <c r="Y607">
        <f>HYPERLINK("https://klasma.github.io/Logging_2581/tillsynsmail/A 34329-2025 tillsynsbegäran mail.docx", "A 34329-2025")</f>
        <v/>
      </c>
      <c r="Z607">
        <f>HYPERLINK("https://klasma.github.io/Logging_2581/fåglar/A 34329-2025 prioriterade fågelarter.docx", "A 34329-2025")</f>
        <v/>
      </c>
    </row>
    <row r="608" ht="15" customHeight="1">
      <c r="A608" t="inlineStr">
        <is>
          <t>A 34135-2025</t>
        </is>
      </c>
      <c r="B608" s="1" t="n">
        <v>45845.5409375</v>
      </c>
      <c r="C608" s="1" t="n">
        <v>45895</v>
      </c>
      <c r="D608" t="inlineStr">
        <is>
          <t>NORRBOTTENS LÄN</t>
        </is>
      </c>
      <c r="E608" t="inlineStr">
        <is>
          <t>JOKKMOKK</t>
        </is>
      </c>
      <c r="G608" t="n">
        <v>4.8</v>
      </c>
      <c r="H608" t="n">
        <v>0</v>
      </c>
      <c r="I608" t="n">
        <v>0</v>
      </c>
      <c r="J608" t="n">
        <v>1</v>
      </c>
      <c r="K608" t="n">
        <v>0</v>
      </c>
      <c r="L608" t="n">
        <v>0</v>
      </c>
      <c r="M608" t="n">
        <v>0</v>
      </c>
      <c r="N608" t="n">
        <v>0</v>
      </c>
      <c r="O608" t="n">
        <v>1</v>
      </c>
      <c r="P608" t="n">
        <v>0</v>
      </c>
      <c r="Q608" t="n">
        <v>1</v>
      </c>
      <c r="R608" s="2" t="inlineStr">
        <is>
          <t>Svart taggsvamp</t>
        </is>
      </c>
      <c r="S608">
        <f>HYPERLINK("https://klasma.github.io/Logging_2510/artfynd/A 34135-2025 artfynd.xlsx", "A 34135-2025")</f>
        <v/>
      </c>
      <c r="T608">
        <f>HYPERLINK("https://klasma.github.io/Logging_2510/kartor/A 34135-2025 karta.png", "A 34135-2025")</f>
        <v/>
      </c>
      <c r="V608">
        <f>HYPERLINK("https://klasma.github.io/Logging_2510/klagomål/A 34135-2025 FSC-klagomål.docx", "A 34135-2025")</f>
        <v/>
      </c>
      <c r="W608">
        <f>HYPERLINK("https://klasma.github.io/Logging_2510/klagomålsmail/A 34135-2025 FSC-klagomål mail.docx", "A 34135-2025")</f>
        <v/>
      </c>
      <c r="X608">
        <f>HYPERLINK("https://klasma.github.io/Logging_2510/tillsyn/A 34135-2025 tillsynsbegäran.docx", "A 34135-2025")</f>
        <v/>
      </c>
      <c r="Y608">
        <f>HYPERLINK("https://klasma.github.io/Logging_2510/tillsynsmail/A 34135-2025 tillsynsbegäran mail.docx", "A 34135-2025")</f>
        <v/>
      </c>
    </row>
    <row r="609" ht="15" customHeight="1">
      <c r="A609" t="inlineStr">
        <is>
          <t>A 34544-2025</t>
        </is>
      </c>
      <c r="B609" s="1" t="n">
        <v>45847</v>
      </c>
      <c r="C609" s="1" t="n">
        <v>45895</v>
      </c>
      <c r="D609" t="inlineStr">
        <is>
          <t>NORRBOTTENS LÄN</t>
        </is>
      </c>
      <c r="E609" t="inlineStr">
        <is>
          <t>ÄLVSBYN</t>
        </is>
      </c>
      <c r="F609" t="inlineStr">
        <is>
          <t>Sveaskog</t>
        </is>
      </c>
      <c r="G609" t="n">
        <v>1.2</v>
      </c>
      <c r="H609" t="n">
        <v>0</v>
      </c>
      <c r="I609" t="n">
        <v>1</v>
      </c>
      <c r="J609" t="n">
        <v>0</v>
      </c>
      <c r="K609" t="n">
        <v>0</v>
      </c>
      <c r="L609" t="n">
        <v>0</v>
      </c>
      <c r="M609" t="n">
        <v>0</v>
      </c>
      <c r="N609" t="n">
        <v>0</v>
      </c>
      <c r="O609" t="n">
        <v>0</v>
      </c>
      <c r="P609" t="n">
        <v>0</v>
      </c>
      <c r="Q609" t="n">
        <v>1</v>
      </c>
      <c r="R609" s="2" t="inlineStr">
        <is>
          <t>Dropptaggsvamp</t>
        </is>
      </c>
      <c r="S609">
        <f>HYPERLINK("https://klasma.github.io/Logging_2560/artfynd/A 34544-2025 artfynd.xlsx", "A 34544-2025")</f>
        <v/>
      </c>
      <c r="T609">
        <f>HYPERLINK("https://klasma.github.io/Logging_2560/kartor/A 34544-2025 karta.png", "A 34544-2025")</f>
        <v/>
      </c>
      <c r="V609">
        <f>HYPERLINK("https://klasma.github.io/Logging_2560/klagomål/A 34544-2025 FSC-klagomål.docx", "A 34544-2025")</f>
        <v/>
      </c>
      <c r="W609">
        <f>HYPERLINK("https://klasma.github.io/Logging_2560/klagomålsmail/A 34544-2025 FSC-klagomål mail.docx", "A 34544-2025")</f>
        <v/>
      </c>
      <c r="X609">
        <f>HYPERLINK("https://klasma.github.io/Logging_2560/tillsyn/A 34544-2025 tillsynsbegäran.docx", "A 34544-2025")</f>
        <v/>
      </c>
      <c r="Y609">
        <f>HYPERLINK("https://klasma.github.io/Logging_2560/tillsynsmail/A 34544-2025 tillsynsbegäran mail.docx", "A 34544-2025")</f>
        <v/>
      </c>
    </row>
    <row r="610" ht="15" customHeight="1">
      <c r="A610" t="inlineStr">
        <is>
          <t>A 57535-2021</t>
        </is>
      </c>
      <c r="B610" s="1" t="n">
        <v>44483</v>
      </c>
      <c r="C610" s="1" t="n">
        <v>45895</v>
      </c>
      <c r="D610" t="inlineStr">
        <is>
          <t>NORRBOTTENS LÄN</t>
        </is>
      </c>
      <c r="E610" t="inlineStr">
        <is>
          <t>GÄLLIVARE</t>
        </is>
      </c>
      <c r="G610" t="n">
        <v>20.6</v>
      </c>
      <c r="H610" t="n">
        <v>1</v>
      </c>
      <c r="I610" t="n">
        <v>0</v>
      </c>
      <c r="J610" t="n">
        <v>0</v>
      </c>
      <c r="K610" t="n">
        <v>0</v>
      </c>
      <c r="L610" t="n">
        <v>0</v>
      </c>
      <c r="M610" t="n">
        <v>0</v>
      </c>
      <c r="N610" t="n">
        <v>0</v>
      </c>
      <c r="O610" t="n">
        <v>0</v>
      </c>
      <c r="P610" t="n">
        <v>0</v>
      </c>
      <c r="Q610" t="n">
        <v>1</v>
      </c>
      <c r="R610" s="2" t="inlineStr">
        <is>
          <t>Revlummer</t>
        </is>
      </c>
      <c r="S610">
        <f>HYPERLINK("https://klasma.github.io/Logging_2523/artfynd/A 57535-2021 artfynd.xlsx", "A 57535-2021")</f>
        <v/>
      </c>
      <c r="T610">
        <f>HYPERLINK("https://klasma.github.io/Logging_2523/kartor/A 57535-2021 karta.png", "A 57535-2021")</f>
        <v/>
      </c>
      <c r="V610">
        <f>HYPERLINK("https://klasma.github.io/Logging_2523/klagomål/A 57535-2021 FSC-klagomål.docx", "A 57535-2021")</f>
        <v/>
      </c>
      <c r="W610">
        <f>HYPERLINK("https://klasma.github.io/Logging_2523/klagomålsmail/A 57535-2021 FSC-klagomål mail.docx", "A 57535-2021")</f>
        <v/>
      </c>
      <c r="X610">
        <f>HYPERLINK("https://klasma.github.io/Logging_2523/tillsyn/A 57535-2021 tillsynsbegäran.docx", "A 57535-2021")</f>
        <v/>
      </c>
      <c r="Y610">
        <f>HYPERLINK("https://klasma.github.io/Logging_2523/tillsynsmail/A 57535-2021 tillsynsbegäran mail.docx", "A 57535-2021")</f>
        <v/>
      </c>
    </row>
    <row r="611" ht="15" customHeight="1">
      <c r="A611" t="inlineStr">
        <is>
          <t>A 34696-2025</t>
        </is>
      </c>
      <c r="B611" s="1" t="n">
        <v>45848.4612037037</v>
      </c>
      <c r="C611" s="1" t="n">
        <v>45895</v>
      </c>
      <c r="D611" t="inlineStr">
        <is>
          <t>NORRBOTTENS LÄN</t>
        </is>
      </c>
      <c r="E611" t="inlineStr">
        <is>
          <t>BODEN</t>
        </is>
      </c>
      <c r="F611" t="inlineStr">
        <is>
          <t>Sveaskog</t>
        </is>
      </c>
      <c r="G611" t="n">
        <v>10.5</v>
      </c>
      <c r="H611" t="n">
        <v>1</v>
      </c>
      <c r="I611" t="n">
        <v>0</v>
      </c>
      <c r="J611" t="n">
        <v>0</v>
      </c>
      <c r="K611" t="n">
        <v>1</v>
      </c>
      <c r="L611" t="n">
        <v>0</v>
      </c>
      <c r="M611" t="n">
        <v>0</v>
      </c>
      <c r="N611" t="n">
        <v>0</v>
      </c>
      <c r="O611" t="n">
        <v>1</v>
      </c>
      <c r="P611" t="n">
        <v>1</v>
      </c>
      <c r="Q611" t="n">
        <v>1</v>
      </c>
      <c r="R611" s="2" t="inlineStr">
        <is>
          <t>Knärot</t>
        </is>
      </c>
      <c r="S611">
        <f>HYPERLINK("https://klasma.github.io/Logging_2582/artfynd/A 34696-2025 artfynd.xlsx", "A 34696-2025")</f>
        <v/>
      </c>
      <c r="T611">
        <f>HYPERLINK("https://klasma.github.io/Logging_2582/kartor/A 34696-2025 karta.png", "A 34696-2025")</f>
        <v/>
      </c>
      <c r="U611">
        <f>HYPERLINK("https://klasma.github.io/Logging_2582/knärot/A 34696-2025 karta knärot.png", "A 34696-2025")</f>
        <v/>
      </c>
      <c r="V611">
        <f>HYPERLINK("https://klasma.github.io/Logging_2582/klagomål/A 34696-2025 FSC-klagomål.docx", "A 34696-2025")</f>
        <v/>
      </c>
      <c r="W611">
        <f>HYPERLINK("https://klasma.github.io/Logging_2582/klagomålsmail/A 34696-2025 FSC-klagomål mail.docx", "A 34696-2025")</f>
        <v/>
      </c>
      <c r="X611">
        <f>HYPERLINK("https://klasma.github.io/Logging_2582/tillsyn/A 34696-2025 tillsynsbegäran.docx", "A 34696-2025")</f>
        <v/>
      </c>
      <c r="Y611">
        <f>HYPERLINK("https://klasma.github.io/Logging_2582/tillsynsmail/A 34696-2025 tillsynsbegäran mail.docx", "A 34696-2025")</f>
        <v/>
      </c>
    </row>
    <row r="612" ht="15" customHeight="1">
      <c r="A612" t="inlineStr">
        <is>
          <t>A 30592-2023</t>
        </is>
      </c>
      <c r="B612" s="1" t="n">
        <v>45112</v>
      </c>
      <c r="C612" s="1" t="n">
        <v>45895</v>
      </c>
      <c r="D612" t="inlineStr">
        <is>
          <t>NORRBOTTENS LÄN</t>
        </is>
      </c>
      <c r="E612" t="inlineStr">
        <is>
          <t>ARJEPLOG</t>
        </is>
      </c>
      <c r="F612" t="inlineStr">
        <is>
          <t>Allmännings- och besparingsskogar</t>
        </is>
      </c>
      <c r="G612" t="n">
        <v>19</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30592-2023 artfynd.xlsx", "A 30592-2023")</f>
        <v/>
      </c>
      <c r="T612">
        <f>HYPERLINK("https://klasma.github.io/Logging_2506/kartor/A 30592-2023 karta.png", "A 30592-2023")</f>
        <v/>
      </c>
      <c r="V612">
        <f>HYPERLINK("https://klasma.github.io/Logging_2506/klagomål/A 30592-2023 FSC-klagomål.docx", "A 30592-2023")</f>
        <v/>
      </c>
      <c r="W612">
        <f>HYPERLINK("https://klasma.github.io/Logging_2506/klagomålsmail/A 30592-2023 FSC-klagomål mail.docx", "A 30592-2023")</f>
        <v/>
      </c>
      <c r="X612">
        <f>HYPERLINK("https://klasma.github.io/Logging_2506/tillsyn/A 30592-2023 tillsynsbegäran.docx", "A 30592-2023")</f>
        <v/>
      </c>
      <c r="Y612">
        <f>HYPERLINK("https://klasma.github.io/Logging_2506/tillsynsmail/A 30592-2023 tillsynsbegäran mail.docx", "A 30592-2023")</f>
        <v/>
      </c>
      <c r="Z612">
        <f>HYPERLINK("https://klasma.github.io/Logging_2506/fåglar/A 30592-2023 prioriterade fågelarter.docx", "A 30592-2023")</f>
        <v/>
      </c>
    </row>
    <row r="613" ht="15" customHeight="1">
      <c r="A613" t="inlineStr">
        <is>
          <t>A 3578-2025</t>
        </is>
      </c>
      <c r="B613" s="1" t="n">
        <v>45680</v>
      </c>
      <c r="C613" s="1" t="n">
        <v>45895</v>
      </c>
      <c r="D613" t="inlineStr">
        <is>
          <t>NORRBOTTENS LÄN</t>
        </is>
      </c>
      <c r="E613" t="inlineStr">
        <is>
          <t>LULEÅ</t>
        </is>
      </c>
      <c r="G613" t="n">
        <v>3.7</v>
      </c>
      <c r="H613" t="n">
        <v>1</v>
      </c>
      <c r="I613" t="n">
        <v>0</v>
      </c>
      <c r="J613" t="n">
        <v>1</v>
      </c>
      <c r="K613" t="n">
        <v>0</v>
      </c>
      <c r="L613" t="n">
        <v>0</v>
      </c>
      <c r="M613" t="n">
        <v>0</v>
      </c>
      <c r="N613" t="n">
        <v>0</v>
      </c>
      <c r="O613" t="n">
        <v>1</v>
      </c>
      <c r="P613" t="n">
        <v>0</v>
      </c>
      <c r="Q613" t="n">
        <v>1</v>
      </c>
      <c r="R613" s="2" t="inlineStr">
        <is>
          <t>Spillkråka</t>
        </is>
      </c>
      <c r="S613">
        <f>HYPERLINK("https://klasma.github.io/Logging_2580/artfynd/A 3578-2025 artfynd.xlsx", "A 3578-2025")</f>
        <v/>
      </c>
      <c r="T613">
        <f>HYPERLINK("https://klasma.github.io/Logging_2580/kartor/A 3578-2025 karta.png", "A 3578-2025")</f>
        <v/>
      </c>
      <c r="V613">
        <f>HYPERLINK("https://klasma.github.io/Logging_2580/klagomål/A 3578-2025 FSC-klagomål.docx", "A 3578-2025")</f>
        <v/>
      </c>
      <c r="W613">
        <f>HYPERLINK("https://klasma.github.io/Logging_2580/klagomålsmail/A 3578-2025 FSC-klagomål mail.docx", "A 3578-2025")</f>
        <v/>
      </c>
      <c r="X613">
        <f>HYPERLINK("https://klasma.github.io/Logging_2580/tillsyn/A 3578-2025 tillsynsbegäran.docx", "A 3578-2025")</f>
        <v/>
      </c>
      <c r="Y613">
        <f>HYPERLINK("https://klasma.github.io/Logging_2580/tillsynsmail/A 3578-2025 tillsynsbegäran mail.docx", "A 3578-2025")</f>
        <v/>
      </c>
      <c r="Z613">
        <f>HYPERLINK("https://klasma.github.io/Logging_2580/fåglar/A 3578-2025 prioriterade fågelarter.docx", "A 3578-2025")</f>
        <v/>
      </c>
    </row>
    <row r="614" ht="15" customHeight="1">
      <c r="A614" t="inlineStr">
        <is>
          <t>A 39717-2025</t>
        </is>
      </c>
      <c r="B614" s="1" t="n">
        <v>45891.3190625</v>
      </c>
      <c r="C614" s="1" t="n">
        <v>45895</v>
      </c>
      <c r="D614" t="inlineStr">
        <is>
          <t>NORRBOTTENS LÄN</t>
        </is>
      </c>
      <c r="E614" t="inlineStr">
        <is>
          <t>BODEN</t>
        </is>
      </c>
      <c r="G614" t="n">
        <v>13.9</v>
      </c>
      <c r="H614" t="n">
        <v>1</v>
      </c>
      <c r="I614" t="n">
        <v>0</v>
      </c>
      <c r="J614" t="n">
        <v>0</v>
      </c>
      <c r="K614" t="n">
        <v>0</v>
      </c>
      <c r="L614" t="n">
        <v>0</v>
      </c>
      <c r="M614" t="n">
        <v>0</v>
      </c>
      <c r="N614" t="n">
        <v>0</v>
      </c>
      <c r="O614" t="n">
        <v>0</v>
      </c>
      <c r="P614" t="n">
        <v>0</v>
      </c>
      <c r="Q614" t="n">
        <v>1</v>
      </c>
      <c r="R614" s="2" t="inlineStr">
        <is>
          <t>Fläcknycklar</t>
        </is>
      </c>
      <c r="S614">
        <f>HYPERLINK("https://klasma.github.io/Logging_2582/artfynd/A 39717-2025 artfynd.xlsx", "A 39717-2025")</f>
        <v/>
      </c>
      <c r="T614">
        <f>HYPERLINK("https://klasma.github.io/Logging_2582/kartor/A 39717-2025 karta.png", "A 39717-2025")</f>
        <v/>
      </c>
      <c r="V614">
        <f>HYPERLINK("https://klasma.github.io/Logging_2582/klagomål/A 39717-2025 FSC-klagomål.docx", "A 39717-2025")</f>
        <v/>
      </c>
      <c r="W614">
        <f>HYPERLINK("https://klasma.github.io/Logging_2582/klagomålsmail/A 39717-2025 FSC-klagomål mail.docx", "A 39717-2025")</f>
        <v/>
      </c>
      <c r="X614">
        <f>HYPERLINK("https://klasma.github.io/Logging_2582/tillsyn/A 39717-2025 tillsynsbegäran.docx", "A 39717-2025")</f>
        <v/>
      </c>
      <c r="Y614">
        <f>HYPERLINK("https://klasma.github.io/Logging_2582/tillsynsmail/A 39717-2025 tillsynsbegäran mail.docx", "A 39717-2025")</f>
        <v/>
      </c>
    </row>
    <row r="615" ht="15" customHeight="1">
      <c r="A615" t="inlineStr">
        <is>
          <t>A 34921-2025</t>
        </is>
      </c>
      <c r="B615" s="1" t="n">
        <v>45849.55521990741</v>
      </c>
      <c r="C615" s="1" t="n">
        <v>45895</v>
      </c>
      <c r="D615" t="inlineStr">
        <is>
          <t>NORRBOTTENS LÄN</t>
        </is>
      </c>
      <c r="E615" t="inlineStr">
        <is>
          <t>ÖVERKALIX</t>
        </is>
      </c>
      <c r="F615" t="inlineStr">
        <is>
          <t>Sveaskog</t>
        </is>
      </c>
      <c r="G615" t="n">
        <v>16.4</v>
      </c>
      <c r="H615" t="n">
        <v>0</v>
      </c>
      <c r="I615" t="n">
        <v>0</v>
      </c>
      <c r="J615" t="n">
        <v>1</v>
      </c>
      <c r="K615" t="n">
        <v>0</v>
      </c>
      <c r="L615" t="n">
        <v>0</v>
      </c>
      <c r="M615" t="n">
        <v>0</v>
      </c>
      <c r="N615" t="n">
        <v>0</v>
      </c>
      <c r="O615" t="n">
        <v>1</v>
      </c>
      <c r="P615" t="n">
        <v>0</v>
      </c>
      <c r="Q615" t="n">
        <v>1</v>
      </c>
      <c r="R615" s="2" t="inlineStr">
        <is>
          <t>Lunglav</t>
        </is>
      </c>
      <c r="S615">
        <f>HYPERLINK("https://klasma.github.io/Logging_2513/artfynd/A 34921-2025 artfynd.xlsx", "A 34921-2025")</f>
        <v/>
      </c>
      <c r="T615">
        <f>HYPERLINK("https://klasma.github.io/Logging_2513/kartor/A 34921-2025 karta.png", "A 34921-2025")</f>
        <v/>
      </c>
      <c r="V615">
        <f>HYPERLINK("https://klasma.github.io/Logging_2513/klagomål/A 34921-2025 FSC-klagomål.docx", "A 34921-2025")</f>
        <v/>
      </c>
      <c r="W615">
        <f>HYPERLINK("https://klasma.github.io/Logging_2513/klagomålsmail/A 34921-2025 FSC-klagomål mail.docx", "A 34921-2025")</f>
        <v/>
      </c>
      <c r="X615">
        <f>HYPERLINK("https://klasma.github.io/Logging_2513/tillsyn/A 34921-2025 tillsynsbegäran.docx", "A 34921-2025")</f>
        <v/>
      </c>
      <c r="Y615">
        <f>HYPERLINK("https://klasma.github.io/Logging_2513/tillsynsmail/A 34921-2025 tillsynsbegäran mail.docx", "A 34921-2025")</f>
        <v/>
      </c>
    </row>
    <row r="616" ht="15" customHeight="1">
      <c r="A616" t="inlineStr">
        <is>
          <t>A 40151-2025</t>
        </is>
      </c>
      <c r="B616" s="1" t="n">
        <v>45894</v>
      </c>
      <c r="C616" s="1" t="n">
        <v>45895</v>
      </c>
      <c r="D616" t="inlineStr">
        <is>
          <t>NORRBOTTENS LÄN</t>
        </is>
      </c>
      <c r="E616" t="inlineStr">
        <is>
          <t>GÄLLIVARE</t>
        </is>
      </c>
      <c r="F616" t="inlineStr">
        <is>
          <t>Allmännings- och besparingsskogar</t>
        </is>
      </c>
      <c r="G616" t="n">
        <v>4.5</v>
      </c>
      <c r="H616" t="n">
        <v>1</v>
      </c>
      <c r="I616" t="n">
        <v>0</v>
      </c>
      <c r="J616" t="n">
        <v>0</v>
      </c>
      <c r="K616" t="n">
        <v>0</v>
      </c>
      <c r="L616" t="n">
        <v>0</v>
      </c>
      <c r="M616" t="n">
        <v>0</v>
      </c>
      <c r="N616" t="n">
        <v>0</v>
      </c>
      <c r="O616" t="n">
        <v>0</v>
      </c>
      <c r="P616" t="n">
        <v>0</v>
      </c>
      <c r="Q616" t="n">
        <v>1</v>
      </c>
      <c r="R616" s="2" t="inlineStr">
        <is>
          <t>Fläcknycklar</t>
        </is>
      </c>
      <c r="S616">
        <f>HYPERLINK("https://klasma.github.io/Logging_2523/artfynd/A 40151-2025 artfynd.xlsx", "A 40151-2025")</f>
        <v/>
      </c>
      <c r="T616">
        <f>HYPERLINK("https://klasma.github.io/Logging_2523/kartor/A 40151-2025 karta.png", "A 40151-2025")</f>
        <v/>
      </c>
      <c r="V616">
        <f>HYPERLINK("https://klasma.github.io/Logging_2523/klagomål/A 40151-2025 FSC-klagomål.docx", "A 40151-2025")</f>
        <v/>
      </c>
      <c r="W616">
        <f>HYPERLINK("https://klasma.github.io/Logging_2523/klagomålsmail/A 40151-2025 FSC-klagomål mail.docx", "A 40151-2025")</f>
        <v/>
      </c>
      <c r="X616">
        <f>HYPERLINK("https://klasma.github.io/Logging_2523/tillsyn/A 40151-2025 tillsynsbegäran.docx", "A 40151-2025")</f>
        <v/>
      </c>
      <c r="Y616">
        <f>HYPERLINK("https://klasma.github.io/Logging_2523/tillsynsmail/A 40151-2025 tillsynsbegäran mail.docx", "A 40151-2025")</f>
        <v/>
      </c>
    </row>
    <row r="617" ht="15" customHeight="1">
      <c r="A617" t="inlineStr">
        <is>
          <t>A 34848-2025</t>
        </is>
      </c>
      <c r="B617" s="1" t="n">
        <v>45849.4200462963</v>
      </c>
      <c r="C617" s="1" t="n">
        <v>45895</v>
      </c>
      <c r="D617" t="inlineStr">
        <is>
          <t>NORRBOTTENS LÄN</t>
        </is>
      </c>
      <c r="E617" t="inlineStr">
        <is>
          <t>GÄLLIVARE</t>
        </is>
      </c>
      <c r="F617" t="inlineStr">
        <is>
          <t>Sveaskog</t>
        </is>
      </c>
      <c r="G617" t="n">
        <v>7.5</v>
      </c>
      <c r="H617" t="n">
        <v>0</v>
      </c>
      <c r="I617" t="n">
        <v>0</v>
      </c>
      <c r="J617" t="n">
        <v>1</v>
      </c>
      <c r="K617" t="n">
        <v>0</v>
      </c>
      <c r="L617" t="n">
        <v>0</v>
      </c>
      <c r="M617" t="n">
        <v>0</v>
      </c>
      <c r="N617" t="n">
        <v>0</v>
      </c>
      <c r="O617" t="n">
        <v>1</v>
      </c>
      <c r="P617" t="n">
        <v>0</v>
      </c>
      <c r="Q617" t="n">
        <v>1</v>
      </c>
      <c r="R617" s="2" t="inlineStr">
        <is>
          <t>Kolflarnlav</t>
        </is>
      </c>
      <c r="S617">
        <f>HYPERLINK("https://klasma.github.io/Logging_2523/artfynd/A 34848-2025 artfynd.xlsx", "A 34848-2025")</f>
        <v/>
      </c>
      <c r="T617">
        <f>HYPERLINK("https://klasma.github.io/Logging_2523/kartor/A 34848-2025 karta.png", "A 34848-2025")</f>
        <v/>
      </c>
      <c r="V617">
        <f>HYPERLINK("https://klasma.github.io/Logging_2523/klagomål/A 34848-2025 FSC-klagomål.docx", "A 34848-2025")</f>
        <v/>
      </c>
      <c r="W617">
        <f>HYPERLINK("https://klasma.github.io/Logging_2523/klagomålsmail/A 34848-2025 FSC-klagomål mail.docx", "A 34848-2025")</f>
        <v/>
      </c>
      <c r="X617">
        <f>HYPERLINK("https://klasma.github.io/Logging_2523/tillsyn/A 34848-2025 tillsynsbegäran.docx", "A 34848-2025")</f>
        <v/>
      </c>
      <c r="Y617">
        <f>HYPERLINK("https://klasma.github.io/Logging_2523/tillsynsmail/A 34848-2025 tillsynsbegäran mail.docx", "A 34848-2025")</f>
        <v/>
      </c>
    </row>
    <row r="618" ht="15" customHeight="1">
      <c r="A618" t="inlineStr">
        <is>
          <t>A 37314-2024</t>
        </is>
      </c>
      <c r="B618" s="1" t="n">
        <v>45540</v>
      </c>
      <c r="C618" s="1" t="n">
        <v>45895</v>
      </c>
      <c r="D618" t="inlineStr">
        <is>
          <t>NORRBOTTENS LÄN</t>
        </is>
      </c>
      <c r="E618" t="inlineStr">
        <is>
          <t>ÖVERKALIX</t>
        </is>
      </c>
      <c r="F618" t="inlineStr">
        <is>
          <t>Sveaskog</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HYPERLINK("https://klasma.github.io/Logging_2513/artfynd/A 37314-2024 artfynd.xlsx", "A 37314-2024")</f>
        <v/>
      </c>
      <c r="T618">
        <f>HYPERLINK("https://klasma.github.io/Logging_2513/kartor/A 37314-2024 karta.png", "A 37314-2024")</f>
        <v/>
      </c>
      <c r="V618">
        <f>HYPERLINK("https://klasma.github.io/Logging_2513/klagomål/A 37314-2024 FSC-klagomål.docx", "A 37314-2024")</f>
        <v/>
      </c>
      <c r="W618">
        <f>HYPERLINK("https://klasma.github.io/Logging_2513/klagomålsmail/A 37314-2024 FSC-klagomål mail.docx", "A 37314-2024")</f>
        <v/>
      </c>
      <c r="X618">
        <f>HYPERLINK("https://klasma.github.io/Logging_2513/tillsyn/A 37314-2024 tillsynsbegäran.docx", "A 37314-2024")</f>
        <v/>
      </c>
      <c r="Y618">
        <f>HYPERLINK("https://klasma.github.io/Logging_2513/tillsynsmail/A 37314-2024 tillsynsbegäran mail.docx", "A 37314-2024")</f>
        <v/>
      </c>
    </row>
    <row r="619" ht="15" customHeight="1">
      <c r="A619" t="inlineStr">
        <is>
          <t>A 39828-2023</t>
        </is>
      </c>
      <c r="B619" s="1" t="n">
        <v>45168</v>
      </c>
      <c r="C619" s="1" t="n">
        <v>45895</v>
      </c>
      <c r="D619" t="inlineStr">
        <is>
          <t>NORRBOTTENS LÄN</t>
        </is>
      </c>
      <c r="E619" t="inlineStr">
        <is>
          <t>ÄLVSBYN</t>
        </is>
      </c>
      <c r="G619" t="n">
        <v>14</v>
      </c>
      <c r="H619" t="n">
        <v>1</v>
      </c>
      <c r="I619" t="n">
        <v>1</v>
      </c>
      <c r="J619" t="n">
        <v>0</v>
      </c>
      <c r="K619" t="n">
        <v>0</v>
      </c>
      <c r="L619" t="n">
        <v>0</v>
      </c>
      <c r="M619" t="n">
        <v>0</v>
      </c>
      <c r="N619" t="n">
        <v>0</v>
      </c>
      <c r="O619" t="n">
        <v>0</v>
      </c>
      <c r="P619" t="n">
        <v>0</v>
      </c>
      <c r="Q619" t="n">
        <v>1</v>
      </c>
      <c r="R619" s="2" t="inlineStr">
        <is>
          <t>Korallrot</t>
        </is>
      </c>
      <c r="S619">
        <f>HYPERLINK("https://klasma.github.io/Logging_2560/artfynd/A 39828-2023 artfynd.xlsx", "A 39828-2023")</f>
        <v/>
      </c>
      <c r="T619">
        <f>HYPERLINK("https://klasma.github.io/Logging_2560/kartor/A 39828-2023 karta.png", "A 39828-2023")</f>
        <v/>
      </c>
      <c r="V619">
        <f>HYPERLINK("https://klasma.github.io/Logging_2560/klagomål/A 39828-2023 FSC-klagomål.docx", "A 39828-2023")</f>
        <v/>
      </c>
      <c r="W619">
        <f>HYPERLINK("https://klasma.github.io/Logging_2560/klagomålsmail/A 39828-2023 FSC-klagomål mail.docx", "A 39828-2023")</f>
        <v/>
      </c>
      <c r="X619">
        <f>HYPERLINK("https://klasma.github.io/Logging_2560/tillsyn/A 39828-2023 tillsynsbegäran.docx", "A 39828-2023")</f>
        <v/>
      </c>
      <c r="Y619">
        <f>HYPERLINK("https://klasma.github.io/Logging_2560/tillsynsmail/A 39828-2023 tillsynsbegäran mail.docx", "A 39828-2023")</f>
        <v/>
      </c>
    </row>
    <row r="620" ht="15" customHeight="1">
      <c r="A620" t="inlineStr">
        <is>
          <t>A 40122-2025</t>
        </is>
      </c>
      <c r="B620" s="1" t="n">
        <v>45894.52885416667</v>
      </c>
      <c r="C620" s="1" t="n">
        <v>45895</v>
      </c>
      <c r="D620" t="inlineStr">
        <is>
          <t>NORRBOTTENS LÄN</t>
        </is>
      </c>
      <c r="E620" t="inlineStr">
        <is>
          <t>ÄLVSBYN</t>
        </is>
      </c>
      <c r="F620" t="inlineStr">
        <is>
          <t>Sveaskog</t>
        </is>
      </c>
      <c r="G620" t="n">
        <v>30</v>
      </c>
      <c r="H620" t="n">
        <v>0</v>
      </c>
      <c r="I620" t="n">
        <v>0</v>
      </c>
      <c r="J620" t="n">
        <v>1</v>
      </c>
      <c r="K620" t="n">
        <v>0</v>
      </c>
      <c r="L620" t="n">
        <v>0</v>
      </c>
      <c r="M620" t="n">
        <v>0</v>
      </c>
      <c r="N620" t="n">
        <v>0</v>
      </c>
      <c r="O620" t="n">
        <v>1</v>
      </c>
      <c r="P620" t="n">
        <v>0</v>
      </c>
      <c r="Q620" t="n">
        <v>1</v>
      </c>
      <c r="R620" s="2" t="inlineStr">
        <is>
          <t>Vedflamlav</t>
        </is>
      </c>
      <c r="S620">
        <f>HYPERLINK("https://klasma.github.io/Logging_2560/artfynd/A 40122-2025 artfynd.xlsx", "A 40122-2025")</f>
        <v/>
      </c>
      <c r="T620">
        <f>HYPERLINK("https://klasma.github.io/Logging_2560/kartor/A 40122-2025 karta.png", "A 40122-2025")</f>
        <v/>
      </c>
      <c r="V620">
        <f>HYPERLINK("https://klasma.github.io/Logging_2560/klagomål/A 40122-2025 FSC-klagomål.docx", "A 40122-2025")</f>
        <v/>
      </c>
      <c r="W620">
        <f>HYPERLINK("https://klasma.github.io/Logging_2560/klagomålsmail/A 40122-2025 FSC-klagomål mail.docx", "A 40122-2025")</f>
        <v/>
      </c>
      <c r="X620">
        <f>HYPERLINK("https://klasma.github.io/Logging_2560/tillsyn/A 40122-2025 tillsynsbegäran.docx", "A 40122-2025")</f>
        <v/>
      </c>
      <c r="Y620">
        <f>HYPERLINK("https://klasma.github.io/Logging_2560/tillsynsmail/A 40122-2025 tillsynsbegäran mail.docx", "A 40122-2025")</f>
        <v/>
      </c>
    </row>
    <row r="621" ht="15" customHeight="1">
      <c r="A621" t="inlineStr">
        <is>
          <t>A 21183-2025</t>
        </is>
      </c>
      <c r="B621" s="1" t="n">
        <v>45779</v>
      </c>
      <c r="C621" s="1" t="n">
        <v>45895</v>
      </c>
      <c r="D621" t="inlineStr">
        <is>
          <t>NORRBOTTENS LÄN</t>
        </is>
      </c>
      <c r="E621" t="inlineStr">
        <is>
          <t>KIRUNA</t>
        </is>
      </c>
      <c r="G621" t="n">
        <v>31.9</v>
      </c>
      <c r="H621" t="n">
        <v>1</v>
      </c>
      <c r="I621" t="n">
        <v>0</v>
      </c>
      <c r="J621" t="n">
        <v>1</v>
      </c>
      <c r="K621" t="n">
        <v>0</v>
      </c>
      <c r="L621" t="n">
        <v>0</v>
      </c>
      <c r="M621" t="n">
        <v>0</v>
      </c>
      <c r="N621" t="n">
        <v>0</v>
      </c>
      <c r="O621" t="n">
        <v>1</v>
      </c>
      <c r="P621" t="n">
        <v>0</v>
      </c>
      <c r="Q621" t="n">
        <v>1</v>
      </c>
      <c r="R621" s="2" t="inlineStr">
        <is>
          <t>Venhavre</t>
        </is>
      </c>
      <c r="S621">
        <f>HYPERLINK("https://klasma.github.io/Logging_2584/artfynd/A 21183-2025 artfynd.xlsx", "A 21183-2025")</f>
        <v/>
      </c>
      <c r="T621">
        <f>HYPERLINK("https://klasma.github.io/Logging_2584/kartor/A 21183-2025 karta.png", "A 21183-2025")</f>
        <v/>
      </c>
      <c r="V621">
        <f>HYPERLINK("https://klasma.github.io/Logging_2584/klagomål/A 21183-2025 FSC-klagomål.docx", "A 21183-2025")</f>
        <v/>
      </c>
      <c r="W621">
        <f>HYPERLINK("https://klasma.github.io/Logging_2584/klagomålsmail/A 21183-2025 FSC-klagomål mail.docx", "A 21183-2025")</f>
        <v/>
      </c>
      <c r="X621">
        <f>HYPERLINK("https://klasma.github.io/Logging_2584/tillsyn/A 21183-2025 tillsynsbegäran.docx", "A 21183-2025")</f>
        <v/>
      </c>
      <c r="Y621">
        <f>HYPERLINK("https://klasma.github.io/Logging_2584/tillsynsmail/A 21183-2025 tillsynsbegäran mail.docx", "A 21183-2025")</f>
        <v/>
      </c>
    </row>
    <row r="622" ht="15" customHeight="1">
      <c r="A622" t="inlineStr">
        <is>
          <t>A 59847-2024</t>
        </is>
      </c>
      <c r="B622" s="1" t="n">
        <v>45639</v>
      </c>
      <c r="C622" s="1" t="n">
        <v>45895</v>
      </c>
      <c r="D622" t="inlineStr">
        <is>
          <t>NORRBOTTENS LÄN</t>
        </is>
      </c>
      <c r="E622" t="inlineStr">
        <is>
          <t>HAPARANDA</t>
        </is>
      </c>
      <c r="G622" t="n">
        <v>10.3</v>
      </c>
      <c r="H622" t="n">
        <v>0</v>
      </c>
      <c r="I622" t="n">
        <v>1</v>
      </c>
      <c r="J622" t="n">
        <v>0</v>
      </c>
      <c r="K622" t="n">
        <v>0</v>
      </c>
      <c r="L622" t="n">
        <v>0</v>
      </c>
      <c r="M622" t="n">
        <v>0</v>
      </c>
      <c r="N622" t="n">
        <v>0</v>
      </c>
      <c r="O622" t="n">
        <v>0</v>
      </c>
      <c r="P622" t="n">
        <v>0</v>
      </c>
      <c r="Q622" t="n">
        <v>1</v>
      </c>
      <c r="R622" s="2" t="inlineStr">
        <is>
          <t>Ögonpyrola</t>
        </is>
      </c>
      <c r="S622">
        <f>HYPERLINK("https://klasma.github.io/Logging_2583/artfynd/A 59847-2024 artfynd.xlsx", "A 59847-2024")</f>
        <v/>
      </c>
      <c r="T622">
        <f>HYPERLINK("https://klasma.github.io/Logging_2583/kartor/A 59847-2024 karta.png", "A 59847-2024")</f>
        <v/>
      </c>
      <c r="V622">
        <f>HYPERLINK("https://klasma.github.io/Logging_2583/klagomål/A 59847-2024 FSC-klagomål.docx", "A 59847-2024")</f>
        <v/>
      </c>
      <c r="W622">
        <f>HYPERLINK("https://klasma.github.io/Logging_2583/klagomålsmail/A 59847-2024 FSC-klagomål mail.docx", "A 59847-2024")</f>
        <v/>
      </c>
      <c r="X622">
        <f>HYPERLINK("https://klasma.github.io/Logging_2583/tillsyn/A 59847-2024 tillsynsbegäran.docx", "A 59847-2024")</f>
        <v/>
      </c>
      <c r="Y622">
        <f>HYPERLINK("https://klasma.github.io/Logging_2583/tillsynsmail/A 59847-2024 tillsynsbegäran mail.docx", "A 59847-2024")</f>
        <v/>
      </c>
    </row>
    <row r="623" ht="15" customHeight="1">
      <c r="A623" t="inlineStr">
        <is>
          <t>A 40116-2025</t>
        </is>
      </c>
      <c r="B623" s="1" t="n">
        <v>45894.51512731481</v>
      </c>
      <c r="C623" s="1" t="n">
        <v>45895</v>
      </c>
      <c r="D623" t="inlineStr">
        <is>
          <t>NORRBOTTENS LÄN</t>
        </is>
      </c>
      <c r="E623" t="inlineStr">
        <is>
          <t>ÖVERKALIX</t>
        </is>
      </c>
      <c r="F623" t="inlineStr">
        <is>
          <t>Sveaskog</t>
        </is>
      </c>
      <c r="G623" t="n">
        <v>29.7</v>
      </c>
      <c r="H623" t="n">
        <v>0</v>
      </c>
      <c r="I623" t="n">
        <v>0</v>
      </c>
      <c r="J623" t="n">
        <v>1</v>
      </c>
      <c r="K623" t="n">
        <v>0</v>
      </c>
      <c r="L623" t="n">
        <v>0</v>
      </c>
      <c r="M623" t="n">
        <v>0</v>
      </c>
      <c r="N623" t="n">
        <v>0</v>
      </c>
      <c r="O623" t="n">
        <v>1</v>
      </c>
      <c r="P623" t="n">
        <v>0</v>
      </c>
      <c r="Q623" t="n">
        <v>1</v>
      </c>
      <c r="R623" s="2" t="inlineStr">
        <is>
          <t>Skrovellav</t>
        </is>
      </c>
      <c r="S623">
        <f>HYPERLINK("https://klasma.github.io/Logging_2513/artfynd/A 40116-2025 artfynd.xlsx", "A 40116-2025")</f>
        <v/>
      </c>
      <c r="T623">
        <f>HYPERLINK("https://klasma.github.io/Logging_2513/kartor/A 40116-2025 karta.png", "A 40116-2025")</f>
        <v/>
      </c>
      <c r="V623">
        <f>HYPERLINK("https://klasma.github.io/Logging_2513/klagomål/A 40116-2025 FSC-klagomål.docx", "A 40116-2025")</f>
        <v/>
      </c>
      <c r="W623">
        <f>HYPERLINK("https://klasma.github.io/Logging_2513/klagomålsmail/A 40116-2025 FSC-klagomål mail.docx", "A 40116-2025")</f>
        <v/>
      </c>
      <c r="X623">
        <f>HYPERLINK("https://klasma.github.io/Logging_2513/tillsyn/A 40116-2025 tillsynsbegäran.docx", "A 40116-2025")</f>
        <v/>
      </c>
      <c r="Y623">
        <f>HYPERLINK("https://klasma.github.io/Logging_2513/tillsynsmail/A 40116-2025 tillsynsbegäran mail.docx", "A 40116-2025")</f>
        <v/>
      </c>
    </row>
    <row r="624" ht="15" customHeight="1">
      <c r="A624" t="inlineStr">
        <is>
          <t>A 36743-2024</t>
        </is>
      </c>
      <c r="B624" s="1" t="n">
        <v>45538</v>
      </c>
      <c r="C624" s="1" t="n">
        <v>45895</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40463-2023</t>
        </is>
      </c>
      <c r="B625" s="1" t="n">
        <v>45170</v>
      </c>
      <c r="C625" s="1" t="n">
        <v>45895</v>
      </c>
      <c r="D625" t="inlineStr">
        <is>
          <t>NORRBOTTENS LÄN</t>
        </is>
      </c>
      <c r="E625" t="inlineStr">
        <is>
          <t>ÄLVSBYN</t>
        </is>
      </c>
      <c r="F625" t="inlineStr">
        <is>
          <t>Sveaskog</t>
        </is>
      </c>
      <c r="G625" t="n">
        <v>5.3</v>
      </c>
      <c r="H625" t="n">
        <v>0</v>
      </c>
      <c r="I625" t="n">
        <v>0</v>
      </c>
      <c r="J625" t="n">
        <v>1</v>
      </c>
      <c r="K625" t="n">
        <v>0</v>
      </c>
      <c r="L625" t="n">
        <v>0</v>
      </c>
      <c r="M625" t="n">
        <v>0</v>
      </c>
      <c r="N625" t="n">
        <v>0</v>
      </c>
      <c r="O625" t="n">
        <v>1</v>
      </c>
      <c r="P625" t="n">
        <v>0</v>
      </c>
      <c r="Q625" t="n">
        <v>1</v>
      </c>
      <c r="R625" s="2" t="inlineStr">
        <is>
          <t>Lunglav</t>
        </is>
      </c>
      <c r="S625">
        <f>HYPERLINK("https://klasma.github.io/Logging_2560/artfynd/A 40463-2023 artfynd.xlsx", "A 40463-2023")</f>
        <v/>
      </c>
      <c r="T625">
        <f>HYPERLINK("https://klasma.github.io/Logging_2560/kartor/A 40463-2023 karta.png", "A 40463-2023")</f>
        <v/>
      </c>
      <c r="V625">
        <f>HYPERLINK("https://klasma.github.io/Logging_2560/klagomål/A 40463-2023 FSC-klagomål.docx", "A 40463-2023")</f>
        <v/>
      </c>
      <c r="W625">
        <f>HYPERLINK("https://klasma.github.io/Logging_2560/klagomålsmail/A 40463-2023 FSC-klagomål mail.docx", "A 40463-2023")</f>
        <v/>
      </c>
      <c r="X625">
        <f>HYPERLINK("https://klasma.github.io/Logging_2560/tillsyn/A 40463-2023 tillsynsbegäran.docx", "A 40463-2023")</f>
        <v/>
      </c>
      <c r="Y625">
        <f>HYPERLINK("https://klasma.github.io/Logging_2560/tillsynsmail/A 40463-2023 tillsynsbegäran mail.docx", "A 40463-2023")</f>
        <v/>
      </c>
    </row>
    <row r="626" ht="15" customHeight="1">
      <c r="A626" t="inlineStr">
        <is>
          <t>A 26503-2025</t>
        </is>
      </c>
      <c r="B626" s="1" t="n">
        <v>45807</v>
      </c>
      <c r="C626" s="1" t="n">
        <v>45895</v>
      </c>
      <c r="D626" t="inlineStr">
        <is>
          <t>NORRBOTTENS LÄN</t>
        </is>
      </c>
      <c r="E626" t="inlineStr">
        <is>
          <t>ARJEPLOG</t>
        </is>
      </c>
      <c r="G626" t="n">
        <v>21.6</v>
      </c>
      <c r="H626" t="n">
        <v>1</v>
      </c>
      <c r="I626" t="n">
        <v>0</v>
      </c>
      <c r="J626" t="n">
        <v>0</v>
      </c>
      <c r="K626" t="n">
        <v>0</v>
      </c>
      <c r="L626" t="n">
        <v>1</v>
      </c>
      <c r="M626" t="n">
        <v>0</v>
      </c>
      <c r="N626" t="n">
        <v>0</v>
      </c>
      <c r="O626" t="n">
        <v>1</v>
      </c>
      <c r="P626" t="n">
        <v>1</v>
      </c>
      <c r="Q626" t="n">
        <v>1</v>
      </c>
      <c r="R626" s="2" t="inlineStr">
        <is>
          <t>Bergand</t>
        </is>
      </c>
      <c r="S626">
        <f>HYPERLINK("https://klasma.github.io/Logging_2506/artfynd/A 26503-2025 artfynd.xlsx", "A 26503-2025")</f>
        <v/>
      </c>
      <c r="T626">
        <f>HYPERLINK("https://klasma.github.io/Logging_2506/kartor/A 26503-2025 karta.png", "A 26503-2025")</f>
        <v/>
      </c>
      <c r="V626">
        <f>HYPERLINK("https://klasma.github.io/Logging_2506/klagomål/A 26503-2025 FSC-klagomål.docx", "A 26503-2025")</f>
        <v/>
      </c>
      <c r="W626">
        <f>HYPERLINK("https://klasma.github.io/Logging_2506/klagomålsmail/A 26503-2025 FSC-klagomål mail.docx", "A 26503-2025")</f>
        <v/>
      </c>
      <c r="X626">
        <f>HYPERLINK("https://klasma.github.io/Logging_2506/tillsyn/A 26503-2025 tillsynsbegäran.docx", "A 26503-2025")</f>
        <v/>
      </c>
      <c r="Y626">
        <f>HYPERLINK("https://klasma.github.io/Logging_2506/tillsynsmail/A 26503-2025 tillsynsbegäran mail.docx", "A 26503-2025")</f>
        <v/>
      </c>
    </row>
    <row r="627" ht="15" customHeight="1">
      <c r="A627" t="inlineStr">
        <is>
          <t>A 18052-2025</t>
        </is>
      </c>
      <c r="B627" s="1" t="n">
        <v>45761</v>
      </c>
      <c r="C627" s="1" t="n">
        <v>45895</v>
      </c>
      <c r="D627" t="inlineStr">
        <is>
          <t>NORRBOTTENS LÄN</t>
        </is>
      </c>
      <c r="E627" t="inlineStr">
        <is>
          <t>PITEÅ</t>
        </is>
      </c>
      <c r="G627" t="n">
        <v>2.3</v>
      </c>
      <c r="H627" t="n">
        <v>0</v>
      </c>
      <c r="I627" t="n">
        <v>0</v>
      </c>
      <c r="J627" t="n">
        <v>1</v>
      </c>
      <c r="K627" t="n">
        <v>0</v>
      </c>
      <c r="L627" t="n">
        <v>0</v>
      </c>
      <c r="M627" t="n">
        <v>0</v>
      </c>
      <c r="N627" t="n">
        <v>0</v>
      </c>
      <c r="O627" t="n">
        <v>1</v>
      </c>
      <c r="P627" t="n">
        <v>0</v>
      </c>
      <c r="Q627" t="n">
        <v>1</v>
      </c>
      <c r="R627" s="2" t="inlineStr">
        <is>
          <t>Tallticka</t>
        </is>
      </c>
      <c r="S627">
        <f>HYPERLINK("https://klasma.github.io/Logging_2581/artfynd/A 18052-2025 artfynd.xlsx", "A 18052-2025")</f>
        <v/>
      </c>
      <c r="T627">
        <f>HYPERLINK("https://klasma.github.io/Logging_2581/kartor/A 18052-2025 karta.png", "A 18052-2025")</f>
        <v/>
      </c>
      <c r="V627">
        <f>HYPERLINK("https://klasma.github.io/Logging_2581/klagomål/A 18052-2025 FSC-klagomål.docx", "A 18052-2025")</f>
        <v/>
      </c>
      <c r="W627">
        <f>HYPERLINK("https://klasma.github.io/Logging_2581/klagomålsmail/A 18052-2025 FSC-klagomål mail.docx", "A 18052-2025")</f>
        <v/>
      </c>
      <c r="X627">
        <f>HYPERLINK("https://klasma.github.io/Logging_2581/tillsyn/A 18052-2025 tillsynsbegäran.docx", "A 18052-2025")</f>
        <v/>
      </c>
      <c r="Y627">
        <f>HYPERLINK("https://klasma.github.io/Logging_2581/tillsynsmail/A 18052-2025 tillsynsbegäran mail.docx", "A 18052-2025")</f>
        <v/>
      </c>
    </row>
    <row r="628" ht="15" customHeight="1">
      <c r="A628" t="inlineStr">
        <is>
          <t>A 60002-2024</t>
        </is>
      </c>
      <c r="B628" s="1" t="n">
        <v>45642.41423611111</v>
      </c>
      <c r="C628" s="1" t="n">
        <v>45895</v>
      </c>
      <c r="D628" t="inlineStr">
        <is>
          <t>NORRBOTTENS LÄN</t>
        </is>
      </c>
      <c r="E628" t="inlineStr">
        <is>
          <t>LULEÅ</t>
        </is>
      </c>
      <c r="G628" t="n">
        <v>5</v>
      </c>
      <c r="H628" t="n">
        <v>1</v>
      </c>
      <c r="I628" t="n">
        <v>0</v>
      </c>
      <c r="J628" t="n">
        <v>0</v>
      </c>
      <c r="K628" t="n">
        <v>0</v>
      </c>
      <c r="L628" t="n">
        <v>0</v>
      </c>
      <c r="M628" t="n">
        <v>0</v>
      </c>
      <c r="N628" t="n">
        <v>0</v>
      </c>
      <c r="O628" t="n">
        <v>0</v>
      </c>
      <c r="P628" t="n">
        <v>0</v>
      </c>
      <c r="Q628" t="n">
        <v>1</v>
      </c>
      <c r="R628" s="2" t="inlineStr">
        <is>
          <t>Fläcknycklar</t>
        </is>
      </c>
      <c r="S628">
        <f>HYPERLINK("https://klasma.github.io/Logging_2580/artfynd/A 60002-2024 artfynd.xlsx", "A 60002-2024")</f>
        <v/>
      </c>
      <c r="T628">
        <f>HYPERLINK("https://klasma.github.io/Logging_2580/kartor/A 60002-2024 karta.png", "A 60002-2024")</f>
        <v/>
      </c>
      <c r="V628">
        <f>HYPERLINK("https://klasma.github.io/Logging_2580/klagomål/A 60002-2024 FSC-klagomål.docx", "A 60002-2024")</f>
        <v/>
      </c>
      <c r="W628">
        <f>HYPERLINK("https://klasma.github.io/Logging_2580/klagomålsmail/A 60002-2024 FSC-klagomål mail.docx", "A 60002-2024")</f>
        <v/>
      </c>
      <c r="X628">
        <f>HYPERLINK("https://klasma.github.io/Logging_2580/tillsyn/A 60002-2024 tillsynsbegäran.docx", "A 60002-2024")</f>
        <v/>
      </c>
      <c r="Y628">
        <f>HYPERLINK("https://klasma.github.io/Logging_2580/tillsynsmail/A 60002-2024 tillsynsbegäran mail.docx", "A 60002-2024")</f>
        <v/>
      </c>
    </row>
    <row r="629" ht="15" customHeight="1">
      <c r="A629" t="inlineStr">
        <is>
          <t>A 739-2025</t>
        </is>
      </c>
      <c r="B629" s="1" t="n">
        <v>45664</v>
      </c>
      <c r="C629" s="1" t="n">
        <v>45895</v>
      </c>
      <c r="D629" t="inlineStr">
        <is>
          <t>NORRBOTTENS LÄN</t>
        </is>
      </c>
      <c r="E629" t="inlineStr">
        <is>
          <t>LULEÅ</t>
        </is>
      </c>
      <c r="G629" t="n">
        <v>1.8</v>
      </c>
      <c r="H629" t="n">
        <v>0</v>
      </c>
      <c r="I629" t="n">
        <v>0</v>
      </c>
      <c r="J629" t="n">
        <v>1</v>
      </c>
      <c r="K629" t="n">
        <v>0</v>
      </c>
      <c r="L629" t="n">
        <v>0</v>
      </c>
      <c r="M629" t="n">
        <v>0</v>
      </c>
      <c r="N629" t="n">
        <v>0</v>
      </c>
      <c r="O629" t="n">
        <v>1</v>
      </c>
      <c r="P629" t="n">
        <v>0</v>
      </c>
      <c r="Q629" t="n">
        <v>1</v>
      </c>
      <c r="R629" s="2" t="inlineStr">
        <is>
          <t>Garnlav</t>
        </is>
      </c>
      <c r="S629">
        <f>HYPERLINK("https://klasma.github.io/Logging_2580/artfynd/A 739-2025 artfynd.xlsx", "A 739-2025")</f>
        <v/>
      </c>
      <c r="T629">
        <f>HYPERLINK("https://klasma.github.io/Logging_2580/kartor/A 739-2025 karta.png", "A 739-2025")</f>
        <v/>
      </c>
      <c r="U629">
        <f>HYPERLINK("https://klasma.github.io/Logging_2580/knärot/A 739-2025 karta knärot.png", "A 739-2025")</f>
        <v/>
      </c>
      <c r="V629">
        <f>HYPERLINK("https://klasma.github.io/Logging_2580/klagomål/A 739-2025 FSC-klagomål.docx", "A 739-2025")</f>
        <v/>
      </c>
      <c r="W629">
        <f>HYPERLINK("https://klasma.github.io/Logging_2580/klagomålsmail/A 739-2025 FSC-klagomål mail.docx", "A 739-2025")</f>
        <v/>
      </c>
      <c r="X629">
        <f>HYPERLINK("https://klasma.github.io/Logging_2580/tillsyn/A 739-2025 tillsynsbegäran.docx", "A 739-2025")</f>
        <v/>
      </c>
      <c r="Y629">
        <f>HYPERLINK("https://klasma.github.io/Logging_2580/tillsynsmail/A 739-2025 tillsynsbegäran mail.docx", "A 739-2025")</f>
        <v/>
      </c>
    </row>
    <row r="630" ht="15" customHeight="1">
      <c r="A630" t="inlineStr">
        <is>
          <t>A 50377-2023</t>
        </is>
      </c>
      <c r="B630" s="1" t="n">
        <v>45216.62158564815</v>
      </c>
      <c r="C630" s="1" t="n">
        <v>45895</v>
      </c>
      <c r="D630" t="inlineStr">
        <is>
          <t>NORRBOTTENS LÄN</t>
        </is>
      </c>
      <c r="E630" t="inlineStr">
        <is>
          <t>PAJALA</t>
        </is>
      </c>
      <c r="F630" t="inlineStr">
        <is>
          <t>Sveaskog</t>
        </is>
      </c>
      <c r="G630" t="n">
        <v>2.6</v>
      </c>
      <c r="H630" t="n">
        <v>0</v>
      </c>
      <c r="I630" t="n">
        <v>0</v>
      </c>
      <c r="J630" t="n">
        <v>1</v>
      </c>
      <c r="K630" t="n">
        <v>0</v>
      </c>
      <c r="L630" t="n">
        <v>0</v>
      </c>
      <c r="M630" t="n">
        <v>0</v>
      </c>
      <c r="N630" t="n">
        <v>0</v>
      </c>
      <c r="O630" t="n">
        <v>1</v>
      </c>
      <c r="P630" t="n">
        <v>0</v>
      </c>
      <c r="Q630" t="n">
        <v>1</v>
      </c>
      <c r="R630" s="2" t="inlineStr">
        <is>
          <t>Motaggsvamp</t>
        </is>
      </c>
      <c r="S630">
        <f>HYPERLINK("https://klasma.github.io/Logging_2521/artfynd/A 50377-2023 artfynd.xlsx", "A 50377-2023")</f>
        <v/>
      </c>
      <c r="T630">
        <f>HYPERLINK("https://klasma.github.io/Logging_2521/kartor/A 50377-2023 karta.png", "A 50377-2023")</f>
        <v/>
      </c>
      <c r="V630">
        <f>HYPERLINK("https://klasma.github.io/Logging_2521/klagomål/A 50377-2023 FSC-klagomål.docx", "A 50377-2023")</f>
        <v/>
      </c>
      <c r="W630">
        <f>HYPERLINK("https://klasma.github.io/Logging_2521/klagomålsmail/A 50377-2023 FSC-klagomål mail.docx", "A 50377-2023")</f>
        <v/>
      </c>
      <c r="X630">
        <f>HYPERLINK("https://klasma.github.io/Logging_2521/tillsyn/A 50377-2023 tillsynsbegäran.docx", "A 50377-2023")</f>
        <v/>
      </c>
      <c r="Y630">
        <f>HYPERLINK("https://klasma.github.io/Logging_2521/tillsynsmail/A 50377-2023 tillsynsbegäran mail.docx", "A 50377-2023")</f>
        <v/>
      </c>
    </row>
    <row r="631" ht="15" customHeight="1">
      <c r="A631" t="inlineStr">
        <is>
          <t>A 51389-2023</t>
        </is>
      </c>
      <c r="B631" s="1" t="n">
        <v>45213</v>
      </c>
      <c r="C631" s="1" t="n">
        <v>45895</v>
      </c>
      <c r="D631" t="inlineStr">
        <is>
          <t>NORRBOTTENS LÄN</t>
        </is>
      </c>
      <c r="E631" t="inlineStr">
        <is>
          <t>GÄLLIVARE</t>
        </is>
      </c>
      <c r="G631" t="n">
        <v>4.5</v>
      </c>
      <c r="H631" t="n">
        <v>1</v>
      </c>
      <c r="I631" t="n">
        <v>0</v>
      </c>
      <c r="J631" t="n">
        <v>1</v>
      </c>
      <c r="K631" t="n">
        <v>0</v>
      </c>
      <c r="L631" t="n">
        <v>0</v>
      </c>
      <c r="M631" t="n">
        <v>0</v>
      </c>
      <c r="N631" t="n">
        <v>0</v>
      </c>
      <c r="O631" t="n">
        <v>1</v>
      </c>
      <c r="P631" t="n">
        <v>0</v>
      </c>
      <c r="Q631" t="n">
        <v>1</v>
      </c>
      <c r="R631" s="2" t="inlineStr">
        <is>
          <t>Spillkråka</t>
        </is>
      </c>
      <c r="S631">
        <f>HYPERLINK("https://klasma.github.io/Logging_2523/artfynd/A 51389-2023 artfynd.xlsx", "A 51389-2023")</f>
        <v/>
      </c>
      <c r="T631">
        <f>HYPERLINK("https://klasma.github.io/Logging_2523/kartor/A 51389-2023 karta.png", "A 51389-2023")</f>
        <v/>
      </c>
      <c r="V631">
        <f>HYPERLINK("https://klasma.github.io/Logging_2523/klagomål/A 51389-2023 FSC-klagomål.docx", "A 51389-2023")</f>
        <v/>
      </c>
      <c r="W631">
        <f>HYPERLINK("https://klasma.github.io/Logging_2523/klagomålsmail/A 51389-2023 FSC-klagomål mail.docx", "A 51389-2023")</f>
        <v/>
      </c>
      <c r="X631">
        <f>HYPERLINK("https://klasma.github.io/Logging_2523/tillsyn/A 51389-2023 tillsynsbegäran.docx", "A 51389-2023")</f>
        <v/>
      </c>
      <c r="Y631">
        <f>HYPERLINK("https://klasma.github.io/Logging_2523/tillsynsmail/A 51389-2023 tillsynsbegäran mail.docx", "A 51389-2023")</f>
        <v/>
      </c>
      <c r="Z631">
        <f>HYPERLINK("https://klasma.github.io/Logging_2523/fåglar/A 51389-2023 prioriterade fågelarter.docx", "A 51389-2023")</f>
        <v/>
      </c>
    </row>
    <row r="632" ht="15" customHeight="1">
      <c r="A632" t="inlineStr">
        <is>
          <t>A 57140-2024</t>
        </is>
      </c>
      <c r="B632" s="1" t="n">
        <v>45629</v>
      </c>
      <c r="C632" s="1" t="n">
        <v>45895</v>
      </c>
      <c r="D632" t="inlineStr">
        <is>
          <t>NORRBOTTENS LÄN</t>
        </is>
      </c>
      <c r="E632" t="inlineStr">
        <is>
          <t>ÄLVSBYN</t>
        </is>
      </c>
      <c r="G632" t="n">
        <v>2.6</v>
      </c>
      <c r="H632" t="n">
        <v>1</v>
      </c>
      <c r="I632" t="n">
        <v>0</v>
      </c>
      <c r="J632" t="n">
        <v>0</v>
      </c>
      <c r="K632" t="n">
        <v>0</v>
      </c>
      <c r="L632" t="n">
        <v>0</v>
      </c>
      <c r="M632" t="n">
        <v>0</v>
      </c>
      <c r="N632" t="n">
        <v>0</v>
      </c>
      <c r="O632" t="n">
        <v>0</v>
      </c>
      <c r="P632" t="n">
        <v>0</v>
      </c>
      <c r="Q632" t="n">
        <v>1</v>
      </c>
      <c r="R632" s="2" t="inlineStr">
        <is>
          <t>Fläcknycklar</t>
        </is>
      </c>
      <c r="S632">
        <f>HYPERLINK("https://klasma.github.io/Logging_2560/artfynd/A 57140-2024 artfynd.xlsx", "A 57140-2024")</f>
        <v/>
      </c>
      <c r="T632">
        <f>HYPERLINK("https://klasma.github.io/Logging_2560/kartor/A 57140-2024 karta.png", "A 57140-2024")</f>
        <v/>
      </c>
      <c r="V632">
        <f>HYPERLINK("https://klasma.github.io/Logging_2560/klagomål/A 57140-2024 FSC-klagomål.docx", "A 57140-2024")</f>
        <v/>
      </c>
      <c r="W632">
        <f>HYPERLINK("https://klasma.github.io/Logging_2560/klagomålsmail/A 57140-2024 FSC-klagomål mail.docx", "A 57140-2024")</f>
        <v/>
      </c>
      <c r="X632">
        <f>HYPERLINK("https://klasma.github.io/Logging_2560/tillsyn/A 57140-2024 tillsynsbegäran.docx", "A 57140-2024")</f>
        <v/>
      </c>
      <c r="Y632">
        <f>HYPERLINK("https://klasma.github.io/Logging_2560/tillsynsmail/A 57140-2024 tillsynsbegäran mail.docx", "A 57140-2024")</f>
        <v/>
      </c>
    </row>
    <row r="633" ht="15" customHeight="1">
      <c r="A633" t="inlineStr">
        <is>
          <t>A 20087-2024</t>
        </is>
      </c>
      <c r="B633" s="1" t="n">
        <v>45434.45416666667</v>
      </c>
      <c r="C633" s="1" t="n">
        <v>45895</v>
      </c>
      <c r="D633" t="inlineStr">
        <is>
          <t>NORRBOTTENS LÄN</t>
        </is>
      </c>
      <c r="E633" t="inlineStr">
        <is>
          <t>PITEÅ</t>
        </is>
      </c>
      <c r="G633" t="n">
        <v>4.3</v>
      </c>
      <c r="H633" t="n">
        <v>0</v>
      </c>
      <c r="I633" t="n">
        <v>0</v>
      </c>
      <c r="J633" t="n">
        <v>1</v>
      </c>
      <c r="K633" t="n">
        <v>0</v>
      </c>
      <c r="L633" t="n">
        <v>0</v>
      </c>
      <c r="M633" t="n">
        <v>0</v>
      </c>
      <c r="N633" t="n">
        <v>0</v>
      </c>
      <c r="O633" t="n">
        <v>1</v>
      </c>
      <c r="P633" t="n">
        <v>0</v>
      </c>
      <c r="Q633" t="n">
        <v>1</v>
      </c>
      <c r="R633" s="2" t="inlineStr">
        <is>
          <t>Gammelgransskål</t>
        </is>
      </c>
      <c r="S633">
        <f>HYPERLINK("https://klasma.github.io/Logging_2581/artfynd/A 20087-2024 artfynd.xlsx", "A 20087-2024")</f>
        <v/>
      </c>
      <c r="T633">
        <f>HYPERLINK("https://klasma.github.io/Logging_2581/kartor/A 20087-2024 karta.png", "A 20087-2024")</f>
        <v/>
      </c>
      <c r="V633">
        <f>HYPERLINK("https://klasma.github.io/Logging_2581/klagomål/A 20087-2024 FSC-klagomål.docx", "A 20087-2024")</f>
        <v/>
      </c>
      <c r="W633">
        <f>HYPERLINK("https://klasma.github.io/Logging_2581/klagomålsmail/A 20087-2024 FSC-klagomål mail.docx", "A 20087-2024")</f>
        <v/>
      </c>
      <c r="X633">
        <f>HYPERLINK("https://klasma.github.io/Logging_2581/tillsyn/A 20087-2024 tillsynsbegäran.docx", "A 20087-2024")</f>
        <v/>
      </c>
      <c r="Y633">
        <f>HYPERLINK("https://klasma.github.io/Logging_2581/tillsynsmail/A 20087-2024 tillsynsbegäran mail.docx", "A 20087-2024")</f>
        <v/>
      </c>
    </row>
    <row r="634" ht="15" customHeight="1">
      <c r="A634" t="inlineStr">
        <is>
          <t>A 58032-2024</t>
        </is>
      </c>
      <c r="B634" s="1" t="n">
        <v>45631.7077199074</v>
      </c>
      <c r="C634" s="1" t="n">
        <v>45895</v>
      </c>
      <c r="D634" t="inlineStr">
        <is>
          <t>NORRBOTTENS LÄN</t>
        </is>
      </c>
      <c r="E634" t="inlineStr">
        <is>
          <t>PITEÅ</t>
        </is>
      </c>
      <c r="G634" t="n">
        <v>1.2</v>
      </c>
      <c r="H634" t="n">
        <v>0</v>
      </c>
      <c r="I634" t="n">
        <v>0</v>
      </c>
      <c r="J634" t="n">
        <v>1</v>
      </c>
      <c r="K634" t="n">
        <v>0</v>
      </c>
      <c r="L634" t="n">
        <v>0</v>
      </c>
      <c r="M634" t="n">
        <v>0</v>
      </c>
      <c r="N634" t="n">
        <v>0</v>
      </c>
      <c r="O634" t="n">
        <v>1</v>
      </c>
      <c r="P634" t="n">
        <v>0</v>
      </c>
      <c r="Q634" t="n">
        <v>1</v>
      </c>
      <c r="R634" s="2" t="inlineStr">
        <is>
          <t>Granticka</t>
        </is>
      </c>
      <c r="S634">
        <f>HYPERLINK("https://klasma.github.io/Logging_2581/artfynd/A 58032-2024 artfynd.xlsx", "A 58032-2024")</f>
        <v/>
      </c>
      <c r="T634">
        <f>HYPERLINK("https://klasma.github.io/Logging_2581/kartor/A 58032-2024 karta.png", "A 58032-2024")</f>
        <v/>
      </c>
      <c r="V634">
        <f>HYPERLINK("https://klasma.github.io/Logging_2581/klagomål/A 58032-2024 FSC-klagomål.docx", "A 58032-2024")</f>
        <v/>
      </c>
      <c r="W634">
        <f>HYPERLINK("https://klasma.github.io/Logging_2581/klagomålsmail/A 58032-2024 FSC-klagomål mail.docx", "A 58032-2024")</f>
        <v/>
      </c>
      <c r="X634">
        <f>HYPERLINK("https://klasma.github.io/Logging_2581/tillsyn/A 58032-2024 tillsynsbegäran.docx", "A 58032-2024")</f>
        <v/>
      </c>
      <c r="Y634">
        <f>HYPERLINK("https://klasma.github.io/Logging_2581/tillsynsmail/A 58032-2024 tillsynsbegäran mail.docx", "A 58032-2024")</f>
        <v/>
      </c>
    </row>
    <row r="635" ht="15" customHeight="1">
      <c r="A635" t="inlineStr">
        <is>
          <t>A 3779-2021</t>
        </is>
      </c>
      <c r="B635" s="1" t="n">
        <v>44217</v>
      </c>
      <c r="C635" s="1" t="n">
        <v>45895</v>
      </c>
      <c r="D635" t="inlineStr">
        <is>
          <t>NORRBOTTENS LÄN</t>
        </is>
      </c>
      <c r="E635" t="inlineStr">
        <is>
          <t>BODEN</t>
        </is>
      </c>
      <c r="G635" t="n">
        <v>1.1</v>
      </c>
      <c r="H635" t="n">
        <v>0</v>
      </c>
      <c r="I635" t="n">
        <v>0</v>
      </c>
      <c r="J635" t="n">
        <v>0</v>
      </c>
      <c r="K635" t="n">
        <v>0</v>
      </c>
      <c r="L635" t="n">
        <v>0</v>
      </c>
      <c r="M635" t="n">
        <v>0</v>
      </c>
      <c r="N635" t="n">
        <v>0</v>
      </c>
      <c r="O635" t="n">
        <v>0</v>
      </c>
      <c r="P635" t="n">
        <v>0</v>
      </c>
      <c r="Q635" t="n">
        <v>0</v>
      </c>
      <c r="R635" s="2" t="inlineStr"/>
    </row>
    <row r="636" ht="15" customHeight="1">
      <c r="A636" t="inlineStr">
        <is>
          <t>A 30542-2021</t>
        </is>
      </c>
      <c r="B636" s="1" t="n">
        <v>44364</v>
      </c>
      <c r="C636" s="1" t="n">
        <v>45895</v>
      </c>
      <c r="D636" t="inlineStr">
        <is>
          <t>NORRBOTTENS LÄN</t>
        </is>
      </c>
      <c r="E636" t="inlineStr">
        <is>
          <t>PAJALA</t>
        </is>
      </c>
      <c r="G636" t="n">
        <v>2.4</v>
      </c>
      <c r="H636" t="n">
        <v>0</v>
      </c>
      <c r="I636" t="n">
        <v>0</v>
      </c>
      <c r="J636" t="n">
        <v>0</v>
      </c>
      <c r="K636" t="n">
        <v>0</v>
      </c>
      <c r="L636" t="n">
        <v>0</v>
      </c>
      <c r="M636" t="n">
        <v>0</v>
      </c>
      <c r="N636" t="n">
        <v>0</v>
      </c>
      <c r="O636" t="n">
        <v>0</v>
      </c>
      <c r="P636" t="n">
        <v>0</v>
      </c>
      <c r="Q636" t="n">
        <v>0</v>
      </c>
      <c r="R636" s="2" t="inlineStr"/>
    </row>
    <row r="637" ht="15" customHeight="1">
      <c r="A637" t="inlineStr">
        <is>
          <t>A 32819-2021</t>
        </is>
      </c>
      <c r="B637" s="1" t="n">
        <v>44375</v>
      </c>
      <c r="C637" s="1" t="n">
        <v>45895</v>
      </c>
      <c r="D637" t="inlineStr">
        <is>
          <t>NORRBOTTENS LÄN</t>
        </is>
      </c>
      <c r="E637" t="inlineStr">
        <is>
          <t>KIRUNA</t>
        </is>
      </c>
      <c r="G637" t="n">
        <v>8.9</v>
      </c>
      <c r="H637" t="n">
        <v>0</v>
      </c>
      <c r="I637" t="n">
        <v>0</v>
      </c>
      <c r="J637" t="n">
        <v>0</v>
      </c>
      <c r="K637" t="n">
        <v>0</v>
      </c>
      <c r="L637" t="n">
        <v>0</v>
      </c>
      <c r="M637" t="n">
        <v>0</v>
      </c>
      <c r="N637" t="n">
        <v>0</v>
      </c>
      <c r="O637" t="n">
        <v>0</v>
      </c>
      <c r="P637" t="n">
        <v>0</v>
      </c>
      <c r="Q637" t="n">
        <v>0</v>
      </c>
      <c r="R637" s="2" t="inlineStr"/>
    </row>
    <row r="638" ht="15" customHeight="1">
      <c r="A638" t="inlineStr">
        <is>
          <t>A 19459-2022</t>
        </is>
      </c>
      <c r="B638" s="1" t="n">
        <v>44693.42863425926</v>
      </c>
      <c r="C638" s="1" t="n">
        <v>45895</v>
      </c>
      <c r="D638" t="inlineStr">
        <is>
          <t>NORRBOTTENS LÄN</t>
        </is>
      </c>
      <c r="E638" t="inlineStr">
        <is>
          <t>ÄLVSBYN</t>
        </is>
      </c>
      <c r="G638" t="n">
        <v>7.5</v>
      </c>
      <c r="H638" t="n">
        <v>0</v>
      </c>
      <c r="I638" t="n">
        <v>0</v>
      </c>
      <c r="J638" t="n">
        <v>0</v>
      </c>
      <c r="K638" t="n">
        <v>0</v>
      </c>
      <c r="L638" t="n">
        <v>0</v>
      </c>
      <c r="M638" t="n">
        <v>0</v>
      </c>
      <c r="N638" t="n">
        <v>0</v>
      </c>
      <c r="O638" t="n">
        <v>0</v>
      </c>
      <c r="P638" t="n">
        <v>0</v>
      </c>
      <c r="Q638" t="n">
        <v>0</v>
      </c>
      <c r="R638" s="2" t="inlineStr"/>
    </row>
    <row r="639" ht="15" customHeight="1">
      <c r="A639" t="inlineStr">
        <is>
          <t>A 48323-2022</t>
        </is>
      </c>
      <c r="B639" s="1" t="n">
        <v>44854</v>
      </c>
      <c r="C639" s="1" t="n">
        <v>45895</v>
      </c>
      <c r="D639" t="inlineStr">
        <is>
          <t>NORRBOTTENS LÄN</t>
        </is>
      </c>
      <c r="E639" t="inlineStr">
        <is>
          <t>LULEÅ</t>
        </is>
      </c>
      <c r="G639" t="n">
        <v>3.6</v>
      </c>
      <c r="H639" t="n">
        <v>0</v>
      </c>
      <c r="I639" t="n">
        <v>0</v>
      </c>
      <c r="J639" t="n">
        <v>0</v>
      </c>
      <c r="K639" t="n">
        <v>0</v>
      </c>
      <c r="L639" t="n">
        <v>0</v>
      </c>
      <c r="M639" t="n">
        <v>0</v>
      </c>
      <c r="N639" t="n">
        <v>0</v>
      </c>
      <c r="O639" t="n">
        <v>0</v>
      </c>
      <c r="P639" t="n">
        <v>0</v>
      </c>
      <c r="Q639" t="n">
        <v>0</v>
      </c>
      <c r="R639" s="2" t="inlineStr"/>
    </row>
    <row r="640" ht="15" customHeight="1">
      <c r="A640" t="inlineStr">
        <is>
          <t>A 1570-2021</t>
        </is>
      </c>
      <c r="B640" s="1" t="n">
        <v>44209</v>
      </c>
      <c r="C640" s="1" t="n">
        <v>45895</v>
      </c>
      <c r="D640" t="inlineStr">
        <is>
          <t>NORRBOTTENS LÄN</t>
        </is>
      </c>
      <c r="E640" t="inlineStr">
        <is>
          <t>KALIX</t>
        </is>
      </c>
      <c r="G640" t="n">
        <v>0.6</v>
      </c>
      <c r="H640" t="n">
        <v>0</v>
      </c>
      <c r="I640" t="n">
        <v>0</v>
      </c>
      <c r="J640" t="n">
        <v>0</v>
      </c>
      <c r="K640" t="n">
        <v>0</v>
      </c>
      <c r="L640" t="n">
        <v>0</v>
      </c>
      <c r="M640" t="n">
        <v>0</v>
      </c>
      <c r="N640" t="n">
        <v>0</v>
      </c>
      <c r="O640" t="n">
        <v>0</v>
      </c>
      <c r="P640" t="n">
        <v>0</v>
      </c>
      <c r="Q640" t="n">
        <v>0</v>
      </c>
      <c r="R640" s="2" t="inlineStr"/>
    </row>
    <row r="641" ht="15" customHeight="1">
      <c r="A641" t="inlineStr">
        <is>
          <t>A 49193-2022</t>
        </is>
      </c>
      <c r="B641" s="1" t="n">
        <v>44860.95483796296</v>
      </c>
      <c r="C641" s="1" t="n">
        <v>45895</v>
      </c>
      <c r="D641" t="inlineStr">
        <is>
          <t>NORRBOTTENS LÄN</t>
        </is>
      </c>
      <c r="E641" t="inlineStr">
        <is>
          <t>KALIX</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44294-2020</t>
        </is>
      </c>
      <c r="B642" s="1" t="n">
        <v>44084</v>
      </c>
      <c r="C642" s="1" t="n">
        <v>45895</v>
      </c>
      <c r="D642" t="inlineStr">
        <is>
          <t>NORRBOTTENS LÄN</t>
        </is>
      </c>
      <c r="E642" t="inlineStr">
        <is>
          <t>KALIX</t>
        </is>
      </c>
      <c r="G642" t="n">
        <v>3</v>
      </c>
      <c r="H642" t="n">
        <v>0</v>
      </c>
      <c r="I642" t="n">
        <v>0</v>
      </c>
      <c r="J642" t="n">
        <v>0</v>
      </c>
      <c r="K642" t="n">
        <v>0</v>
      </c>
      <c r="L642" t="n">
        <v>0</v>
      </c>
      <c r="M642" t="n">
        <v>0</v>
      </c>
      <c r="N642" t="n">
        <v>0</v>
      </c>
      <c r="O642" t="n">
        <v>0</v>
      </c>
      <c r="P642" t="n">
        <v>0</v>
      </c>
      <c r="Q642" t="n">
        <v>0</v>
      </c>
      <c r="R642" s="2" t="inlineStr"/>
    </row>
    <row r="643" ht="15" customHeight="1">
      <c r="A643" t="inlineStr">
        <is>
          <t>A 1087-2021</t>
        </is>
      </c>
      <c r="B643" s="1" t="n">
        <v>44207</v>
      </c>
      <c r="C643" s="1" t="n">
        <v>45895</v>
      </c>
      <c r="D643" t="inlineStr">
        <is>
          <t>NORRBOTTENS LÄN</t>
        </is>
      </c>
      <c r="E643" t="inlineStr">
        <is>
          <t>BODEN</t>
        </is>
      </c>
      <c r="G643" t="n">
        <v>1.1</v>
      </c>
      <c r="H643" t="n">
        <v>0</v>
      </c>
      <c r="I643" t="n">
        <v>0</v>
      </c>
      <c r="J643" t="n">
        <v>0</v>
      </c>
      <c r="K643" t="n">
        <v>0</v>
      </c>
      <c r="L643" t="n">
        <v>0</v>
      </c>
      <c r="M643" t="n">
        <v>0</v>
      </c>
      <c r="N643" t="n">
        <v>0</v>
      </c>
      <c r="O643" t="n">
        <v>0</v>
      </c>
      <c r="P643" t="n">
        <v>0</v>
      </c>
      <c r="Q643" t="n">
        <v>0</v>
      </c>
      <c r="R643" s="2" t="inlineStr"/>
    </row>
    <row r="644" ht="15" customHeight="1">
      <c r="A644" t="inlineStr">
        <is>
          <t>A 13861-2021</t>
        </is>
      </c>
      <c r="B644" s="1" t="n">
        <v>44277</v>
      </c>
      <c r="C644" s="1" t="n">
        <v>45895</v>
      </c>
      <c r="D644" t="inlineStr">
        <is>
          <t>NORRBOTTENS LÄN</t>
        </is>
      </c>
      <c r="E644" t="inlineStr">
        <is>
          <t>ÖVERTORNEÅ</t>
        </is>
      </c>
      <c r="G644" t="n">
        <v>7.2</v>
      </c>
      <c r="H644" t="n">
        <v>0</v>
      </c>
      <c r="I644" t="n">
        <v>0</v>
      </c>
      <c r="J644" t="n">
        <v>0</v>
      </c>
      <c r="K644" t="n">
        <v>0</v>
      </c>
      <c r="L644" t="n">
        <v>0</v>
      </c>
      <c r="M644" t="n">
        <v>0</v>
      </c>
      <c r="N644" t="n">
        <v>0</v>
      </c>
      <c r="O644" t="n">
        <v>0</v>
      </c>
      <c r="P644" t="n">
        <v>0</v>
      </c>
      <c r="Q644" t="n">
        <v>0</v>
      </c>
      <c r="R644" s="2" t="inlineStr"/>
    </row>
    <row r="645" ht="15" customHeight="1">
      <c r="A645" t="inlineStr">
        <is>
          <t>A 52185-2022</t>
        </is>
      </c>
      <c r="B645" s="1" t="n">
        <v>44868</v>
      </c>
      <c r="C645" s="1" t="n">
        <v>45895</v>
      </c>
      <c r="D645" t="inlineStr">
        <is>
          <t>NORRBOTTENS LÄN</t>
        </is>
      </c>
      <c r="E645" t="inlineStr">
        <is>
          <t>LULEÅ</t>
        </is>
      </c>
      <c r="G645" t="n">
        <v>3</v>
      </c>
      <c r="H645" t="n">
        <v>0</v>
      </c>
      <c r="I645" t="n">
        <v>0</v>
      </c>
      <c r="J645" t="n">
        <v>0</v>
      </c>
      <c r="K645" t="n">
        <v>0</v>
      </c>
      <c r="L645" t="n">
        <v>0</v>
      </c>
      <c r="M645" t="n">
        <v>0</v>
      </c>
      <c r="N645" t="n">
        <v>0</v>
      </c>
      <c r="O645" t="n">
        <v>0</v>
      </c>
      <c r="P645" t="n">
        <v>0</v>
      </c>
      <c r="Q645" t="n">
        <v>0</v>
      </c>
      <c r="R645" s="2" t="inlineStr"/>
    </row>
    <row r="646" ht="15" customHeight="1">
      <c r="A646" t="inlineStr">
        <is>
          <t>A 8495-2021</t>
        </is>
      </c>
      <c r="B646" s="1" t="n">
        <v>44244</v>
      </c>
      <c r="C646" s="1" t="n">
        <v>45895</v>
      </c>
      <c r="D646" t="inlineStr">
        <is>
          <t>NORRBOTTENS LÄN</t>
        </is>
      </c>
      <c r="E646" t="inlineStr">
        <is>
          <t>ÖVERTORNEÅ</t>
        </is>
      </c>
      <c r="G646" t="n">
        <v>18.5</v>
      </c>
      <c r="H646" t="n">
        <v>0</v>
      </c>
      <c r="I646" t="n">
        <v>0</v>
      </c>
      <c r="J646" t="n">
        <v>0</v>
      </c>
      <c r="K646" t="n">
        <v>0</v>
      </c>
      <c r="L646" t="n">
        <v>0</v>
      </c>
      <c r="M646" t="n">
        <v>0</v>
      </c>
      <c r="N646" t="n">
        <v>0</v>
      </c>
      <c r="O646" t="n">
        <v>0</v>
      </c>
      <c r="P646" t="n">
        <v>0</v>
      </c>
      <c r="Q646" t="n">
        <v>0</v>
      </c>
      <c r="R646" s="2" t="inlineStr"/>
    </row>
    <row r="647" ht="15" customHeight="1">
      <c r="A647" t="inlineStr">
        <is>
          <t>A 41985-2020</t>
        </is>
      </c>
      <c r="B647" s="1" t="n">
        <v>44075</v>
      </c>
      <c r="C647" s="1" t="n">
        <v>45895</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50644-2022</t>
        </is>
      </c>
      <c r="B648" s="1" t="n">
        <v>44866.94907407407</v>
      </c>
      <c r="C648" s="1" t="n">
        <v>45895</v>
      </c>
      <c r="D648" t="inlineStr">
        <is>
          <t>NORRBOTTENS LÄN</t>
        </is>
      </c>
      <c r="E648" t="inlineStr">
        <is>
          <t>PITEÅ</t>
        </is>
      </c>
      <c r="F648" t="inlineStr">
        <is>
          <t>SCA</t>
        </is>
      </c>
      <c r="G648" t="n">
        <v>17.6</v>
      </c>
      <c r="H648" t="n">
        <v>0</v>
      </c>
      <c r="I648" t="n">
        <v>0</v>
      </c>
      <c r="J648" t="n">
        <v>0</v>
      </c>
      <c r="K648" t="n">
        <v>0</v>
      </c>
      <c r="L648" t="n">
        <v>0</v>
      </c>
      <c r="M648" t="n">
        <v>0</v>
      </c>
      <c r="N648" t="n">
        <v>0</v>
      </c>
      <c r="O648" t="n">
        <v>0</v>
      </c>
      <c r="P648" t="n">
        <v>0</v>
      </c>
      <c r="Q648" t="n">
        <v>0</v>
      </c>
      <c r="R648" s="2" t="inlineStr"/>
    </row>
    <row r="649" ht="15" customHeight="1">
      <c r="A649" t="inlineStr">
        <is>
          <t>A 62066-2020</t>
        </is>
      </c>
      <c r="B649" s="1" t="n">
        <v>44158</v>
      </c>
      <c r="C649" s="1" t="n">
        <v>45895</v>
      </c>
      <c r="D649" t="inlineStr">
        <is>
          <t>NORRBOTTENS LÄN</t>
        </is>
      </c>
      <c r="E649" t="inlineStr">
        <is>
          <t>BODEN</t>
        </is>
      </c>
      <c r="G649" t="n">
        <v>2.5</v>
      </c>
      <c r="H649" t="n">
        <v>0</v>
      </c>
      <c r="I649" t="n">
        <v>0</v>
      </c>
      <c r="J649" t="n">
        <v>0</v>
      </c>
      <c r="K649" t="n">
        <v>0</v>
      </c>
      <c r="L649" t="n">
        <v>0</v>
      </c>
      <c r="M649" t="n">
        <v>0</v>
      </c>
      <c r="N649" t="n">
        <v>0</v>
      </c>
      <c r="O649" t="n">
        <v>0</v>
      </c>
      <c r="P649" t="n">
        <v>0</v>
      </c>
      <c r="Q649" t="n">
        <v>0</v>
      </c>
      <c r="R649" s="2" t="inlineStr"/>
    </row>
    <row r="650" ht="15" customHeight="1">
      <c r="A650" t="inlineStr">
        <is>
          <t>A 42781-2020</t>
        </is>
      </c>
      <c r="B650" s="1" t="n">
        <v>44078</v>
      </c>
      <c r="C650" s="1" t="n">
        <v>45895</v>
      </c>
      <c r="D650" t="inlineStr">
        <is>
          <t>NORRBOTTENS LÄN</t>
        </is>
      </c>
      <c r="E650" t="inlineStr">
        <is>
          <t>HAPARANDA</t>
        </is>
      </c>
      <c r="G650" t="n">
        <v>1.5</v>
      </c>
      <c r="H650" t="n">
        <v>0</v>
      </c>
      <c r="I650" t="n">
        <v>0</v>
      </c>
      <c r="J650" t="n">
        <v>0</v>
      </c>
      <c r="K650" t="n">
        <v>0</v>
      </c>
      <c r="L650" t="n">
        <v>0</v>
      </c>
      <c r="M650" t="n">
        <v>0</v>
      </c>
      <c r="N650" t="n">
        <v>0</v>
      </c>
      <c r="O650" t="n">
        <v>0</v>
      </c>
      <c r="P650" t="n">
        <v>0</v>
      </c>
      <c r="Q650" t="n">
        <v>0</v>
      </c>
      <c r="R650" s="2" t="inlineStr"/>
    </row>
    <row r="651" ht="15" customHeight="1">
      <c r="A651" t="inlineStr">
        <is>
          <t>A 55105-2020</t>
        </is>
      </c>
      <c r="B651" s="1" t="n">
        <v>44130</v>
      </c>
      <c r="C651" s="1" t="n">
        <v>45895</v>
      </c>
      <c r="D651" t="inlineStr">
        <is>
          <t>NORRBOTTENS LÄN</t>
        </is>
      </c>
      <c r="E651" t="inlineStr">
        <is>
          <t>KALIX</t>
        </is>
      </c>
      <c r="G651" t="n">
        <v>4.9</v>
      </c>
      <c r="H651" t="n">
        <v>0</v>
      </c>
      <c r="I651" t="n">
        <v>0</v>
      </c>
      <c r="J651" t="n">
        <v>0</v>
      </c>
      <c r="K651" t="n">
        <v>0</v>
      </c>
      <c r="L651" t="n">
        <v>0</v>
      </c>
      <c r="M651" t="n">
        <v>0</v>
      </c>
      <c r="N651" t="n">
        <v>0</v>
      </c>
      <c r="O651" t="n">
        <v>0</v>
      </c>
      <c r="P651" t="n">
        <v>0</v>
      </c>
      <c r="Q651" t="n">
        <v>0</v>
      </c>
      <c r="R651" s="2" t="inlineStr"/>
    </row>
    <row r="652" ht="15" customHeight="1">
      <c r="A652" t="inlineStr">
        <is>
          <t>A 14340-2021</t>
        </is>
      </c>
      <c r="B652" s="1" t="n">
        <v>44279.30587962963</v>
      </c>
      <c r="C652" s="1" t="n">
        <v>45895</v>
      </c>
      <c r="D652" t="inlineStr">
        <is>
          <t>NORRBOTTENS LÄN</t>
        </is>
      </c>
      <c r="E652" t="inlineStr">
        <is>
          <t>BODEN</t>
        </is>
      </c>
      <c r="G652" t="n">
        <v>3.2</v>
      </c>
      <c r="H652" t="n">
        <v>0</v>
      </c>
      <c r="I652" t="n">
        <v>0</v>
      </c>
      <c r="J652" t="n">
        <v>0</v>
      </c>
      <c r="K652" t="n">
        <v>0</v>
      </c>
      <c r="L652" t="n">
        <v>0</v>
      </c>
      <c r="M652" t="n">
        <v>0</v>
      </c>
      <c r="N652" t="n">
        <v>0</v>
      </c>
      <c r="O652" t="n">
        <v>0</v>
      </c>
      <c r="P652" t="n">
        <v>0</v>
      </c>
      <c r="Q652" t="n">
        <v>0</v>
      </c>
      <c r="R652" s="2" t="inlineStr"/>
    </row>
    <row r="653" ht="15" customHeight="1">
      <c r="A653" t="inlineStr">
        <is>
          <t>A 44756-2020</t>
        </is>
      </c>
      <c r="B653" s="1" t="n">
        <v>44085</v>
      </c>
      <c r="C653" s="1" t="n">
        <v>45895</v>
      </c>
      <c r="D653" t="inlineStr">
        <is>
          <t>NORRBOTTENS LÄN</t>
        </is>
      </c>
      <c r="E653" t="inlineStr">
        <is>
          <t>ÄLVSBYN</t>
        </is>
      </c>
      <c r="F653" t="inlineStr">
        <is>
          <t>Sveaskog</t>
        </is>
      </c>
      <c r="G653" t="n">
        <v>3</v>
      </c>
      <c r="H653" t="n">
        <v>0</v>
      </c>
      <c r="I653" t="n">
        <v>0</v>
      </c>
      <c r="J653" t="n">
        <v>0</v>
      </c>
      <c r="K653" t="n">
        <v>0</v>
      </c>
      <c r="L653" t="n">
        <v>0</v>
      </c>
      <c r="M653" t="n">
        <v>0</v>
      </c>
      <c r="N653" t="n">
        <v>0</v>
      </c>
      <c r="O653" t="n">
        <v>0</v>
      </c>
      <c r="P653" t="n">
        <v>0</v>
      </c>
      <c r="Q653" t="n">
        <v>0</v>
      </c>
      <c r="R653" s="2" t="inlineStr"/>
    </row>
    <row r="654" ht="15" customHeight="1">
      <c r="A654" t="inlineStr">
        <is>
          <t>A 22837-2021</t>
        </is>
      </c>
      <c r="B654" s="1" t="n">
        <v>44326</v>
      </c>
      <c r="C654" s="1" t="n">
        <v>45895</v>
      </c>
      <c r="D654" t="inlineStr">
        <is>
          <t>NORRBOTTENS LÄN</t>
        </is>
      </c>
      <c r="E654" t="inlineStr">
        <is>
          <t>ARVIDSJAUR</t>
        </is>
      </c>
      <c r="G654" t="n">
        <v>3</v>
      </c>
      <c r="H654" t="n">
        <v>0</v>
      </c>
      <c r="I654" t="n">
        <v>0</v>
      </c>
      <c r="J654" t="n">
        <v>0</v>
      </c>
      <c r="K654" t="n">
        <v>0</v>
      </c>
      <c r="L654" t="n">
        <v>0</v>
      </c>
      <c r="M654" t="n">
        <v>0</v>
      </c>
      <c r="N654" t="n">
        <v>0</v>
      </c>
      <c r="O654" t="n">
        <v>0</v>
      </c>
      <c r="P654" t="n">
        <v>0</v>
      </c>
      <c r="Q654" t="n">
        <v>0</v>
      </c>
      <c r="R654" s="2" t="inlineStr"/>
    </row>
    <row r="655" ht="15" customHeight="1">
      <c r="A655" t="inlineStr">
        <is>
          <t>A 47591-2020</t>
        </is>
      </c>
      <c r="B655" s="1" t="n">
        <v>44095</v>
      </c>
      <c r="C655" s="1" t="n">
        <v>45895</v>
      </c>
      <c r="D655" t="inlineStr">
        <is>
          <t>NORRBOTTENS LÄN</t>
        </is>
      </c>
      <c r="E655" t="inlineStr">
        <is>
          <t>PITEÅ</t>
        </is>
      </c>
      <c r="G655" t="n">
        <v>6</v>
      </c>
      <c r="H655" t="n">
        <v>0</v>
      </c>
      <c r="I655" t="n">
        <v>0</v>
      </c>
      <c r="J655" t="n">
        <v>0</v>
      </c>
      <c r="K655" t="n">
        <v>0</v>
      </c>
      <c r="L655" t="n">
        <v>0</v>
      </c>
      <c r="M655" t="n">
        <v>0</v>
      </c>
      <c r="N655" t="n">
        <v>0</v>
      </c>
      <c r="O655" t="n">
        <v>0</v>
      </c>
      <c r="P655" t="n">
        <v>0</v>
      </c>
      <c r="Q655" t="n">
        <v>0</v>
      </c>
      <c r="R655" s="2" t="inlineStr"/>
    </row>
    <row r="656" ht="15" customHeight="1">
      <c r="A656" t="inlineStr">
        <is>
          <t>A 32723-2021</t>
        </is>
      </c>
      <c r="B656" s="1" t="n">
        <v>44375</v>
      </c>
      <c r="C656" s="1" t="n">
        <v>45895</v>
      </c>
      <c r="D656" t="inlineStr">
        <is>
          <t>NORRBOTTENS LÄN</t>
        </is>
      </c>
      <c r="E656" t="inlineStr">
        <is>
          <t>KALIX</t>
        </is>
      </c>
      <c r="G656" t="n">
        <v>0.8</v>
      </c>
      <c r="H656" t="n">
        <v>0</v>
      </c>
      <c r="I656" t="n">
        <v>0</v>
      </c>
      <c r="J656" t="n">
        <v>0</v>
      </c>
      <c r="K656" t="n">
        <v>0</v>
      </c>
      <c r="L656" t="n">
        <v>0</v>
      </c>
      <c r="M656" t="n">
        <v>0</v>
      </c>
      <c r="N656" t="n">
        <v>0</v>
      </c>
      <c r="O656" t="n">
        <v>0</v>
      </c>
      <c r="P656" t="n">
        <v>0</v>
      </c>
      <c r="Q656" t="n">
        <v>0</v>
      </c>
      <c r="R656" s="2" t="inlineStr"/>
    </row>
    <row r="657" ht="15" customHeight="1">
      <c r="A657" t="inlineStr">
        <is>
          <t>A 50678-2020</t>
        </is>
      </c>
      <c r="B657" s="1" t="n">
        <v>44111</v>
      </c>
      <c r="C657" s="1" t="n">
        <v>45895</v>
      </c>
      <c r="D657" t="inlineStr">
        <is>
          <t>NORRBOTTENS LÄN</t>
        </is>
      </c>
      <c r="E657" t="inlineStr">
        <is>
          <t>PAJALA</t>
        </is>
      </c>
      <c r="G657" t="n">
        <v>6.2</v>
      </c>
      <c r="H657" t="n">
        <v>0</v>
      </c>
      <c r="I657" t="n">
        <v>0</v>
      </c>
      <c r="J657" t="n">
        <v>0</v>
      </c>
      <c r="K657" t="n">
        <v>0</v>
      </c>
      <c r="L657" t="n">
        <v>0</v>
      </c>
      <c r="M657" t="n">
        <v>0</v>
      </c>
      <c r="N657" t="n">
        <v>0</v>
      </c>
      <c r="O657" t="n">
        <v>0</v>
      </c>
      <c r="P657" t="n">
        <v>0</v>
      </c>
      <c r="Q657" t="n">
        <v>0</v>
      </c>
      <c r="R657" s="2" t="inlineStr"/>
    </row>
    <row r="658" ht="15" customHeight="1">
      <c r="A658" t="inlineStr">
        <is>
          <t>A 60919-2020</t>
        </is>
      </c>
      <c r="B658" s="1" t="n">
        <v>44153</v>
      </c>
      <c r="C658" s="1" t="n">
        <v>45895</v>
      </c>
      <c r="D658" t="inlineStr">
        <is>
          <t>NORRBOTTENS LÄN</t>
        </is>
      </c>
      <c r="E658" t="inlineStr">
        <is>
          <t>ÖVERTORNEÅ</t>
        </is>
      </c>
      <c r="G658" t="n">
        <v>3.2</v>
      </c>
      <c r="H658" t="n">
        <v>0</v>
      </c>
      <c r="I658" t="n">
        <v>0</v>
      </c>
      <c r="J658" t="n">
        <v>0</v>
      </c>
      <c r="K658" t="n">
        <v>0</v>
      </c>
      <c r="L658" t="n">
        <v>0</v>
      </c>
      <c r="M658" t="n">
        <v>0</v>
      </c>
      <c r="N658" t="n">
        <v>0</v>
      </c>
      <c r="O658" t="n">
        <v>0</v>
      </c>
      <c r="P658" t="n">
        <v>0</v>
      </c>
      <c r="Q658" t="n">
        <v>0</v>
      </c>
      <c r="R658" s="2" t="inlineStr"/>
    </row>
    <row r="659" ht="15" customHeight="1">
      <c r="A659" t="inlineStr">
        <is>
          <t>A 62321-2020</t>
        </is>
      </c>
      <c r="B659" s="1" t="n">
        <v>44158</v>
      </c>
      <c r="C659" s="1" t="n">
        <v>45895</v>
      </c>
      <c r="D659" t="inlineStr">
        <is>
          <t>NORRBOTTENS LÄN</t>
        </is>
      </c>
      <c r="E659" t="inlineStr">
        <is>
          <t>BODEN</t>
        </is>
      </c>
      <c r="G659" t="n">
        <v>3.2</v>
      </c>
      <c r="H659" t="n">
        <v>0</v>
      </c>
      <c r="I659" t="n">
        <v>0</v>
      </c>
      <c r="J659" t="n">
        <v>0</v>
      </c>
      <c r="K659" t="n">
        <v>0</v>
      </c>
      <c r="L659" t="n">
        <v>0</v>
      </c>
      <c r="M659" t="n">
        <v>0</v>
      </c>
      <c r="N659" t="n">
        <v>0</v>
      </c>
      <c r="O659" t="n">
        <v>0</v>
      </c>
      <c r="P659" t="n">
        <v>0</v>
      </c>
      <c r="Q659" t="n">
        <v>0</v>
      </c>
      <c r="R659" s="2" t="inlineStr"/>
    </row>
    <row r="660" ht="15" customHeight="1">
      <c r="A660" t="inlineStr">
        <is>
          <t>A 44716-2020</t>
        </is>
      </c>
      <c r="B660" s="1" t="n">
        <v>44085</v>
      </c>
      <c r="C660" s="1" t="n">
        <v>45895</v>
      </c>
      <c r="D660" t="inlineStr">
        <is>
          <t>NORRBOTTENS LÄN</t>
        </is>
      </c>
      <c r="E660" t="inlineStr">
        <is>
          <t>ÄLVSBYN</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55180-2020</t>
        </is>
      </c>
      <c r="B661" s="1" t="n">
        <v>44130</v>
      </c>
      <c r="C661" s="1" t="n">
        <v>45895</v>
      </c>
      <c r="D661" t="inlineStr">
        <is>
          <t>NORRBOTTENS LÄN</t>
        </is>
      </c>
      <c r="E661" t="inlineStr">
        <is>
          <t>GÄLLIVARE</t>
        </is>
      </c>
      <c r="G661" t="n">
        <v>5.3</v>
      </c>
      <c r="H661" t="n">
        <v>0</v>
      </c>
      <c r="I661" t="n">
        <v>0</v>
      </c>
      <c r="J661" t="n">
        <v>0</v>
      </c>
      <c r="K661" t="n">
        <v>0</v>
      </c>
      <c r="L661" t="n">
        <v>0</v>
      </c>
      <c r="M661" t="n">
        <v>0</v>
      </c>
      <c r="N661" t="n">
        <v>0</v>
      </c>
      <c r="O661" t="n">
        <v>0</v>
      </c>
      <c r="P661" t="n">
        <v>0</v>
      </c>
      <c r="Q661" t="n">
        <v>0</v>
      </c>
      <c r="R661" s="2" t="inlineStr"/>
    </row>
    <row r="662" ht="15" customHeight="1">
      <c r="A662" t="inlineStr">
        <is>
          <t>A 49019-2020</t>
        </is>
      </c>
      <c r="B662" s="1" t="n">
        <v>44104</v>
      </c>
      <c r="C662" s="1" t="n">
        <v>45895</v>
      </c>
      <c r="D662" t="inlineStr">
        <is>
          <t>NORRBOTTENS LÄN</t>
        </is>
      </c>
      <c r="E662" t="inlineStr">
        <is>
          <t>GÄLLIVARE</t>
        </is>
      </c>
      <c r="G662" t="n">
        <v>2.1</v>
      </c>
      <c r="H662" t="n">
        <v>0</v>
      </c>
      <c r="I662" t="n">
        <v>0</v>
      </c>
      <c r="J662" t="n">
        <v>0</v>
      </c>
      <c r="K662" t="n">
        <v>0</v>
      </c>
      <c r="L662" t="n">
        <v>0</v>
      </c>
      <c r="M662" t="n">
        <v>0</v>
      </c>
      <c r="N662" t="n">
        <v>0</v>
      </c>
      <c r="O662" t="n">
        <v>0</v>
      </c>
      <c r="P662" t="n">
        <v>0</v>
      </c>
      <c r="Q662" t="n">
        <v>0</v>
      </c>
      <c r="R662" s="2" t="inlineStr"/>
    </row>
    <row r="663" ht="15" customHeight="1">
      <c r="A663" t="inlineStr">
        <is>
          <t>A 54412-2020</t>
        </is>
      </c>
      <c r="B663" s="1" t="n">
        <v>44125</v>
      </c>
      <c r="C663" s="1" t="n">
        <v>45895</v>
      </c>
      <c r="D663" t="inlineStr">
        <is>
          <t>NORRBOTTENS LÄN</t>
        </is>
      </c>
      <c r="E663" t="inlineStr">
        <is>
          <t>ÄLVSBYN</t>
        </is>
      </c>
      <c r="G663" t="n">
        <v>4.7</v>
      </c>
      <c r="H663" t="n">
        <v>0</v>
      </c>
      <c r="I663" t="n">
        <v>0</v>
      </c>
      <c r="J663" t="n">
        <v>0</v>
      </c>
      <c r="K663" t="n">
        <v>0</v>
      </c>
      <c r="L663" t="n">
        <v>0</v>
      </c>
      <c r="M663" t="n">
        <v>0</v>
      </c>
      <c r="N663" t="n">
        <v>0</v>
      </c>
      <c r="O663" t="n">
        <v>0</v>
      </c>
      <c r="P663" t="n">
        <v>0</v>
      </c>
      <c r="Q663" t="n">
        <v>0</v>
      </c>
      <c r="R663" s="2" t="inlineStr"/>
    </row>
    <row r="664" ht="15" customHeight="1">
      <c r="A664" t="inlineStr">
        <is>
          <t>A 43123-2020</t>
        </is>
      </c>
      <c r="B664" s="1" t="n">
        <v>44079</v>
      </c>
      <c r="C664" s="1" t="n">
        <v>45895</v>
      </c>
      <c r="D664" t="inlineStr">
        <is>
          <t>NORRBOTTENS LÄN</t>
        </is>
      </c>
      <c r="E664" t="inlineStr">
        <is>
          <t>PAJALA</t>
        </is>
      </c>
      <c r="G664" t="n">
        <v>14.3</v>
      </c>
      <c r="H664" t="n">
        <v>0</v>
      </c>
      <c r="I664" t="n">
        <v>0</v>
      </c>
      <c r="J664" t="n">
        <v>0</v>
      </c>
      <c r="K664" t="n">
        <v>0</v>
      </c>
      <c r="L664" t="n">
        <v>0</v>
      </c>
      <c r="M664" t="n">
        <v>0</v>
      </c>
      <c r="N664" t="n">
        <v>0</v>
      </c>
      <c r="O664" t="n">
        <v>0</v>
      </c>
      <c r="P664" t="n">
        <v>0</v>
      </c>
      <c r="Q664" t="n">
        <v>0</v>
      </c>
      <c r="R664" s="2" t="inlineStr"/>
    </row>
    <row r="665" ht="15" customHeight="1">
      <c r="A665" t="inlineStr">
        <is>
          <t>A 42704-2020</t>
        </is>
      </c>
      <c r="B665" s="1" t="n">
        <v>44077</v>
      </c>
      <c r="C665" s="1" t="n">
        <v>45895</v>
      </c>
      <c r="D665" t="inlineStr">
        <is>
          <t>NORRBOTTENS LÄN</t>
        </is>
      </c>
      <c r="E665" t="inlineStr">
        <is>
          <t>KALIX</t>
        </is>
      </c>
      <c r="G665" t="n">
        <v>1.1</v>
      </c>
      <c r="H665" t="n">
        <v>0</v>
      </c>
      <c r="I665" t="n">
        <v>0</v>
      </c>
      <c r="J665" t="n">
        <v>0</v>
      </c>
      <c r="K665" t="n">
        <v>0</v>
      </c>
      <c r="L665" t="n">
        <v>0</v>
      </c>
      <c r="M665" t="n">
        <v>0</v>
      </c>
      <c r="N665" t="n">
        <v>0</v>
      </c>
      <c r="O665" t="n">
        <v>0</v>
      </c>
      <c r="P665" t="n">
        <v>0</v>
      </c>
      <c r="Q665" t="n">
        <v>0</v>
      </c>
      <c r="R665" s="2" t="inlineStr"/>
    </row>
    <row r="666" ht="15" customHeight="1">
      <c r="A666" t="inlineStr">
        <is>
          <t>A 48338-2020</t>
        </is>
      </c>
      <c r="B666" s="1" t="n">
        <v>44098</v>
      </c>
      <c r="C666" s="1" t="n">
        <v>45895</v>
      </c>
      <c r="D666" t="inlineStr">
        <is>
          <t>NORRBOTTENS LÄN</t>
        </is>
      </c>
      <c r="E666" t="inlineStr">
        <is>
          <t>JOKKMOKK</t>
        </is>
      </c>
      <c r="F666" t="inlineStr">
        <is>
          <t>Allmännings- och besparingsskogar</t>
        </is>
      </c>
      <c r="G666" t="n">
        <v>3.4</v>
      </c>
      <c r="H666" t="n">
        <v>0</v>
      </c>
      <c r="I666" t="n">
        <v>0</v>
      </c>
      <c r="J666" t="n">
        <v>0</v>
      </c>
      <c r="K666" t="n">
        <v>0</v>
      </c>
      <c r="L666" t="n">
        <v>0</v>
      </c>
      <c r="M666" t="n">
        <v>0</v>
      </c>
      <c r="N666" t="n">
        <v>0</v>
      </c>
      <c r="O666" t="n">
        <v>0</v>
      </c>
      <c r="P666" t="n">
        <v>0</v>
      </c>
      <c r="Q666" t="n">
        <v>0</v>
      </c>
      <c r="R666" s="2" t="inlineStr"/>
    </row>
    <row r="667" ht="15" customHeight="1">
      <c r="A667" t="inlineStr">
        <is>
          <t>A 52583-2020</t>
        </is>
      </c>
      <c r="B667" s="1" t="n">
        <v>44118</v>
      </c>
      <c r="C667" s="1" t="n">
        <v>45895</v>
      </c>
      <c r="D667" t="inlineStr">
        <is>
          <t>NORRBOTTENS LÄN</t>
        </is>
      </c>
      <c r="E667" t="inlineStr">
        <is>
          <t>HAPARANDA</t>
        </is>
      </c>
      <c r="G667" t="n">
        <v>6</v>
      </c>
      <c r="H667" t="n">
        <v>0</v>
      </c>
      <c r="I667" t="n">
        <v>0</v>
      </c>
      <c r="J667" t="n">
        <v>0</v>
      </c>
      <c r="K667" t="n">
        <v>0</v>
      </c>
      <c r="L667" t="n">
        <v>0</v>
      </c>
      <c r="M667" t="n">
        <v>0</v>
      </c>
      <c r="N667" t="n">
        <v>0</v>
      </c>
      <c r="O667" t="n">
        <v>0</v>
      </c>
      <c r="P667" t="n">
        <v>0</v>
      </c>
      <c r="Q667" t="n">
        <v>0</v>
      </c>
      <c r="R667" s="2" t="inlineStr"/>
    </row>
    <row r="668" ht="15" customHeight="1">
      <c r="A668" t="inlineStr">
        <is>
          <t>A 48769-2020</t>
        </is>
      </c>
      <c r="B668" s="1" t="n">
        <v>44099</v>
      </c>
      <c r="C668" s="1" t="n">
        <v>45895</v>
      </c>
      <c r="D668" t="inlineStr">
        <is>
          <t>NORRBOTTENS LÄN</t>
        </is>
      </c>
      <c r="E668" t="inlineStr">
        <is>
          <t>PITEÅ</t>
        </is>
      </c>
      <c r="G668" t="n">
        <v>0.3</v>
      </c>
      <c r="H668" t="n">
        <v>0</v>
      </c>
      <c r="I668" t="n">
        <v>0</v>
      </c>
      <c r="J668" t="n">
        <v>0</v>
      </c>
      <c r="K668" t="n">
        <v>0</v>
      </c>
      <c r="L668" t="n">
        <v>0</v>
      </c>
      <c r="M668" t="n">
        <v>0</v>
      </c>
      <c r="N668" t="n">
        <v>0</v>
      </c>
      <c r="O668" t="n">
        <v>0</v>
      </c>
      <c r="P668" t="n">
        <v>0</v>
      </c>
      <c r="Q668" t="n">
        <v>0</v>
      </c>
      <c r="R668" s="2" t="inlineStr"/>
    </row>
    <row r="669" ht="15" customHeight="1">
      <c r="A669" t="inlineStr">
        <is>
          <t>A 8611-2021</t>
        </is>
      </c>
      <c r="B669" s="1" t="n">
        <v>44245</v>
      </c>
      <c r="C669" s="1" t="n">
        <v>45895</v>
      </c>
      <c r="D669" t="inlineStr">
        <is>
          <t>NORRBOTTENS LÄN</t>
        </is>
      </c>
      <c r="E669" t="inlineStr">
        <is>
          <t>KALIX</t>
        </is>
      </c>
      <c r="G669" t="n">
        <v>1.2</v>
      </c>
      <c r="H669" t="n">
        <v>0</v>
      </c>
      <c r="I669" t="n">
        <v>0</v>
      </c>
      <c r="J669" t="n">
        <v>0</v>
      </c>
      <c r="K669" t="n">
        <v>0</v>
      </c>
      <c r="L669" t="n">
        <v>0</v>
      </c>
      <c r="M669" t="n">
        <v>0</v>
      </c>
      <c r="N669" t="n">
        <v>0</v>
      </c>
      <c r="O669" t="n">
        <v>0</v>
      </c>
      <c r="P669" t="n">
        <v>0</v>
      </c>
      <c r="Q669" t="n">
        <v>0</v>
      </c>
      <c r="R669" s="2" t="inlineStr"/>
    </row>
    <row r="670" ht="15" customHeight="1">
      <c r="A670" t="inlineStr">
        <is>
          <t>A 28364-2021</t>
        </is>
      </c>
      <c r="B670" s="1" t="n">
        <v>44356</v>
      </c>
      <c r="C670" s="1" t="n">
        <v>45895</v>
      </c>
      <c r="D670" t="inlineStr">
        <is>
          <t>NORRBOTTENS LÄN</t>
        </is>
      </c>
      <c r="E670" t="inlineStr">
        <is>
          <t>ÖVERKALIX</t>
        </is>
      </c>
      <c r="G670" t="n">
        <v>1.5</v>
      </c>
      <c r="H670" t="n">
        <v>0</v>
      </c>
      <c r="I670" t="n">
        <v>0</v>
      </c>
      <c r="J670" t="n">
        <v>0</v>
      </c>
      <c r="K670" t="n">
        <v>0</v>
      </c>
      <c r="L670" t="n">
        <v>0</v>
      </c>
      <c r="M670" t="n">
        <v>0</v>
      </c>
      <c r="N670" t="n">
        <v>0</v>
      </c>
      <c r="O670" t="n">
        <v>0</v>
      </c>
      <c r="P670" t="n">
        <v>0</v>
      </c>
      <c r="Q670" t="n">
        <v>0</v>
      </c>
      <c r="R670" s="2" t="inlineStr"/>
    </row>
    <row r="671" ht="15" customHeight="1">
      <c r="A671" t="inlineStr">
        <is>
          <t>A 48281-2021</t>
        </is>
      </c>
      <c r="B671" s="1" t="n">
        <v>44449</v>
      </c>
      <c r="C671" s="1" t="n">
        <v>45895</v>
      </c>
      <c r="D671" t="inlineStr">
        <is>
          <t>NORRBOTTENS LÄN</t>
        </is>
      </c>
      <c r="E671" t="inlineStr">
        <is>
          <t>KALIX</t>
        </is>
      </c>
      <c r="G671" t="n">
        <v>18.4</v>
      </c>
      <c r="H671" t="n">
        <v>0</v>
      </c>
      <c r="I671" t="n">
        <v>0</v>
      </c>
      <c r="J671" t="n">
        <v>0</v>
      </c>
      <c r="K671" t="n">
        <v>0</v>
      </c>
      <c r="L671" t="n">
        <v>0</v>
      </c>
      <c r="M671" t="n">
        <v>0</v>
      </c>
      <c r="N671" t="n">
        <v>0</v>
      </c>
      <c r="O671" t="n">
        <v>0</v>
      </c>
      <c r="P671" t="n">
        <v>0</v>
      </c>
      <c r="Q671" t="n">
        <v>0</v>
      </c>
      <c r="R671" s="2" t="inlineStr"/>
    </row>
    <row r="672" ht="15" customHeight="1">
      <c r="A672" t="inlineStr">
        <is>
          <t>A 15065-2021</t>
        </is>
      </c>
      <c r="B672" s="1" t="n">
        <v>44281.64640046296</v>
      </c>
      <c r="C672" s="1" t="n">
        <v>45895</v>
      </c>
      <c r="D672" t="inlineStr">
        <is>
          <t>NORRBOTTENS LÄN</t>
        </is>
      </c>
      <c r="E672" t="inlineStr">
        <is>
          <t>PITEÅ</t>
        </is>
      </c>
      <c r="G672" t="n">
        <v>1.2</v>
      </c>
      <c r="H672" t="n">
        <v>0</v>
      </c>
      <c r="I672" t="n">
        <v>0</v>
      </c>
      <c r="J672" t="n">
        <v>0</v>
      </c>
      <c r="K672" t="n">
        <v>0</v>
      </c>
      <c r="L672" t="n">
        <v>0</v>
      </c>
      <c r="M672" t="n">
        <v>0</v>
      </c>
      <c r="N672" t="n">
        <v>0</v>
      </c>
      <c r="O672" t="n">
        <v>0</v>
      </c>
      <c r="P672" t="n">
        <v>0</v>
      </c>
      <c r="Q672" t="n">
        <v>0</v>
      </c>
      <c r="R672" s="2" t="inlineStr"/>
    </row>
    <row r="673" ht="15" customHeight="1">
      <c r="A673" t="inlineStr">
        <is>
          <t>A 26995-2021</t>
        </is>
      </c>
      <c r="B673" s="1" t="n">
        <v>44350</v>
      </c>
      <c r="C673" s="1" t="n">
        <v>45895</v>
      </c>
      <c r="D673" t="inlineStr">
        <is>
          <t>NORRBOTTENS LÄN</t>
        </is>
      </c>
      <c r="E673" t="inlineStr">
        <is>
          <t>HAPARANDA</t>
        </is>
      </c>
      <c r="G673" t="n">
        <v>1</v>
      </c>
      <c r="H673" t="n">
        <v>0</v>
      </c>
      <c r="I673" t="n">
        <v>0</v>
      </c>
      <c r="J673" t="n">
        <v>0</v>
      </c>
      <c r="K673" t="n">
        <v>0</v>
      </c>
      <c r="L673" t="n">
        <v>0</v>
      </c>
      <c r="M673" t="n">
        <v>0</v>
      </c>
      <c r="N673" t="n">
        <v>0</v>
      </c>
      <c r="O673" t="n">
        <v>0</v>
      </c>
      <c r="P673" t="n">
        <v>0</v>
      </c>
      <c r="Q673" t="n">
        <v>0</v>
      </c>
      <c r="R673" s="2" t="inlineStr"/>
    </row>
    <row r="674" ht="15" customHeight="1">
      <c r="A674" t="inlineStr">
        <is>
          <t>A 65484-2020</t>
        </is>
      </c>
      <c r="B674" s="1" t="n">
        <v>44169</v>
      </c>
      <c r="C674" s="1" t="n">
        <v>45895</v>
      </c>
      <c r="D674" t="inlineStr">
        <is>
          <t>NORRBOTTENS LÄN</t>
        </is>
      </c>
      <c r="E674" t="inlineStr">
        <is>
          <t>GÄLLIVARE</t>
        </is>
      </c>
      <c r="G674" t="n">
        <v>3.9</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45895</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68839-2020</t>
        </is>
      </c>
      <c r="B676" s="1" t="n">
        <v>44186</v>
      </c>
      <c r="C676" s="1" t="n">
        <v>45895</v>
      </c>
      <c r="D676" t="inlineStr">
        <is>
          <t>NORRBOTTENS LÄN</t>
        </is>
      </c>
      <c r="E676" t="inlineStr">
        <is>
          <t>HAPARANDA</t>
        </is>
      </c>
      <c r="G676" t="n">
        <v>7.7</v>
      </c>
      <c r="H676" t="n">
        <v>0</v>
      </c>
      <c r="I676" t="n">
        <v>0</v>
      </c>
      <c r="J676" t="n">
        <v>0</v>
      </c>
      <c r="K676" t="n">
        <v>0</v>
      </c>
      <c r="L676" t="n">
        <v>0</v>
      </c>
      <c r="M676" t="n">
        <v>0</v>
      </c>
      <c r="N676" t="n">
        <v>0</v>
      </c>
      <c r="O676" t="n">
        <v>0</v>
      </c>
      <c r="P676" t="n">
        <v>0</v>
      </c>
      <c r="Q676" t="n">
        <v>0</v>
      </c>
      <c r="R676" s="2" t="inlineStr"/>
    </row>
    <row r="677" ht="15" customHeight="1">
      <c r="A677" t="inlineStr">
        <is>
          <t>A 24760-2021</t>
        </is>
      </c>
      <c r="B677" s="1" t="n">
        <v>44340</v>
      </c>
      <c r="C677" s="1" t="n">
        <v>45895</v>
      </c>
      <c r="D677" t="inlineStr">
        <is>
          <t>NORRBOTTENS LÄN</t>
        </is>
      </c>
      <c r="E677" t="inlineStr">
        <is>
          <t>KIRUNA</t>
        </is>
      </c>
      <c r="G677" t="n">
        <v>22.6</v>
      </c>
      <c r="H677" t="n">
        <v>0</v>
      </c>
      <c r="I677" t="n">
        <v>0</v>
      </c>
      <c r="J677" t="n">
        <v>0</v>
      </c>
      <c r="K677" t="n">
        <v>0</v>
      </c>
      <c r="L677" t="n">
        <v>0</v>
      </c>
      <c r="M677" t="n">
        <v>0</v>
      </c>
      <c r="N677" t="n">
        <v>0</v>
      </c>
      <c r="O677" t="n">
        <v>0</v>
      </c>
      <c r="P677" t="n">
        <v>0</v>
      </c>
      <c r="Q677" t="n">
        <v>0</v>
      </c>
      <c r="R677" s="2" t="inlineStr"/>
    </row>
    <row r="678" ht="15" customHeight="1">
      <c r="A678" t="inlineStr">
        <is>
          <t>A 16562-2021</t>
        </is>
      </c>
      <c r="B678" s="1" t="n">
        <v>44293.93512731481</v>
      </c>
      <c r="C678" s="1" t="n">
        <v>45895</v>
      </c>
      <c r="D678" t="inlineStr">
        <is>
          <t>NORRBOTTENS LÄN</t>
        </is>
      </c>
      <c r="E678" t="inlineStr">
        <is>
          <t>PITEÅ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40844-2021</t>
        </is>
      </c>
      <c r="B679" s="1" t="n">
        <v>44421</v>
      </c>
      <c r="C679" s="1" t="n">
        <v>45895</v>
      </c>
      <c r="D679" t="inlineStr">
        <is>
          <t>NORRBOTTENS LÄN</t>
        </is>
      </c>
      <c r="E679" t="inlineStr">
        <is>
          <t>ARVIDSJAUR</t>
        </is>
      </c>
      <c r="G679" t="n">
        <v>0.3</v>
      </c>
      <c r="H679" t="n">
        <v>0</v>
      </c>
      <c r="I679" t="n">
        <v>0</v>
      </c>
      <c r="J679" t="n">
        <v>0</v>
      </c>
      <c r="K679" t="n">
        <v>0</v>
      </c>
      <c r="L679" t="n">
        <v>0</v>
      </c>
      <c r="M679" t="n">
        <v>0</v>
      </c>
      <c r="N679" t="n">
        <v>0</v>
      </c>
      <c r="O679" t="n">
        <v>0</v>
      </c>
      <c r="P679" t="n">
        <v>0</v>
      </c>
      <c r="Q679" t="n">
        <v>0</v>
      </c>
      <c r="R679" s="2" t="inlineStr"/>
    </row>
    <row r="680" ht="15" customHeight="1">
      <c r="A680" t="inlineStr">
        <is>
          <t>A 63790-2021</t>
        </is>
      </c>
      <c r="B680" s="1" t="n">
        <v>44509</v>
      </c>
      <c r="C680" s="1" t="n">
        <v>45895</v>
      </c>
      <c r="D680" t="inlineStr">
        <is>
          <t>NORRBOTTENS LÄN</t>
        </is>
      </c>
      <c r="E680" t="inlineStr">
        <is>
          <t>BODEN</t>
        </is>
      </c>
      <c r="G680" t="n">
        <v>1.1</v>
      </c>
      <c r="H680" t="n">
        <v>0</v>
      </c>
      <c r="I680" t="n">
        <v>0</v>
      </c>
      <c r="J680" t="n">
        <v>0</v>
      </c>
      <c r="K680" t="n">
        <v>0</v>
      </c>
      <c r="L680" t="n">
        <v>0</v>
      </c>
      <c r="M680" t="n">
        <v>0</v>
      </c>
      <c r="N680" t="n">
        <v>0</v>
      </c>
      <c r="O680" t="n">
        <v>0</v>
      </c>
      <c r="P680" t="n">
        <v>0</v>
      </c>
      <c r="Q680" t="n">
        <v>0</v>
      </c>
      <c r="R680" s="2" t="inlineStr"/>
    </row>
    <row r="681" ht="15" customHeight="1">
      <c r="A681" t="inlineStr">
        <is>
          <t>A 3174-2022</t>
        </is>
      </c>
      <c r="B681" s="1" t="n">
        <v>44582</v>
      </c>
      <c r="C681" s="1" t="n">
        <v>45895</v>
      </c>
      <c r="D681" t="inlineStr">
        <is>
          <t>NORRBOTTENS LÄN</t>
        </is>
      </c>
      <c r="E681" t="inlineStr">
        <is>
          <t>ÖVERKALIX</t>
        </is>
      </c>
      <c r="G681" t="n">
        <v>0.5</v>
      </c>
      <c r="H681" t="n">
        <v>0</v>
      </c>
      <c r="I681" t="n">
        <v>0</v>
      </c>
      <c r="J681" t="n">
        <v>0</v>
      </c>
      <c r="K681" t="n">
        <v>0</v>
      </c>
      <c r="L681" t="n">
        <v>0</v>
      </c>
      <c r="M681" t="n">
        <v>0</v>
      </c>
      <c r="N681" t="n">
        <v>0</v>
      </c>
      <c r="O681" t="n">
        <v>0</v>
      </c>
      <c r="P681" t="n">
        <v>0</v>
      </c>
      <c r="Q681" t="n">
        <v>0</v>
      </c>
      <c r="R681" s="2" t="inlineStr"/>
    </row>
    <row r="682" ht="15" customHeight="1">
      <c r="A682" t="inlineStr">
        <is>
          <t>A 56781-2021</t>
        </is>
      </c>
      <c r="B682" s="1" t="n">
        <v>44481</v>
      </c>
      <c r="C682" s="1" t="n">
        <v>45895</v>
      </c>
      <c r="D682" t="inlineStr">
        <is>
          <t>NORRBOTTENS LÄN</t>
        </is>
      </c>
      <c r="E682" t="inlineStr">
        <is>
          <t>LULEÅ</t>
        </is>
      </c>
      <c r="G682" t="n">
        <v>2.2</v>
      </c>
      <c r="H682" t="n">
        <v>0</v>
      </c>
      <c r="I682" t="n">
        <v>0</v>
      </c>
      <c r="J682" t="n">
        <v>0</v>
      </c>
      <c r="K682" t="n">
        <v>0</v>
      </c>
      <c r="L682" t="n">
        <v>0</v>
      </c>
      <c r="M682" t="n">
        <v>0</v>
      </c>
      <c r="N682" t="n">
        <v>0</v>
      </c>
      <c r="O682" t="n">
        <v>0</v>
      </c>
      <c r="P682" t="n">
        <v>0</v>
      </c>
      <c r="Q682" t="n">
        <v>0</v>
      </c>
      <c r="R682" s="2" t="inlineStr"/>
    </row>
    <row r="683" ht="15" customHeight="1">
      <c r="A683" t="inlineStr">
        <is>
          <t>A 33176-2021</t>
        </is>
      </c>
      <c r="B683" s="1" t="n">
        <v>44376</v>
      </c>
      <c r="C683" s="1" t="n">
        <v>45895</v>
      </c>
      <c r="D683" t="inlineStr">
        <is>
          <t>NORRBOTTENS LÄN</t>
        </is>
      </c>
      <c r="E683" t="inlineStr">
        <is>
          <t>PAJALA</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19234-2022</t>
        </is>
      </c>
      <c r="B684" s="1" t="n">
        <v>44691</v>
      </c>
      <c r="C684" s="1" t="n">
        <v>45895</v>
      </c>
      <c r="D684" t="inlineStr">
        <is>
          <t>NORRBOTTENS LÄN</t>
        </is>
      </c>
      <c r="E684" t="inlineStr">
        <is>
          <t>PAJALA</t>
        </is>
      </c>
      <c r="G684" t="n">
        <v>8</v>
      </c>
      <c r="H684" t="n">
        <v>0</v>
      </c>
      <c r="I684" t="n">
        <v>0</v>
      </c>
      <c r="J684" t="n">
        <v>0</v>
      </c>
      <c r="K684" t="n">
        <v>0</v>
      </c>
      <c r="L684" t="n">
        <v>0</v>
      </c>
      <c r="M684" t="n">
        <v>0</v>
      </c>
      <c r="N684" t="n">
        <v>0</v>
      </c>
      <c r="O684" t="n">
        <v>0</v>
      </c>
      <c r="P684" t="n">
        <v>0</v>
      </c>
      <c r="Q684" t="n">
        <v>0</v>
      </c>
      <c r="R684" s="2" t="inlineStr"/>
    </row>
    <row r="685" ht="15" customHeight="1">
      <c r="A685" t="inlineStr">
        <is>
          <t>A 17121-2022</t>
        </is>
      </c>
      <c r="B685" s="1" t="n">
        <v>44677</v>
      </c>
      <c r="C685" s="1" t="n">
        <v>45895</v>
      </c>
      <c r="D685" t="inlineStr">
        <is>
          <t>NORRBOTTENS LÄN</t>
        </is>
      </c>
      <c r="E685" t="inlineStr">
        <is>
          <t>BODEN</t>
        </is>
      </c>
      <c r="G685" t="n">
        <v>0.5</v>
      </c>
      <c r="H685" t="n">
        <v>0</v>
      </c>
      <c r="I685" t="n">
        <v>0</v>
      </c>
      <c r="J685" t="n">
        <v>0</v>
      </c>
      <c r="K685" t="n">
        <v>0</v>
      </c>
      <c r="L685" t="n">
        <v>0</v>
      </c>
      <c r="M685" t="n">
        <v>0</v>
      </c>
      <c r="N685" t="n">
        <v>0</v>
      </c>
      <c r="O685" t="n">
        <v>0</v>
      </c>
      <c r="P685" t="n">
        <v>0</v>
      </c>
      <c r="Q685" t="n">
        <v>0</v>
      </c>
      <c r="R685" s="2" t="inlineStr"/>
    </row>
    <row r="686" ht="15" customHeight="1">
      <c r="A686" t="inlineStr">
        <is>
          <t>A 2018-2022</t>
        </is>
      </c>
      <c r="B686" s="1" t="n">
        <v>44575</v>
      </c>
      <c r="C686" s="1" t="n">
        <v>45895</v>
      </c>
      <c r="D686" t="inlineStr">
        <is>
          <t>NORRBOTTENS LÄN</t>
        </is>
      </c>
      <c r="E686" t="inlineStr">
        <is>
          <t>GÄLLIVARE</t>
        </is>
      </c>
      <c r="G686" t="n">
        <v>11</v>
      </c>
      <c r="H686" t="n">
        <v>0</v>
      </c>
      <c r="I686" t="n">
        <v>0</v>
      </c>
      <c r="J686" t="n">
        <v>0</v>
      </c>
      <c r="K686" t="n">
        <v>0</v>
      </c>
      <c r="L686" t="n">
        <v>0</v>
      </c>
      <c r="M686" t="n">
        <v>0</v>
      </c>
      <c r="N686" t="n">
        <v>0</v>
      </c>
      <c r="O686" t="n">
        <v>0</v>
      </c>
      <c r="P686" t="n">
        <v>0</v>
      </c>
      <c r="Q686" t="n">
        <v>0</v>
      </c>
      <c r="R686" s="2" t="inlineStr"/>
    </row>
    <row r="687" ht="15" customHeight="1">
      <c r="A687" t="inlineStr">
        <is>
          <t>A 60979-2020</t>
        </is>
      </c>
      <c r="B687" s="1" t="n">
        <v>44154</v>
      </c>
      <c r="C687" s="1" t="n">
        <v>45895</v>
      </c>
      <c r="D687" t="inlineStr">
        <is>
          <t>NORRBOTTENS LÄN</t>
        </is>
      </c>
      <c r="E687" t="inlineStr">
        <is>
          <t>KIRUNA</t>
        </is>
      </c>
      <c r="G687" t="n">
        <v>2.2</v>
      </c>
      <c r="H687" t="n">
        <v>0</v>
      </c>
      <c r="I687" t="n">
        <v>0</v>
      </c>
      <c r="J687" t="n">
        <v>0</v>
      </c>
      <c r="K687" t="n">
        <v>0</v>
      </c>
      <c r="L687" t="n">
        <v>0</v>
      </c>
      <c r="M687" t="n">
        <v>0</v>
      </c>
      <c r="N687" t="n">
        <v>0</v>
      </c>
      <c r="O687" t="n">
        <v>0</v>
      </c>
      <c r="P687" t="n">
        <v>0</v>
      </c>
      <c r="Q687" t="n">
        <v>0</v>
      </c>
      <c r="R687" s="2" t="inlineStr"/>
    </row>
    <row r="688" ht="15" customHeight="1">
      <c r="A688" t="inlineStr">
        <is>
          <t>A 29756-2022</t>
        </is>
      </c>
      <c r="B688" s="1" t="n">
        <v>44755</v>
      </c>
      <c r="C688" s="1" t="n">
        <v>45895</v>
      </c>
      <c r="D688" t="inlineStr">
        <is>
          <t>NORRBOTTENS LÄN</t>
        </is>
      </c>
      <c r="E688" t="inlineStr">
        <is>
          <t>PAJALA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3951-2022</t>
        </is>
      </c>
      <c r="B689" s="1" t="n">
        <v>44587</v>
      </c>
      <c r="C689" s="1" t="n">
        <v>45895</v>
      </c>
      <c r="D689" t="inlineStr">
        <is>
          <t>NORRBOTTENS LÄN</t>
        </is>
      </c>
      <c r="E689" t="inlineStr">
        <is>
          <t>LULEÅ</t>
        </is>
      </c>
      <c r="G689" t="n">
        <v>2.7</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45895</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61050-2020</t>
        </is>
      </c>
      <c r="B691" s="1" t="n">
        <v>44154</v>
      </c>
      <c r="C691" s="1" t="n">
        <v>45895</v>
      </c>
      <c r="D691" t="inlineStr">
        <is>
          <t>NORRBOTTENS LÄN</t>
        </is>
      </c>
      <c r="E691" t="inlineStr">
        <is>
          <t>ARJEPLOG</t>
        </is>
      </c>
      <c r="F691" t="inlineStr">
        <is>
          <t>Övriga statliga verk och myndigheter</t>
        </is>
      </c>
      <c r="G691" t="n">
        <v>17</v>
      </c>
      <c r="H691" t="n">
        <v>0</v>
      </c>
      <c r="I691" t="n">
        <v>0</v>
      </c>
      <c r="J691" t="n">
        <v>0</v>
      </c>
      <c r="K691" t="n">
        <v>0</v>
      </c>
      <c r="L691" t="n">
        <v>0</v>
      </c>
      <c r="M691" t="n">
        <v>0</v>
      </c>
      <c r="N691" t="n">
        <v>0</v>
      </c>
      <c r="O691" t="n">
        <v>0</v>
      </c>
      <c r="P691" t="n">
        <v>0</v>
      </c>
      <c r="Q691" t="n">
        <v>0</v>
      </c>
      <c r="R691" s="2" t="inlineStr"/>
    </row>
    <row r="692" ht="15" customHeight="1">
      <c r="A692" t="inlineStr">
        <is>
          <t>A 58759-2021</t>
        </is>
      </c>
      <c r="B692" s="1" t="n">
        <v>44489</v>
      </c>
      <c r="C692" s="1" t="n">
        <v>45895</v>
      </c>
      <c r="D692" t="inlineStr">
        <is>
          <t>NORRBOTTENS LÄN</t>
        </is>
      </c>
      <c r="E692" t="inlineStr">
        <is>
          <t>KALIX</t>
        </is>
      </c>
      <c r="G692" t="n">
        <v>2.7</v>
      </c>
      <c r="H692" t="n">
        <v>0</v>
      </c>
      <c r="I692" t="n">
        <v>0</v>
      </c>
      <c r="J692" t="n">
        <v>0</v>
      </c>
      <c r="K692" t="n">
        <v>0</v>
      </c>
      <c r="L692" t="n">
        <v>0</v>
      </c>
      <c r="M692" t="n">
        <v>0</v>
      </c>
      <c r="N692" t="n">
        <v>0</v>
      </c>
      <c r="O692" t="n">
        <v>0</v>
      </c>
      <c r="P692" t="n">
        <v>0</v>
      </c>
      <c r="Q692" t="n">
        <v>0</v>
      </c>
      <c r="R692" s="2" t="inlineStr"/>
    </row>
    <row r="693" ht="15" customHeight="1">
      <c r="A693" t="inlineStr">
        <is>
          <t>A 38039-2021</t>
        </is>
      </c>
      <c r="B693" s="1" t="n">
        <v>44404</v>
      </c>
      <c r="C693" s="1" t="n">
        <v>45895</v>
      </c>
      <c r="D693" t="inlineStr">
        <is>
          <t>NORRBOTTENS LÄN</t>
        </is>
      </c>
      <c r="E693" t="inlineStr">
        <is>
          <t>JOKKMOKK</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36231-2021</t>
        </is>
      </c>
      <c r="B694" s="1" t="n">
        <v>44389</v>
      </c>
      <c r="C694" s="1" t="n">
        <v>45895</v>
      </c>
      <c r="D694" t="inlineStr">
        <is>
          <t>NORRBOTTENS LÄN</t>
        </is>
      </c>
      <c r="E694" t="inlineStr">
        <is>
          <t>PAJALA</t>
        </is>
      </c>
      <c r="G694" t="n">
        <v>1</v>
      </c>
      <c r="H694" t="n">
        <v>0</v>
      </c>
      <c r="I694" t="n">
        <v>0</v>
      </c>
      <c r="J694" t="n">
        <v>0</v>
      </c>
      <c r="K694" t="n">
        <v>0</v>
      </c>
      <c r="L694" t="n">
        <v>0</v>
      </c>
      <c r="M694" t="n">
        <v>0</v>
      </c>
      <c r="N694" t="n">
        <v>0</v>
      </c>
      <c r="O694" t="n">
        <v>0</v>
      </c>
      <c r="P694" t="n">
        <v>0</v>
      </c>
      <c r="Q694" t="n">
        <v>0</v>
      </c>
      <c r="R694" s="2" t="inlineStr"/>
    </row>
    <row r="695" ht="15" customHeight="1">
      <c r="A695" t="inlineStr">
        <is>
          <t>A 25506-2022</t>
        </is>
      </c>
      <c r="B695" s="1" t="n">
        <v>44732.57612268518</v>
      </c>
      <c r="C695" s="1" t="n">
        <v>45895</v>
      </c>
      <c r="D695" t="inlineStr">
        <is>
          <t>NORRBOTTENS LÄN</t>
        </is>
      </c>
      <c r="E695" t="inlineStr">
        <is>
          <t>ARVIDSJAUR</t>
        </is>
      </c>
      <c r="F695" t="inlineStr">
        <is>
          <t>Sveaskog</t>
        </is>
      </c>
      <c r="G695" t="n">
        <v>12.3</v>
      </c>
      <c r="H695" t="n">
        <v>0</v>
      </c>
      <c r="I695" t="n">
        <v>0</v>
      </c>
      <c r="J695" t="n">
        <v>0</v>
      </c>
      <c r="K695" t="n">
        <v>0</v>
      </c>
      <c r="L695" t="n">
        <v>0</v>
      </c>
      <c r="M695" t="n">
        <v>0</v>
      </c>
      <c r="N695" t="n">
        <v>0</v>
      </c>
      <c r="O695" t="n">
        <v>0</v>
      </c>
      <c r="P695" t="n">
        <v>0</v>
      </c>
      <c r="Q695" t="n">
        <v>0</v>
      </c>
      <c r="R695" s="2" t="inlineStr"/>
    </row>
    <row r="696" ht="15" customHeight="1">
      <c r="A696" t="inlineStr">
        <is>
          <t>A 73348-2021</t>
        </is>
      </c>
      <c r="B696" s="1" t="n">
        <v>44550</v>
      </c>
      <c r="C696" s="1" t="n">
        <v>45895</v>
      </c>
      <c r="D696" t="inlineStr">
        <is>
          <t>NORRBOTTENS LÄN</t>
        </is>
      </c>
      <c r="E696" t="inlineStr">
        <is>
          <t>ÖVERKALIX</t>
        </is>
      </c>
      <c r="G696" t="n">
        <v>5.4</v>
      </c>
      <c r="H696" t="n">
        <v>0</v>
      </c>
      <c r="I696" t="n">
        <v>0</v>
      </c>
      <c r="J696" t="n">
        <v>0</v>
      </c>
      <c r="K696" t="n">
        <v>0</v>
      </c>
      <c r="L696" t="n">
        <v>0</v>
      </c>
      <c r="M696" t="n">
        <v>0</v>
      </c>
      <c r="N696" t="n">
        <v>0</v>
      </c>
      <c r="O696" t="n">
        <v>0</v>
      </c>
      <c r="P696" t="n">
        <v>0</v>
      </c>
      <c r="Q696" t="n">
        <v>0</v>
      </c>
      <c r="R696" s="2" t="inlineStr"/>
    </row>
    <row r="697" ht="15" customHeight="1">
      <c r="A697" t="inlineStr">
        <is>
          <t>A 19217-2022</t>
        </is>
      </c>
      <c r="B697" s="1" t="n">
        <v>44691</v>
      </c>
      <c r="C697" s="1" t="n">
        <v>45895</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2238-2021</t>
        </is>
      </c>
      <c r="B698" s="1" t="n">
        <v>44211</v>
      </c>
      <c r="C698" s="1" t="n">
        <v>45895</v>
      </c>
      <c r="D698" t="inlineStr">
        <is>
          <t>NORRBOTTENS LÄN</t>
        </is>
      </c>
      <c r="E698" t="inlineStr">
        <is>
          <t>PITEÅ</t>
        </is>
      </c>
      <c r="G698" t="n">
        <v>5.2</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45895</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45895</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66844-2021</t>
        </is>
      </c>
      <c r="B701" s="1" t="n">
        <v>44520</v>
      </c>
      <c r="C701" s="1" t="n">
        <v>45895</v>
      </c>
      <c r="D701" t="inlineStr">
        <is>
          <t>NORRBOTTENS LÄN</t>
        </is>
      </c>
      <c r="E701" t="inlineStr">
        <is>
          <t>ARJEPLOG</t>
        </is>
      </c>
      <c r="G701" t="n">
        <v>44.8</v>
      </c>
      <c r="H701" t="n">
        <v>0</v>
      </c>
      <c r="I701" t="n">
        <v>0</v>
      </c>
      <c r="J701" t="n">
        <v>0</v>
      </c>
      <c r="K701" t="n">
        <v>0</v>
      </c>
      <c r="L701" t="n">
        <v>0</v>
      </c>
      <c r="M701" t="n">
        <v>0</v>
      </c>
      <c r="N701" t="n">
        <v>0</v>
      </c>
      <c r="O701" t="n">
        <v>0</v>
      </c>
      <c r="P701" t="n">
        <v>0</v>
      </c>
      <c r="Q701" t="n">
        <v>0</v>
      </c>
      <c r="R701" s="2" t="inlineStr"/>
    </row>
    <row r="702" ht="15" customHeight="1">
      <c r="A702" t="inlineStr">
        <is>
          <t>A 69749-2021</t>
        </is>
      </c>
      <c r="B702" s="1" t="n">
        <v>44532</v>
      </c>
      <c r="C702" s="1" t="n">
        <v>45895</v>
      </c>
      <c r="D702" t="inlineStr">
        <is>
          <t>NORRBOTTENS LÄN</t>
        </is>
      </c>
      <c r="E702" t="inlineStr">
        <is>
          <t>PAJALA</t>
        </is>
      </c>
      <c r="F702" t="inlineStr">
        <is>
          <t>Allmännings- och besparingsskogar</t>
        </is>
      </c>
      <c r="G702" t="n">
        <v>5</v>
      </c>
      <c r="H702" t="n">
        <v>0</v>
      </c>
      <c r="I702" t="n">
        <v>0</v>
      </c>
      <c r="J702" t="n">
        <v>0</v>
      </c>
      <c r="K702" t="n">
        <v>0</v>
      </c>
      <c r="L702" t="n">
        <v>0</v>
      </c>
      <c r="M702" t="n">
        <v>0</v>
      </c>
      <c r="N702" t="n">
        <v>0</v>
      </c>
      <c r="O702" t="n">
        <v>0</v>
      </c>
      <c r="P702" t="n">
        <v>0</v>
      </c>
      <c r="Q702" t="n">
        <v>0</v>
      </c>
      <c r="R702" s="2" t="inlineStr"/>
    </row>
    <row r="703" ht="15" customHeight="1">
      <c r="A703" t="inlineStr">
        <is>
          <t>A 22988-2022</t>
        </is>
      </c>
      <c r="B703" s="1" t="n">
        <v>44718</v>
      </c>
      <c r="C703" s="1" t="n">
        <v>45895</v>
      </c>
      <c r="D703" t="inlineStr">
        <is>
          <t>NORRBOTTENS LÄN</t>
        </is>
      </c>
      <c r="E703" t="inlineStr">
        <is>
          <t>ÖVERKALIX</t>
        </is>
      </c>
      <c r="G703" t="n">
        <v>13.2</v>
      </c>
      <c r="H703" t="n">
        <v>0</v>
      </c>
      <c r="I703" t="n">
        <v>0</v>
      </c>
      <c r="J703" t="n">
        <v>0</v>
      </c>
      <c r="K703" t="n">
        <v>0</v>
      </c>
      <c r="L703" t="n">
        <v>0</v>
      </c>
      <c r="M703" t="n">
        <v>0</v>
      </c>
      <c r="N703" t="n">
        <v>0</v>
      </c>
      <c r="O703" t="n">
        <v>0</v>
      </c>
      <c r="P703" t="n">
        <v>0</v>
      </c>
      <c r="Q703" t="n">
        <v>0</v>
      </c>
      <c r="R703" s="2" t="inlineStr"/>
    </row>
    <row r="704" ht="15" customHeight="1">
      <c r="A704" t="inlineStr">
        <is>
          <t>A 38371-2022</t>
        </is>
      </c>
      <c r="B704" s="1" t="n">
        <v>44812</v>
      </c>
      <c r="C704" s="1" t="n">
        <v>45895</v>
      </c>
      <c r="D704" t="inlineStr">
        <is>
          <t>NORRBOTTENS LÄN</t>
        </is>
      </c>
      <c r="E704" t="inlineStr">
        <is>
          <t>KALIX</t>
        </is>
      </c>
      <c r="G704" t="n">
        <v>4.2</v>
      </c>
      <c r="H704" t="n">
        <v>0</v>
      </c>
      <c r="I704" t="n">
        <v>0</v>
      </c>
      <c r="J704" t="n">
        <v>0</v>
      </c>
      <c r="K704" t="n">
        <v>0</v>
      </c>
      <c r="L704" t="n">
        <v>0</v>
      </c>
      <c r="M704" t="n">
        <v>0</v>
      </c>
      <c r="N704" t="n">
        <v>0</v>
      </c>
      <c r="O704" t="n">
        <v>0</v>
      </c>
      <c r="P704" t="n">
        <v>0</v>
      </c>
      <c r="Q704" t="n">
        <v>0</v>
      </c>
      <c r="R704" s="2" t="inlineStr"/>
    </row>
    <row r="705" ht="15" customHeight="1">
      <c r="A705" t="inlineStr">
        <is>
          <t>A 2380-2021</t>
        </is>
      </c>
      <c r="B705" s="1" t="n">
        <v>44211</v>
      </c>
      <c r="C705" s="1" t="n">
        <v>45895</v>
      </c>
      <c r="D705" t="inlineStr">
        <is>
          <t>NORRBOTTENS LÄN</t>
        </is>
      </c>
      <c r="E705" t="inlineStr">
        <is>
          <t>LULEÅ</t>
        </is>
      </c>
      <c r="G705" t="n">
        <v>1.1</v>
      </c>
      <c r="H705" t="n">
        <v>0</v>
      </c>
      <c r="I705" t="n">
        <v>0</v>
      </c>
      <c r="J705" t="n">
        <v>0</v>
      </c>
      <c r="K705" t="n">
        <v>0</v>
      </c>
      <c r="L705" t="n">
        <v>0</v>
      </c>
      <c r="M705" t="n">
        <v>0</v>
      </c>
      <c r="N705" t="n">
        <v>0</v>
      </c>
      <c r="O705" t="n">
        <v>0</v>
      </c>
      <c r="P705" t="n">
        <v>0</v>
      </c>
      <c r="Q705" t="n">
        <v>0</v>
      </c>
      <c r="R705" s="2" t="inlineStr"/>
    </row>
    <row r="706" ht="15" customHeight="1">
      <c r="A706" t="inlineStr">
        <is>
          <t>A 2397-2021</t>
        </is>
      </c>
      <c r="B706" s="1" t="n">
        <v>44211</v>
      </c>
      <c r="C706" s="1" t="n">
        <v>45895</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47546-2022</t>
        </is>
      </c>
      <c r="B707" s="1" t="n">
        <v>44853.92756944444</v>
      </c>
      <c r="C707" s="1" t="n">
        <v>45895</v>
      </c>
      <c r="D707" t="inlineStr">
        <is>
          <t>NORRBOTTENS LÄN</t>
        </is>
      </c>
      <c r="E707" t="inlineStr">
        <is>
          <t>KALIX</t>
        </is>
      </c>
      <c r="G707" t="n">
        <v>0.5</v>
      </c>
      <c r="H707" t="n">
        <v>0</v>
      </c>
      <c r="I707" t="n">
        <v>0</v>
      </c>
      <c r="J707" t="n">
        <v>0</v>
      </c>
      <c r="K707" t="n">
        <v>0</v>
      </c>
      <c r="L707" t="n">
        <v>0</v>
      </c>
      <c r="M707" t="n">
        <v>0</v>
      </c>
      <c r="N707" t="n">
        <v>0</v>
      </c>
      <c r="O707" t="n">
        <v>0</v>
      </c>
      <c r="P707" t="n">
        <v>0</v>
      </c>
      <c r="Q707" t="n">
        <v>0</v>
      </c>
      <c r="R707" s="2" t="inlineStr"/>
    </row>
    <row r="708" ht="15" customHeight="1">
      <c r="A708" t="inlineStr">
        <is>
          <t>A 40248-2022</t>
        </is>
      </c>
      <c r="B708" s="1" t="n">
        <v>44820</v>
      </c>
      <c r="C708" s="1" t="n">
        <v>45895</v>
      </c>
      <c r="D708" t="inlineStr">
        <is>
          <t>NORRBOTTENS LÄN</t>
        </is>
      </c>
      <c r="E708" t="inlineStr">
        <is>
          <t>JOKKMOKK</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3248-2021</t>
        </is>
      </c>
      <c r="B709" s="1" t="n">
        <v>44215</v>
      </c>
      <c r="C709" s="1" t="n">
        <v>45895</v>
      </c>
      <c r="D709" t="inlineStr">
        <is>
          <t>NORRBOTTENS LÄN</t>
        </is>
      </c>
      <c r="E709" t="inlineStr">
        <is>
          <t>BODEN</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28542-2022</t>
        </is>
      </c>
      <c r="B710" s="1" t="n">
        <v>44748</v>
      </c>
      <c r="C710" s="1" t="n">
        <v>45895</v>
      </c>
      <c r="D710" t="inlineStr">
        <is>
          <t>NORRBOTTENS LÄN</t>
        </is>
      </c>
      <c r="E710" t="inlineStr">
        <is>
          <t>HAPARANDA</t>
        </is>
      </c>
      <c r="G710" t="n">
        <v>6</v>
      </c>
      <c r="H710" t="n">
        <v>0</v>
      </c>
      <c r="I710" t="n">
        <v>0</v>
      </c>
      <c r="J710" t="n">
        <v>0</v>
      </c>
      <c r="K710" t="n">
        <v>0</v>
      </c>
      <c r="L710" t="n">
        <v>0</v>
      </c>
      <c r="M710" t="n">
        <v>0</v>
      </c>
      <c r="N710" t="n">
        <v>0</v>
      </c>
      <c r="O710" t="n">
        <v>0</v>
      </c>
      <c r="P710" t="n">
        <v>0</v>
      </c>
      <c r="Q710" t="n">
        <v>0</v>
      </c>
      <c r="R710" s="2" t="inlineStr"/>
    </row>
    <row r="711" ht="15" customHeight="1">
      <c r="A711" t="inlineStr">
        <is>
          <t>A 45018-2021</t>
        </is>
      </c>
      <c r="B711" s="1" t="n">
        <v>44438</v>
      </c>
      <c r="C711" s="1" t="n">
        <v>45895</v>
      </c>
      <c r="D711" t="inlineStr">
        <is>
          <t>NORRBOTTENS LÄN</t>
        </is>
      </c>
      <c r="E711" t="inlineStr">
        <is>
          <t>PAJALA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49284-2022</t>
        </is>
      </c>
      <c r="B712" s="1" t="n">
        <v>44861.45222222222</v>
      </c>
      <c r="C712" s="1" t="n">
        <v>45895</v>
      </c>
      <c r="D712" t="inlineStr">
        <is>
          <t>NORRBOTTENS LÄN</t>
        </is>
      </c>
      <c r="E712" t="inlineStr">
        <is>
          <t>HAPARANDA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17000-2022</t>
        </is>
      </c>
      <c r="B713" s="1" t="n">
        <v>44676</v>
      </c>
      <c r="C713" s="1" t="n">
        <v>45895</v>
      </c>
      <c r="D713" t="inlineStr">
        <is>
          <t>NORRBOTTENS LÄN</t>
        </is>
      </c>
      <c r="E713" t="inlineStr">
        <is>
          <t>JOKKMOKK</t>
        </is>
      </c>
      <c r="G713" t="n">
        <v>36.6</v>
      </c>
      <c r="H713" t="n">
        <v>0</v>
      </c>
      <c r="I713" t="n">
        <v>0</v>
      </c>
      <c r="J713" t="n">
        <v>0</v>
      </c>
      <c r="K713" t="n">
        <v>0</v>
      </c>
      <c r="L713" t="n">
        <v>0</v>
      </c>
      <c r="M713" t="n">
        <v>0</v>
      </c>
      <c r="N713" t="n">
        <v>0</v>
      </c>
      <c r="O713" t="n">
        <v>0</v>
      </c>
      <c r="P713" t="n">
        <v>0</v>
      </c>
      <c r="Q713" t="n">
        <v>0</v>
      </c>
      <c r="R713" s="2" t="inlineStr"/>
    </row>
    <row r="714" ht="15" customHeight="1">
      <c r="A714" t="inlineStr">
        <is>
          <t>A 4822-2021</t>
        </is>
      </c>
      <c r="B714" s="1" t="n">
        <v>44223</v>
      </c>
      <c r="C714" s="1" t="n">
        <v>45895</v>
      </c>
      <c r="D714" t="inlineStr">
        <is>
          <t>NORRBOTTENS LÄN</t>
        </is>
      </c>
      <c r="E714" t="inlineStr">
        <is>
          <t>PAJALA</t>
        </is>
      </c>
      <c r="G714" t="n">
        <v>0.7</v>
      </c>
      <c r="H714" t="n">
        <v>0</v>
      </c>
      <c r="I714" t="n">
        <v>0</v>
      </c>
      <c r="J714" t="n">
        <v>0</v>
      </c>
      <c r="K714" t="n">
        <v>0</v>
      </c>
      <c r="L714" t="n">
        <v>0</v>
      </c>
      <c r="M714" t="n">
        <v>0</v>
      </c>
      <c r="N714" t="n">
        <v>0</v>
      </c>
      <c r="O714" t="n">
        <v>0</v>
      </c>
      <c r="P714" t="n">
        <v>0</v>
      </c>
      <c r="Q714" t="n">
        <v>0</v>
      </c>
      <c r="R714" s="2" t="inlineStr"/>
    </row>
    <row r="715" ht="15" customHeight="1">
      <c r="A715" t="inlineStr">
        <is>
          <t>A 35845-2021</t>
        </is>
      </c>
      <c r="B715" s="1" t="n">
        <v>44386.91877314815</v>
      </c>
      <c r="C715" s="1" t="n">
        <v>45895</v>
      </c>
      <c r="D715" t="inlineStr">
        <is>
          <t>NORRBOTTENS LÄN</t>
        </is>
      </c>
      <c r="E715" t="inlineStr">
        <is>
          <t>ÖVERKALIX</t>
        </is>
      </c>
      <c r="G715" t="n">
        <v>3</v>
      </c>
      <c r="H715" t="n">
        <v>0</v>
      </c>
      <c r="I715" t="n">
        <v>0</v>
      </c>
      <c r="J715" t="n">
        <v>0</v>
      </c>
      <c r="K715" t="n">
        <v>0</v>
      </c>
      <c r="L715" t="n">
        <v>0</v>
      </c>
      <c r="M715" t="n">
        <v>0</v>
      </c>
      <c r="N715" t="n">
        <v>0</v>
      </c>
      <c r="O715" t="n">
        <v>0</v>
      </c>
      <c r="P715" t="n">
        <v>0</v>
      </c>
      <c r="Q715" t="n">
        <v>0</v>
      </c>
      <c r="R715" s="2" t="inlineStr"/>
    </row>
    <row r="716" ht="15" customHeight="1">
      <c r="A716" t="inlineStr">
        <is>
          <t>A 52003-2021</t>
        </is>
      </c>
      <c r="B716" s="1" t="n">
        <v>44463</v>
      </c>
      <c r="C716" s="1" t="n">
        <v>45895</v>
      </c>
      <c r="D716" t="inlineStr">
        <is>
          <t>NORRBOTTENS LÄN</t>
        </is>
      </c>
      <c r="E716" t="inlineStr">
        <is>
          <t>PITEÅ</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2691-2021</t>
        </is>
      </c>
      <c r="B717" s="1" t="n">
        <v>44215</v>
      </c>
      <c r="C717" s="1" t="n">
        <v>45895</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2704-2021</t>
        </is>
      </c>
      <c r="B718" s="1" t="n">
        <v>44215</v>
      </c>
      <c r="C718" s="1" t="n">
        <v>45895</v>
      </c>
      <c r="D718" t="inlineStr">
        <is>
          <t>NORRBOTTENS LÄN</t>
        </is>
      </c>
      <c r="E718" t="inlineStr">
        <is>
          <t>KALIX</t>
        </is>
      </c>
      <c r="G718" t="n">
        <v>0.7</v>
      </c>
      <c r="H718" t="n">
        <v>0</v>
      </c>
      <c r="I718" t="n">
        <v>0</v>
      </c>
      <c r="J718" t="n">
        <v>0</v>
      </c>
      <c r="K718" t="n">
        <v>0</v>
      </c>
      <c r="L718" t="n">
        <v>0</v>
      </c>
      <c r="M718" t="n">
        <v>0</v>
      </c>
      <c r="N718" t="n">
        <v>0</v>
      </c>
      <c r="O718" t="n">
        <v>0</v>
      </c>
      <c r="P718" t="n">
        <v>0</v>
      </c>
      <c r="Q718" t="n">
        <v>0</v>
      </c>
      <c r="R718" s="2" t="inlineStr"/>
    </row>
    <row r="719" ht="15" customHeight="1">
      <c r="A719" t="inlineStr">
        <is>
          <t>A 2743-2021</t>
        </is>
      </c>
      <c r="B719" s="1" t="n">
        <v>44214</v>
      </c>
      <c r="C719" s="1" t="n">
        <v>45895</v>
      </c>
      <c r="D719" t="inlineStr">
        <is>
          <t>NORRBOTTENS LÄN</t>
        </is>
      </c>
      <c r="E719" t="inlineStr">
        <is>
          <t>ÖVERTORNEÅ</t>
        </is>
      </c>
      <c r="G719" t="n">
        <v>3.4</v>
      </c>
      <c r="H719" t="n">
        <v>0</v>
      </c>
      <c r="I719" t="n">
        <v>0</v>
      </c>
      <c r="J719" t="n">
        <v>0</v>
      </c>
      <c r="K719" t="n">
        <v>0</v>
      </c>
      <c r="L719" t="n">
        <v>0</v>
      </c>
      <c r="M719" t="n">
        <v>0</v>
      </c>
      <c r="N719" t="n">
        <v>0</v>
      </c>
      <c r="O719" t="n">
        <v>0</v>
      </c>
      <c r="P719" t="n">
        <v>0</v>
      </c>
      <c r="Q719" t="n">
        <v>0</v>
      </c>
      <c r="R719" s="2" t="inlineStr"/>
    </row>
    <row r="720" ht="15" customHeight="1">
      <c r="A720" t="inlineStr">
        <is>
          <t>A 54525-2021</t>
        </is>
      </c>
      <c r="B720" s="1" t="n">
        <v>44473</v>
      </c>
      <c r="C720" s="1" t="n">
        <v>45895</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55723-2021</t>
        </is>
      </c>
      <c r="B721" s="1" t="n">
        <v>44476</v>
      </c>
      <c r="C721" s="1" t="n">
        <v>45895</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47379-2020</t>
        </is>
      </c>
      <c r="B722" s="1" t="n">
        <v>44097</v>
      </c>
      <c r="C722" s="1" t="n">
        <v>45895</v>
      </c>
      <c r="D722" t="inlineStr">
        <is>
          <t>NORRBOTTENS LÄN</t>
        </is>
      </c>
      <c r="E722" t="inlineStr">
        <is>
          <t>GÄLLIVARE</t>
        </is>
      </c>
      <c r="F722" t="inlineStr">
        <is>
          <t>Sveaskog</t>
        </is>
      </c>
      <c r="G722" t="n">
        <v>9.6</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45895</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51436-2020</t>
        </is>
      </c>
      <c r="B724" s="1" t="n">
        <v>44113</v>
      </c>
      <c r="C724" s="1" t="n">
        <v>45895</v>
      </c>
      <c r="D724" t="inlineStr">
        <is>
          <t>NORRBOTTENS LÄN</t>
        </is>
      </c>
      <c r="E724" t="inlineStr">
        <is>
          <t>JOKKMOKK</t>
        </is>
      </c>
      <c r="F724" t="inlineStr">
        <is>
          <t>Sveaskog</t>
        </is>
      </c>
      <c r="G724" t="n">
        <v>10.7</v>
      </c>
      <c r="H724" t="n">
        <v>0</v>
      </c>
      <c r="I724" t="n">
        <v>0</v>
      </c>
      <c r="J724" t="n">
        <v>0</v>
      </c>
      <c r="K724" t="n">
        <v>0</v>
      </c>
      <c r="L724" t="n">
        <v>0</v>
      </c>
      <c r="M724" t="n">
        <v>0</v>
      </c>
      <c r="N724" t="n">
        <v>0</v>
      </c>
      <c r="O724" t="n">
        <v>0</v>
      </c>
      <c r="P724" t="n">
        <v>0</v>
      </c>
      <c r="Q724" t="n">
        <v>0</v>
      </c>
      <c r="R724" s="2" t="inlineStr"/>
    </row>
    <row r="725" ht="15" customHeight="1">
      <c r="A725" t="inlineStr">
        <is>
          <t>A 51438-2020</t>
        </is>
      </c>
      <c r="B725" s="1" t="n">
        <v>44113</v>
      </c>
      <c r="C725" s="1" t="n">
        <v>45895</v>
      </c>
      <c r="D725" t="inlineStr">
        <is>
          <t>NORRBOTTENS LÄN</t>
        </is>
      </c>
      <c r="E725" t="inlineStr">
        <is>
          <t>JOKKMOKK</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52055-2020</t>
        </is>
      </c>
      <c r="B726" s="1" t="n">
        <v>44116</v>
      </c>
      <c r="C726" s="1" t="n">
        <v>45895</v>
      </c>
      <c r="D726" t="inlineStr">
        <is>
          <t>NORRBOTTENS LÄN</t>
        </is>
      </c>
      <c r="E726" t="inlineStr">
        <is>
          <t>GÄLLIVARE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8224-2021</t>
        </is>
      </c>
      <c r="B727" s="1" t="n">
        <v>44244</v>
      </c>
      <c r="C727" s="1" t="n">
        <v>45895</v>
      </c>
      <c r="D727" t="inlineStr">
        <is>
          <t>NORRBOTTENS LÄN</t>
        </is>
      </c>
      <c r="E727" t="inlineStr">
        <is>
          <t>ÖVERKALIX</t>
        </is>
      </c>
      <c r="G727" t="n">
        <v>1.2</v>
      </c>
      <c r="H727" t="n">
        <v>0</v>
      </c>
      <c r="I727" t="n">
        <v>0</v>
      </c>
      <c r="J727" t="n">
        <v>0</v>
      </c>
      <c r="K727" t="n">
        <v>0</v>
      </c>
      <c r="L727" t="n">
        <v>0</v>
      </c>
      <c r="M727" t="n">
        <v>0</v>
      </c>
      <c r="N727" t="n">
        <v>0</v>
      </c>
      <c r="O727" t="n">
        <v>0</v>
      </c>
      <c r="P727" t="n">
        <v>0</v>
      </c>
      <c r="Q727" t="n">
        <v>0</v>
      </c>
      <c r="R727" s="2" t="inlineStr"/>
    </row>
    <row r="728" ht="15" customHeight="1">
      <c r="A728" t="inlineStr">
        <is>
          <t>A 15157-2021</t>
        </is>
      </c>
      <c r="B728" s="1" t="n">
        <v>44284</v>
      </c>
      <c r="C728" s="1" t="n">
        <v>45895</v>
      </c>
      <c r="D728" t="inlineStr">
        <is>
          <t>NORRBOTTENS LÄN</t>
        </is>
      </c>
      <c r="E728" t="inlineStr">
        <is>
          <t>HAPARANDA</t>
        </is>
      </c>
      <c r="G728" t="n">
        <v>1</v>
      </c>
      <c r="H728" t="n">
        <v>0</v>
      </c>
      <c r="I728" t="n">
        <v>0</v>
      </c>
      <c r="J728" t="n">
        <v>0</v>
      </c>
      <c r="K728" t="n">
        <v>0</v>
      </c>
      <c r="L728" t="n">
        <v>0</v>
      </c>
      <c r="M728" t="n">
        <v>0</v>
      </c>
      <c r="N728" t="n">
        <v>0</v>
      </c>
      <c r="O728" t="n">
        <v>0</v>
      </c>
      <c r="P728" t="n">
        <v>0</v>
      </c>
      <c r="Q728" t="n">
        <v>0</v>
      </c>
      <c r="R728" s="2" t="inlineStr"/>
    </row>
    <row r="729" ht="15" customHeight="1">
      <c r="A729" t="inlineStr">
        <is>
          <t>A 70706-2021</t>
        </is>
      </c>
      <c r="B729" s="1" t="n">
        <v>44536</v>
      </c>
      <c r="C729" s="1" t="n">
        <v>45895</v>
      </c>
      <c r="D729" t="inlineStr">
        <is>
          <t>NORRBOTTENS LÄN</t>
        </is>
      </c>
      <c r="E729" t="inlineStr">
        <is>
          <t>PITEÅ</t>
        </is>
      </c>
      <c r="G729" t="n">
        <v>4.9</v>
      </c>
      <c r="H729" t="n">
        <v>0</v>
      </c>
      <c r="I729" t="n">
        <v>0</v>
      </c>
      <c r="J729" t="n">
        <v>0</v>
      </c>
      <c r="K729" t="n">
        <v>0</v>
      </c>
      <c r="L729" t="n">
        <v>0</v>
      </c>
      <c r="M729" t="n">
        <v>0</v>
      </c>
      <c r="N729" t="n">
        <v>0</v>
      </c>
      <c r="O729" t="n">
        <v>0</v>
      </c>
      <c r="P729" t="n">
        <v>0</v>
      </c>
      <c r="Q729" t="n">
        <v>0</v>
      </c>
      <c r="R729" s="2" t="inlineStr"/>
    </row>
    <row r="730" ht="15" customHeight="1">
      <c r="A730" t="inlineStr">
        <is>
          <t>A 60106-2020</t>
        </is>
      </c>
      <c r="B730" s="1" t="n">
        <v>44151</v>
      </c>
      <c r="C730" s="1" t="n">
        <v>45895</v>
      </c>
      <c r="D730" t="inlineStr">
        <is>
          <t>NORRBOTTENS LÄN</t>
        </is>
      </c>
      <c r="E730" t="inlineStr">
        <is>
          <t>PAJALA</t>
        </is>
      </c>
      <c r="G730" t="n">
        <v>3</v>
      </c>
      <c r="H730" t="n">
        <v>0</v>
      </c>
      <c r="I730" t="n">
        <v>0</v>
      </c>
      <c r="J730" t="n">
        <v>0</v>
      </c>
      <c r="K730" t="n">
        <v>0</v>
      </c>
      <c r="L730" t="n">
        <v>0</v>
      </c>
      <c r="M730" t="n">
        <v>0</v>
      </c>
      <c r="N730" t="n">
        <v>0</v>
      </c>
      <c r="O730" t="n">
        <v>0</v>
      </c>
      <c r="P730" t="n">
        <v>0</v>
      </c>
      <c r="Q730" t="n">
        <v>0</v>
      </c>
      <c r="R730" s="2" t="inlineStr"/>
    </row>
    <row r="731" ht="15" customHeight="1">
      <c r="A731" t="inlineStr">
        <is>
          <t>A 13091-2021</t>
        </is>
      </c>
      <c r="B731" s="1" t="n">
        <v>44271</v>
      </c>
      <c r="C731" s="1" t="n">
        <v>45895</v>
      </c>
      <c r="D731" t="inlineStr">
        <is>
          <t>NORRBOTTENS LÄN</t>
        </is>
      </c>
      <c r="E731" t="inlineStr">
        <is>
          <t>HAPARANDA</t>
        </is>
      </c>
      <c r="G731" t="n">
        <v>5.3</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45895</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61948-2020</t>
        </is>
      </c>
      <c r="B733" s="1" t="n">
        <v>44155</v>
      </c>
      <c r="C733" s="1" t="n">
        <v>45895</v>
      </c>
      <c r="D733" t="inlineStr">
        <is>
          <t>NORRBOTTENS LÄN</t>
        </is>
      </c>
      <c r="E733" t="inlineStr">
        <is>
          <t>PITEÅ</t>
        </is>
      </c>
      <c r="G733" t="n">
        <v>3.3</v>
      </c>
      <c r="H733" t="n">
        <v>0</v>
      </c>
      <c r="I733" t="n">
        <v>0</v>
      </c>
      <c r="J733" t="n">
        <v>0</v>
      </c>
      <c r="K733" t="n">
        <v>0</v>
      </c>
      <c r="L733" t="n">
        <v>0</v>
      </c>
      <c r="M733" t="n">
        <v>0</v>
      </c>
      <c r="N733" t="n">
        <v>0</v>
      </c>
      <c r="O733" t="n">
        <v>0</v>
      </c>
      <c r="P733" t="n">
        <v>0</v>
      </c>
      <c r="Q733" t="n">
        <v>0</v>
      </c>
      <c r="R733" s="2" t="inlineStr"/>
    </row>
    <row r="734" ht="15" customHeight="1">
      <c r="A734" t="inlineStr">
        <is>
          <t>A 73757-2021</t>
        </is>
      </c>
      <c r="B734" s="1" t="n">
        <v>44551</v>
      </c>
      <c r="C734" s="1" t="n">
        <v>45895</v>
      </c>
      <c r="D734" t="inlineStr">
        <is>
          <t>NORRBOTTENS LÄN</t>
        </is>
      </c>
      <c r="E734" t="inlineStr">
        <is>
          <t>ÖVERKALIX</t>
        </is>
      </c>
      <c r="G734" t="n">
        <v>3.3</v>
      </c>
      <c r="H734" t="n">
        <v>0</v>
      </c>
      <c r="I734" t="n">
        <v>0</v>
      </c>
      <c r="J734" t="n">
        <v>0</v>
      </c>
      <c r="K734" t="n">
        <v>0</v>
      </c>
      <c r="L734" t="n">
        <v>0</v>
      </c>
      <c r="M734" t="n">
        <v>0</v>
      </c>
      <c r="N734" t="n">
        <v>0</v>
      </c>
      <c r="O734" t="n">
        <v>0</v>
      </c>
      <c r="P734" t="n">
        <v>0</v>
      </c>
      <c r="Q734" t="n">
        <v>0</v>
      </c>
      <c r="R734" s="2" t="inlineStr"/>
    </row>
    <row r="735" ht="15" customHeight="1">
      <c r="A735" t="inlineStr">
        <is>
          <t>A 56363-2020</t>
        </is>
      </c>
      <c r="B735" s="1" t="n">
        <v>44135</v>
      </c>
      <c r="C735" s="1" t="n">
        <v>45895</v>
      </c>
      <c r="D735" t="inlineStr">
        <is>
          <t>NORRBOTTENS LÄN</t>
        </is>
      </c>
      <c r="E735" t="inlineStr">
        <is>
          <t>ÖVERTORNEÅ</t>
        </is>
      </c>
      <c r="G735" t="n">
        <v>0.5</v>
      </c>
      <c r="H735" t="n">
        <v>0</v>
      </c>
      <c r="I735" t="n">
        <v>0</v>
      </c>
      <c r="J735" t="n">
        <v>0</v>
      </c>
      <c r="K735" t="n">
        <v>0</v>
      </c>
      <c r="L735" t="n">
        <v>0</v>
      </c>
      <c r="M735" t="n">
        <v>0</v>
      </c>
      <c r="N735" t="n">
        <v>0</v>
      </c>
      <c r="O735" t="n">
        <v>0</v>
      </c>
      <c r="P735" t="n">
        <v>0</v>
      </c>
      <c r="Q735" t="n">
        <v>0</v>
      </c>
      <c r="R735" s="2" t="inlineStr"/>
    </row>
    <row r="736" ht="15" customHeight="1">
      <c r="A736" t="inlineStr">
        <is>
          <t>A 22608-2021</t>
        </is>
      </c>
      <c r="B736" s="1" t="n">
        <v>44327</v>
      </c>
      <c r="C736" s="1" t="n">
        <v>45895</v>
      </c>
      <c r="D736" t="inlineStr">
        <is>
          <t>NORRBOTTENS LÄN</t>
        </is>
      </c>
      <c r="E736" t="inlineStr">
        <is>
          <t>KALIX</t>
        </is>
      </c>
      <c r="G736" t="n">
        <v>3.9</v>
      </c>
      <c r="H736" t="n">
        <v>0</v>
      </c>
      <c r="I736" t="n">
        <v>0</v>
      </c>
      <c r="J736" t="n">
        <v>0</v>
      </c>
      <c r="K736" t="n">
        <v>0</v>
      </c>
      <c r="L736" t="n">
        <v>0</v>
      </c>
      <c r="M736" t="n">
        <v>0</v>
      </c>
      <c r="N736" t="n">
        <v>0</v>
      </c>
      <c r="O736" t="n">
        <v>0</v>
      </c>
      <c r="P736" t="n">
        <v>0</v>
      </c>
      <c r="Q736" t="n">
        <v>0</v>
      </c>
      <c r="R736" s="2" t="inlineStr"/>
    </row>
    <row r="737" ht="15" customHeight="1">
      <c r="A737" t="inlineStr">
        <is>
          <t>A 51128-2020</t>
        </is>
      </c>
      <c r="B737" s="1" t="n">
        <v>44112</v>
      </c>
      <c r="C737" s="1" t="n">
        <v>45895</v>
      </c>
      <c r="D737" t="inlineStr">
        <is>
          <t>NORRBOTTENS LÄN</t>
        </is>
      </c>
      <c r="E737" t="inlineStr">
        <is>
          <t>LULEÅ</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3438-2021</t>
        </is>
      </c>
      <c r="B738" s="1" t="n">
        <v>44216</v>
      </c>
      <c r="C738" s="1" t="n">
        <v>45895</v>
      </c>
      <c r="D738" t="inlineStr">
        <is>
          <t>NORRBOTTENS LÄN</t>
        </is>
      </c>
      <c r="E738" t="inlineStr">
        <is>
          <t>KIRUNA</t>
        </is>
      </c>
      <c r="G738" t="n">
        <v>1.4</v>
      </c>
      <c r="H738" t="n">
        <v>0</v>
      </c>
      <c r="I738" t="n">
        <v>0</v>
      </c>
      <c r="J738" t="n">
        <v>0</v>
      </c>
      <c r="K738" t="n">
        <v>0</v>
      </c>
      <c r="L738" t="n">
        <v>0</v>
      </c>
      <c r="M738" t="n">
        <v>0</v>
      </c>
      <c r="N738" t="n">
        <v>0</v>
      </c>
      <c r="O738" t="n">
        <v>0</v>
      </c>
      <c r="P738" t="n">
        <v>0</v>
      </c>
      <c r="Q738" t="n">
        <v>0</v>
      </c>
      <c r="R738" s="2" t="inlineStr"/>
    </row>
    <row r="739" ht="15" customHeight="1">
      <c r="A739" t="inlineStr">
        <is>
          <t>A 15491-2021</t>
        </is>
      </c>
      <c r="B739" s="1" t="n">
        <v>44274</v>
      </c>
      <c r="C739" s="1" t="n">
        <v>45895</v>
      </c>
      <c r="D739" t="inlineStr">
        <is>
          <t>NORRBOTTENS LÄN</t>
        </is>
      </c>
      <c r="E739" t="inlineStr">
        <is>
          <t>BODEN</t>
        </is>
      </c>
      <c r="G739" t="n">
        <v>1</v>
      </c>
      <c r="H739" t="n">
        <v>0</v>
      </c>
      <c r="I739" t="n">
        <v>0</v>
      </c>
      <c r="J739" t="n">
        <v>0</v>
      </c>
      <c r="K739" t="n">
        <v>0</v>
      </c>
      <c r="L739" t="n">
        <v>0</v>
      </c>
      <c r="M739" t="n">
        <v>0</v>
      </c>
      <c r="N739" t="n">
        <v>0</v>
      </c>
      <c r="O739" t="n">
        <v>0</v>
      </c>
      <c r="P739" t="n">
        <v>0</v>
      </c>
      <c r="Q739" t="n">
        <v>0</v>
      </c>
      <c r="R739" s="2" t="inlineStr"/>
    </row>
    <row r="740" ht="15" customHeight="1">
      <c r="A740" t="inlineStr">
        <is>
          <t>A 2805-2021</t>
        </is>
      </c>
      <c r="B740" s="1" t="n">
        <v>44215</v>
      </c>
      <c r="C740" s="1" t="n">
        <v>45895</v>
      </c>
      <c r="D740" t="inlineStr">
        <is>
          <t>NORRBOTTENS LÄN</t>
        </is>
      </c>
      <c r="E740" t="inlineStr">
        <is>
          <t>KALIX</t>
        </is>
      </c>
      <c r="G740" t="n">
        <v>1.6</v>
      </c>
      <c r="H740" t="n">
        <v>0</v>
      </c>
      <c r="I740" t="n">
        <v>0</v>
      </c>
      <c r="J740" t="n">
        <v>0</v>
      </c>
      <c r="K740" t="n">
        <v>0</v>
      </c>
      <c r="L740" t="n">
        <v>0</v>
      </c>
      <c r="M740" t="n">
        <v>0</v>
      </c>
      <c r="N740" t="n">
        <v>0</v>
      </c>
      <c r="O740" t="n">
        <v>0</v>
      </c>
      <c r="P740" t="n">
        <v>0</v>
      </c>
      <c r="Q740" t="n">
        <v>0</v>
      </c>
      <c r="R740" s="2" t="inlineStr"/>
    </row>
    <row r="741" ht="15" customHeight="1">
      <c r="A741" t="inlineStr">
        <is>
          <t>A 2808-2021</t>
        </is>
      </c>
      <c r="B741" s="1" t="n">
        <v>44215</v>
      </c>
      <c r="C741" s="1" t="n">
        <v>45895</v>
      </c>
      <c r="D741" t="inlineStr">
        <is>
          <t>NORRBOTTENS LÄN</t>
        </is>
      </c>
      <c r="E741" t="inlineStr">
        <is>
          <t>KALIX</t>
        </is>
      </c>
      <c r="G741" t="n">
        <v>2.8</v>
      </c>
      <c r="H741" t="n">
        <v>0</v>
      </c>
      <c r="I741" t="n">
        <v>0</v>
      </c>
      <c r="J741" t="n">
        <v>0</v>
      </c>
      <c r="K741" t="n">
        <v>0</v>
      </c>
      <c r="L741" t="n">
        <v>0</v>
      </c>
      <c r="M741" t="n">
        <v>0</v>
      </c>
      <c r="N741" t="n">
        <v>0</v>
      </c>
      <c r="O741" t="n">
        <v>0</v>
      </c>
      <c r="P741" t="n">
        <v>0</v>
      </c>
      <c r="Q741" t="n">
        <v>0</v>
      </c>
      <c r="R741" s="2" t="inlineStr"/>
    </row>
    <row r="742" ht="15" customHeight="1">
      <c r="A742" t="inlineStr">
        <is>
          <t>A 32521-2021</t>
        </is>
      </c>
      <c r="B742" s="1" t="n">
        <v>44374</v>
      </c>
      <c r="C742" s="1" t="n">
        <v>45895</v>
      </c>
      <c r="D742" t="inlineStr">
        <is>
          <t>NORRBOTTENS LÄN</t>
        </is>
      </c>
      <c r="E742" t="inlineStr">
        <is>
          <t>ÖVERKALIX</t>
        </is>
      </c>
      <c r="G742" t="n">
        <v>7.1</v>
      </c>
      <c r="H742" t="n">
        <v>0</v>
      </c>
      <c r="I742" t="n">
        <v>0</v>
      </c>
      <c r="J742" t="n">
        <v>0</v>
      </c>
      <c r="K742" t="n">
        <v>0</v>
      </c>
      <c r="L742" t="n">
        <v>0</v>
      </c>
      <c r="M742" t="n">
        <v>0</v>
      </c>
      <c r="N742" t="n">
        <v>0</v>
      </c>
      <c r="O742" t="n">
        <v>0</v>
      </c>
      <c r="P742" t="n">
        <v>0</v>
      </c>
      <c r="Q742" t="n">
        <v>0</v>
      </c>
      <c r="R742" s="2" t="inlineStr"/>
    </row>
    <row r="743" ht="15" customHeight="1">
      <c r="A743" t="inlineStr">
        <is>
          <t>A 70093-2021</t>
        </is>
      </c>
      <c r="B743" s="1" t="n">
        <v>44531</v>
      </c>
      <c r="C743" s="1" t="n">
        <v>45895</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61594-2021</t>
        </is>
      </c>
      <c r="B744" s="1" t="n">
        <v>44497</v>
      </c>
      <c r="C744" s="1" t="n">
        <v>45895</v>
      </c>
      <c r="D744" t="inlineStr">
        <is>
          <t>NORRBOTTENS LÄN</t>
        </is>
      </c>
      <c r="E744" t="inlineStr">
        <is>
          <t>KALIX</t>
        </is>
      </c>
      <c r="G744" t="n">
        <v>0.5</v>
      </c>
      <c r="H744" t="n">
        <v>0</v>
      </c>
      <c r="I744" t="n">
        <v>0</v>
      </c>
      <c r="J744" t="n">
        <v>0</v>
      </c>
      <c r="K744" t="n">
        <v>0</v>
      </c>
      <c r="L744" t="n">
        <v>0</v>
      </c>
      <c r="M744" t="n">
        <v>0</v>
      </c>
      <c r="N744" t="n">
        <v>0</v>
      </c>
      <c r="O744" t="n">
        <v>0</v>
      </c>
      <c r="P744" t="n">
        <v>0</v>
      </c>
      <c r="Q744" t="n">
        <v>0</v>
      </c>
      <c r="R744" s="2" t="inlineStr"/>
    </row>
    <row r="745" ht="15" customHeight="1">
      <c r="A745" t="inlineStr">
        <is>
          <t>A 68701-2020</t>
        </is>
      </c>
      <c r="B745" s="1" t="n">
        <v>44186</v>
      </c>
      <c r="C745" s="1" t="n">
        <v>45895</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48103-2021</t>
        </is>
      </c>
      <c r="B746" s="1" t="n">
        <v>44449.44953703704</v>
      </c>
      <c r="C746" s="1" t="n">
        <v>45895</v>
      </c>
      <c r="D746" t="inlineStr">
        <is>
          <t>NORRBOTTENS LÄN</t>
        </is>
      </c>
      <c r="E746" t="inlineStr">
        <is>
          <t>ÄLVSBYN</t>
        </is>
      </c>
      <c r="G746" t="n">
        <v>1.5</v>
      </c>
      <c r="H746" t="n">
        <v>0</v>
      </c>
      <c r="I746" t="n">
        <v>0</v>
      </c>
      <c r="J746" t="n">
        <v>0</v>
      </c>
      <c r="K746" t="n">
        <v>0</v>
      </c>
      <c r="L746" t="n">
        <v>0</v>
      </c>
      <c r="M746" t="n">
        <v>0</v>
      </c>
      <c r="N746" t="n">
        <v>0</v>
      </c>
      <c r="O746" t="n">
        <v>0</v>
      </c>
      <c r="P746" t="n">
        <v>0</v>
      </c>
      <c r="Q746" t="n">
        <v>0</v>
      </c>
      <c r="R746" s="2" t="inlineStr"/>
    </row>
    <row r="747" ht="15" customHeight="1">
      <c r="A747" t="inlineStr">
        <is>
          <t>A 23073-2021</t>
        </is>
      </c>
      <c r="B747" s="1" t="n">
        <v>44330.35358796296</v>
      </c>
      <c r="C747" s="1" t="n">
        <v>45895</v>
      </c>
      <c r="D747" t="inlineStr">
        <is>
          <t>NORRBOTTENS LÄN</t>
        </is>
      </c>
      <c r="E747" t="inlineStr">
        <is>
          <t>ÖVERKALIX</t>
        </is>
      </c>
      <c r="G747" t="n">
        <v>16</v>
      </c>
      <c r="H747" t="n">
        <v>0</v>
      </c>
      <c r="I747" t="n">
        <v>0</v>
      </c>
      <c r="J747" t="n">
        <v>0</v>
      </c>
      <c r="K747" t="n">
        <v>0</v>
      </c>
      <c r="L747" t="n">
        <v>0</v>
      </c>
      <c r="M747" t="n">
        <v>0</v>
      </c>
      <c r="N747" t="n">
        <v>0</v>
      </c>
      <c r="O747" t="n">
        <v>0</v>
      </c>
      <c r="P747" t="n">
        <v>0</v>
      </c>
      <c r="Q747" t="n">
        <v>0</v>
      </c>
      <c r="R747" s="2" t="inlineStr"/>
    </row>
    <row r="748" ht="15" customHeight="1">
      <c r="A748" t="inlineStr">
        <is>
          <t>A 19364-2021</t>
        </is>
      </c>
      <c r="B748" s="1" t="n">
        <v>44309</v>
      </c>
      <c r="C748" s="1" t="n">
        <v>45895</v>
      </c>
      <c r="D748" t="inlineStr">
        <is>
          <t>NORRBOTTENS LÄN</t>
        </is>
      </c>
      <c r="E748" t="inlineStr">
        <is>
          <t>PITEÅ</t>
        </is>
      </c>
      <c r="G748" t="n">
        <v>5.4</v>
      </c>
      <c r="H748" t="n">
        <v>0</v>
      </c>
      <c r="I748" t="n">
        <v>0</v>
      </c>
      <c r="J748" t="n">
        <v>0</v>
      </c>
      <c r="K748" t="n">
        <v>0</v>
      </c>
      <c r="L748" t="n">
        <v>0</v>
      </c>
      <c r="M748" t="n">
        <v>0</v>
      </c>
      <c r="N748" t="n">
        <v>0</v>
      </c>
      <c r="O748" t="n">
        <v>0</v>
      </c>
      <c r="P748" t="n">
        <v>0</v>
      </c>
      <c r="Q748" t="n">
        <v>0</v>
      </c>
      <c r="R748" s="2" t="inlineStr"/>
    </row>
    <row r="749" ht="15" customHeight="1">
      <c r="A749" t="inlineStr">
        <is>
          <t>A 52459-2020</t>
        </is>
      </c>
      <c r="B749" s="1" t="n">
        <v>44116</v>
      </c>
      <c r="C749" s="1" t="n">
        <v>45895</v>
      </c>
      <c r="D749" t="inlineStr">
        <is>
          <t>NORRBOTTENS LÄN</t>
        </is>
      </c>
      <c r="E749" t="inlineStr">
        <is>
          <t>ARVIDSJAUR</t>
        </is>
      </c>
      <c r="G749" t="n">
        <v>1.1</v>
      </c>
      <c r="H749" t="n">
        <v>0</v>
      </c>
      <c r="I749" t="n">
        <v>0</v>
      </c>
      <c r="J749" t="n">
        <v>0</v>
      </c>
      <c r="K749" t="n">
        <v>0</v>
      </c>
      <c r="L749" t="n">
        <v>0</v>
      </c>
      <c r="M749" t="n">
        <v>0</v>
      </c>
      <c r="N749" t="n">
        <v>0</v>
      </c>
      <c r="O749" t="n">
        <v>0</v>
      </c>
      <c r="P749" t="n">
        <v>0</v>
      </c>
      <c r="Q749" t="n">
        <v>0</v>
      </c>
      <c r="R749" s="2" t="inlineStr"/>
    </row>
    <row r="750" ht="15" customHeight="1">
      <c r="A750" t="inlineStr">
        <is>
          <t>A 17351-2021</t>
        </is>
      </c>
      <c r="B750" s="1" t="n">
        <v>44298</v>
      </c>
      <c r="C750" s="1" t="n">
        <v>45895</v>
      </c>
      <c r="D750" t="inlineStr">
        <is>
          <t>NORRBOTTENS LÄN</t>
        </is>
      </c>
      <c r="E750" t="inlineStr">
        <is>
          <t>KALIX</t>
        </is>
      </c>
      <c r="G750" t="n">
        <v>2.6</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45895</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62856-2021</t>
        </is>
      </c>
      <c r="B752" s="1" t="n">
        <v>44504.58203703703</v>
      </c>
      <c r="C752" s="1" t="n">
        <v>45895</v>
      </c>
      <c r="D752" t="inlineStr">
        <is>
          <t>NORRBOTTENS LÄN</t>
        </is>
      </c>
      <c r="E752" t="inlineStr">
        <is>
          <t>ÖVERTORNEÅ</t>
        </is>
      </c>
      <c r="G752" t="n">
        <v>1.8</v>
      </c>
      <c r="H752" t="n">
        <v>0</v>
      </c>
      <c r="I752" t="n">
        <v>0</v>
      </c>
      <c r="J752" t="n">
        <v>0</v>
      </c>
      <c r="K752" t="n">
        <v>0</v>
      </c>
      <c r="L752" t="n">
        <v>0</v>
      </c>
      <c r="M752" t="n">
        <v>0</v>
      </c>
      <c r="N752" t="n">
        <v>0</v>
      </c>
      <c r="O752" t="n">
        <v>0</v>
      </c>
      <c r="P752" t="n">
        <v>0</v>
      </c>
      <c r="Q752" t="n">
        <v>0</v>
      </c>
      <c r="R752" s="2" t="inlineStr"/>
    </row>
    <row r="753" ht="15" customHeight="1">
      <c r="A753" t="inlineStr">
        <is>
          <t>A 68583-2020</t>
        </is>
      </c>
      <c r="B753" s="1" t="n">
        <v>44186</v>
      </c>
      <c r="C753" s="1" t="n">
        <v>45895</v>
      </c>
      <c r="D753" t="inlineStr">
        <is>
          <t>NORRBOTTENS LÄN</t>
        </is>
      </c>
      <c r="E753" t="inlineStr">
        <is>
          <t>JOKKMOKK</t>
        </is>
      </c>
      <c r="F753" t="inlineStr">
        <is>
          <t>Sveaskog</t>
        </is>
      </c>
      <c r="G753" t="n">
        <v>12.5</v>
      </c>
      <c r="H753" t="n">
        <v>0</v>
      </c>
      <c r="I753" t="n">
        <v>0</v>
      </c>
      <c r="J753" t="n">
        <v>0</v>
      </c>
      <c r="K753" t="n">
        <v>0</v>
      </c>
      <c r="L753" t="n">
        <v>0</v>
      </c>
      <c r="M753" t="n">
        <v>0</v>
      </c>
      <c r="N753" t="n">
        <v>0</v>
      </c>
      <c r="O753" t="n">
        <v>0</v>
      </c>
      <c r="P753" t="n">
        <v>0</v>
      </c>
      <c r="Q753" t="n">
        <v>0</v>
      </c>
      <c r="R753" s="2" t="inlineStr"/>
    </row>
    <row r="754" ht="15" customHeight="1">
      <c r="A754" t="inlineStr">
        <is>
          <t>A 39410-2022</t>
        </is>
      </c>
      <c r="B754" s="1" t="n">
        <v>44817.94975694444</v>
      </c>
      <c r="C754" s="1" t="n">
        <v>45895</v>
      </c>
      <c r="D754" t="inlineStr">
        <is>
          <t>NORRBOTTENS LÄN</t>
        </is>
      </c>
      <c r="E754" t="inlineStr">
        <is>
          <t>PITEÅ</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9580-2022</t>
        </is>
      </c>
      <c r="B755" s="1" t="n">
        <v>44617</v>
      </c>
      <c r="C755" s="1" t="n">
        <v>45895</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2099-2022</t>
        </is>
      </c>
      <c r="B756" s="1" t="n">
        <v>44577.70938657408</v>
      </c>
      <c r="C756" s="1" t="n">
        <v>45895</v>
      </c>
      <c r="D756" t="inlineStr">
        <is>
          <t>NORRBOTTENS LÄN</t>
        </is>
      </c>
      <c r="E756" t="inlineStr">
        <is>
          <t>KALIX</t>
        </is>
      </c>
      <c r="G756" t="n">
        <v>0.2</v>
      </c>
      <c r="H756" t="n">
        <v>0</v>
      </c>
      <c r="I756" t="n">
        <v>0</v>
      </c>
      <c r="J756" t="n">
        <v>0</v>
      </c>
      <c r="K756" t="n">
        <v>0</v>
      </c>
      <c r="L756" t="n">
        <v>0</v>
      </c>
      <c r="M756" t="n">
        <v>0</v>
      </c>
      <c r="N756" t="n">
        <v>0</v>
      </c>
      <c r="O756" t="n">
        <v>0</v>
      </c>
      <c r="P756" t="n">
        <v>0</v>
      </c>
      <c r="Q756" t="n">
        <v>0</v>
      </c>
      <c r="R756" s="2" t="inlineStr"/>
    </row>
    <row r="757" ht="15" customHeight="1">
      <c r="A757" t="inlineStr">
        <is>
          <t>A 2100-2022</t>
        </is>
      </c>
      <c r="B757" s="1" t="n">
        <v>44577</v>
      </c>
      <c r="C757" s="1" t="n">
        <v>45895</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47170-2022</t>
        </is>
      </c>
      <c r="B758" s="1" t="n">
        <v>44852.61033564815</v>
      </c>
      <c r="C758" s="1" t="n">
        <v>45895</v>
      </c>
      <c r="D758" t="inlineStr">
        <is>
          <t>NORRBOTTENS LÄN</t>
        </is>
      </c>
      <c r="E758" t="inlineStr">
        <is>
          <t>LULEÅ</t>
        </is>
      </c>
      <c r="G758" t="n">
        <v>7.7</v>
      </c>
      <c r="H758" t="n">
        <v>0</v>
      </c>
      <c r="I758" t="n">
        <v>0</v>
      </c>
      <c r="J758" t="n">
        <v>0</v>
      </c>
      <c r="K758" t="n">
        <v>0</v>
      </c>
      <c r="L758" t="n">
        <v>0</v>
      </c>
      <c r="M758" t="n">
        <v>0</v>
      </c>
      <c r="N758" t="n">
        <v>0</v>
      </c>
      <c r="O758" t="n">
        <v>0</v>
      </c>
      <c r="P758" t="n">
        <v>0</v>
      </c>
      <c r="Q758" t="n">
        <v>0</v>
      </c>
      <c r="R758" s="2" t="inlineStr"/>
    </row>
    <row r="759" ht="15" customHeight="1">
      <c r="A759" t="inlineStr">
        <is>
          <t>A 47311-2020</t>
        </is>
      </c>
      <c r="B759" s="1" t="n">
        <v>44095</v>
      </c>
      <c r="C759" s="1" t="n">
        <v>45895</v>
      </c>
      <c r="D759" t="inlineStr">
        <is>
          <t>NORRBOTTENS LÄN</t>
        </is>
      </c>
      <c r="E759" t="inlineStr">
        <is>
          <t>GÄLLIVARE</t>
        </is>
      </c>
      <c r="G759" t="n">
        <v>1.1</v>
      </c>
      <c r="H759" t="n">
        <v>0</v>
      </c>
      <c r="I759" t="n">
        <v>0</v>
      </c>
      <c r="J759" t="n">
        <v>0</v>
      </c>
      <c r="K759" t="n">
        <v>0</v>
      </c>
      <c r="L759" t="n">
        <v>0</v>
      </c>
      <c r="M759" t="n">
        <v>0</v>
      </c>
      <c r="N759" t="n">
        <v>0</v>
      </c>
      <c r="O759" t="n">
        <v>0</v>
      </c>
      <c r="P759" t="n">
        <v>0</v>
      </c>
      <c r="Q759" t="n">
        <v>0</v>
      </c>
      <c r="R759" s="2" t="inlineStr"/>
    </row>
    <row r="760" ht="15" customHeight="1">
      <c r="A760" t="inlineStr">
        <is>
          <t>A 2385-2021</t>
        </is>
      </c>
      <c r="B760" s="1" t="n">
        <v>44211</v>
      </c>
      <c r="C760" s="1" t="n">
        <v>45895</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45895</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18104-2022</t>
        </is>
      </c>
      <c r="B762" s="1" t="n">
        <v>44684</v>
      </c>
      <c r="C762" s="1" t="n">
        <v>45895</v>
      </c>
      <c r="D762" t="inlineStr">
        <is>
          <t>NORRBOTTENS LÄN</t>
        </is>
      </c>
      <c r="E762" t="inlineStr">
        <is>
          <t>GÄLLIVARE</t>
        </is>
      </c>
      <c r="G762" t="n">
        <v>8.4</v>
      </c>
      <c r="H762" t="n">
        <v>0</v>
      </c>
      <c r="I762" t="n">
        <v>0</v>
      </c>
      <c r="J762" t="n">
        <v>0</v>
      </c>
      <c r="K762" t="n">
        <v>0</v>
      </c>
      <c r="L762" t="n">
        <v>0</v>
      </c>
      <c r="M762" t="n">
        <v>0</v>
      </c>
      <c r="N762" t="n">
        <v>0</v>
      </c>
      <c r="O762" t="n">
        <v>0</v>
      </c>
      <c r="P762" t="n">
        <v>0</v>
      </c>
      <c r="Q762" t="n">
        <v>0</v>
      </c>
      <c r="R762" s="2" t="inlineStr"/>
    </row>
    <row r="763" ht="15" customHeight="1">
      <c r="A763" t="inlineStr">
        <is>
          <t>A 14866-2021</t>
        </is>
      </c>
      <c r="B763" s="1" t="n">
        <v>44280</v>
      </c>
      <c r="C763" s="1" t="n">
        <v>45895</v>
      </c>
      <c r="D763" t="inlineStr">
        <is>
          <t>NORRBOTTENS LÄN</t>
        </is>
      </c>
      <c r="E763" t="inlineStr">
        <is>
          <t>ÄLVSBYN</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26406-2022</t>
        </is>
      </c>
      <c r="B764" s="1" t="n">
        <v>44735.94076388889</v>
      </c>
      <c r="C764" s="1" t="n">
        <v>45895</v>
      </c>
      <c r="D764" t="inlineStr">
        <is>
          <t>NORRBOTTENS LÄN</t>
        </is>
      </c>
      <c r="E764" t="inlineStr">
        <is>
          <t>ÄLVSBYN</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67584-2020</t>
        </is>
      </c>
      <c r="B765" s="1" t="n">
        <v>44181</v>
      </c>
      <c r="C765" s="1" t="n">
        <v>45895</v>
      </c>
      <c r="D765" t="inlineStr">
        <is>
          <t>NORRBOTTENS LÄN</t>
        </is>
      </c>
      <c r="E765" t="inlineStr">
        <is>
          <t>ÖVERKALIX</t>
        </is>
      </c>
      <c r="G765" t="n">
        <v>1.8</v>
      </c>
      <c r="H765" t="n">
        <v>0</v>
      </c>
      <c r="I765" t="n">
        <v>0</v>
      </c>
      <c r="J765" t="n">
        <v>0</v>
      </c>
      <c r="K765" t="n">
        <v>0</v>
      </c>
      <c r="L765" t="n">
        <v>0</v>
      </c>
      <c r="M765" t="n">
        <v>0</v>
      </c>
      <c r="N765" t="n">
        <v>0</v>
      </c>
      <c r="O765" t="n">
        <v>0</v>
      </c>
      <c r="P765" t="n">
        <v>0</v>
      </c>
      <c r="Q765" t="n">
        <v>0</v>
      </c>
      <c r="R765" s="2" t="inlineStr"/>
    </row>
    <row r="766" ht="15" customHeight="1">
      <c r="A766" t="inlineStr">
        <is>
          <t>A 37114-2021</t>
        </is>
      </c>
      <c r="B766" s="1" t="n">
        <v>44393</v>
      </c>
      <c r="C766" s="1" t="n">
        <v>45895</v>
      </c>
      <c r="D766" t="inlineStr">
        <is>
          <t>NORRBOTTENS LÄN</t>
        </is>
      </c>
      <c r="E766" t="inlineStr">
        <is>
          <t>JOKKMOKK</t>
        </is>
      </c>
      <c r="F766" t="inlineStr">
        <is>
          <t>Övriga statliga verk och myndigheter</t>
        </is>
      </c>
      <c r="G766" t="n">
        <v>30</v>
      </c>
      <c r="H766" t="n">
        <v>0</v>
      </c>
      <c r="I766" t="n">
        <v>0</v>
      </c>
      <c r="J766" t="n">
        <v>0</v>
      </c>
      <c r="K766" t="n">
        <v>0</v>
      </c>
      <c r="L766" t="n">
        <v>0</v>
      </c>
      <c r="M766" t="n">
        <v>0</v>
      </c>
      <c r="N766" t="n">
        <v>0</v>
      </c>
      <c r="O766" t="n">
        <v>0</v>
      </c>
      <c r="P766" t="n">
        <v>0</v>
      </c>
      <c r="Q766" t="n">
        <v>0</v>
      </c>
      <c r="R766" s="2" t="inlineStr"/>
    </row>
    <row r="767" ht="15" customHeight="1">
      <c r="A767" t="inlineStr">
        <is>
          <t>A 48341-2022</t>
        </is>
      </c>
      <c r="B767" s="1" t="n">
        <v>44854</v>
      </c>
      <c r="C767" s="1" t="n">
        <v>45895</v>
      </c>
      <c r="D767" t="inlineStr">
        <is>
          <t>NORRBOTTENS LÄN</t>
        </is>
      </c>
      <c r="E767" t="inlineStr">
        <is>
          <t>LULEÅ</t>
        </is>
      </c>
      <c r="G767" t="n">
        <v>2.9</v>
      </c>
      <c r="H767" t="n">
        <v>0</v>
      </c>
      <c r="I767" t="n">
        <v>0</v>
      </c>
      <c r="J767" t="n">
        <v>0</v>
      </c>
      <c r="K767" t="n">
        <v>0</v>
      </c>
      <c r="L767" t="n">
        <v>0</v>
      </c>
      <c r="M767" t="n">
        <v>0</v>
      </c>
      <c r="N767" t="n">
        <v>0</v>
      </c>
      <c r="O767" t="n">
        <v>0</v>
      </c>
      <c r="P767" t="n">
        <v>0</v>
      </c>
      <c r="Q767" t="n">
        <v>0</v>
      </c>
      <c r="R767" s="2" t="inlineStr"/>
    </row>
    <row r="768" ht="15" customHeight="1">
      <c r="A768" t="inlineStr">
        <is>
          <t>A 24386-2021</t>
        </is>
      </c>
      <c r="B768" s="1" t="n">
        <v>44337.45984953704</v>
      </c>
      <c r="C768" s="1" t="n">
        <v>45895</v>
      </c>
      <c r="D768" t="inlineStr">
        <is>
          <t>NORRBOTTENS LÄN</t>
        </is>
      </c>
      <c r="E768" t="inlineStr">
        <is>
          <t>HAPARANDA</t>
        </is>
      </c>
      <c r="G768" t="n">
        <v>3.4</v>
      </c>
      <c r="H768" t="n">
        <v>0</v>
      </c>
      <c r="I768" t="n">
        <v>0</v>
      </c>
      <c r="J768" t="n">
        <v>0</v>
      </c>
      <c r="K768" t="n">
        <v>0</v>
      </c>
      <c r="L768" t="n">
        <v>0</v>
      </c>
      <c r="M768" t="n">
        <v>0</v>
      </c>
      <c r="N768" t="n">
        <v>0</v>
      </c>
      <c r="O768" t="n">
        <v>0</v>
      </c>
      <c r="P768" t="n">
        <v>0</v>
      </c>
      <c r="Q768" t="n">
        <v>0</v>
      </c>
      <c r="R768" s="2" t="inlineStr"/>
    </row>
    <row r="769" ht="15" customHeight="1">
      <c r="A769" t="inlineStr">
        <is>
          <t>A 43294-2022</t>
        </is>
      </c>
      <c r="B769" s="1" t="n">
        <v>44833</v>
      </c>
      <c r="C769" s="1" t="n">
        <v>45895</v>
      </c>
      <c r="D769" t="inlineStr">
        <is>
          <t>NORRBOTTENS LÄN</t>
        </is>
      </c>
      <c r="E769" t="inlineStr">
        <is>
          <t>ÖVERTORNEÅ</t>
        </is>
      </c>
      <c r="G769" t="n">
        <v>1</v>
      </c>
      <c r="H769" t="n">
        <v>0</v>
      </c>
      <c r="I769" t="n">
        <v>0</v>
      </c>
      <c r="J769" t="n">
        <v>0</v>
      </c>
      <c r="K769" t="n">
        <v>0</v>
      </c>
      <c r="L769" t="n">
        <v>0</v>
      </c>
      <c r="M769" t="n">
        <v>0</v>
      </c>
      <c r="N769" t="n">
        <v>0</v>
      </c>
      <c r="O769" t="n">
        <v>0</v>
      </c>
      <c r="P769" t="n">
        <v>0</v>
      </c>
      <c r="Q769" t="n">
        <v>0</v>
      </c>
      <c r="R769" s="2" t="inlineStr"/>
    </row>
    <row r="770" ht="15" customHeight="1">
      <c r="A770" t="inlineStr">
        <is>
          <t>A 21048-2021</t>
        </is>
      </c>
      <c r="B770" s="1" t="n">
        <v>44319</v>
      </c>
      <c r="C770" s="1" t="n">
        <v>45895</v>
      </c>
      <c r="D770" t="inlineStr">
        <is>
          <t>NORRBOTTENS LÄN</t>
        </is>
      </c>
      <c r="E770" t="inlineStr">
        <is>
          <t>PAJALA</t>
        </is>
      </c>
      <c r="F770" t="inlineStr">
        <is>
          <t>Allmännings- och besparingsskogar</t>
        </is>
      </c>
      <c r="G770" t="n">
        <v>26.5</v>
      </c>
      <c r="H770" t="n">
        <v>0</v>
      </c>
      <c r="I770" t="n">
        <v>0</v>
      </c>
      <c r="J770" t="n">
        <v>0</v>
      </c>
      <c r="K770" t="n">
        <v>0</v>
      </c>
      <c r="L770" t="n">
        <v>0</v>
      </c>
      <c r="M770" t="n">
        <v>0</v>
      </c>
      <c r="N770" t="n">
        <v>0</v>
      </c>
      <c r="O770" t="n">
        <v>0</v>
      </c>
      <c r="P770" t="n">
        <v>0</v>
      </c>
      <c r="Q770" t="n">
        <v>0</v>
      </c>
      <c r="R770" s="2" t="inlineStr"/>
    </row>
    <row r="771" ht="15" customHeight="1">
      <c r="A771" t="inlineStr">
        <is>
          <t>A 43781-2021</t>
        </is>
      </c>
      <c r="B771" s="1" t="n">
        <v>44433</v>
      </c>
      <c r="C771" s="1" t="n">
        <v>45895</v>
      </c>
      <c r="D771" t="inlineStr">
        <is>
          <t>NORRBOTTENS LÄN</t>
        </is>
      </c>
      <c r="E771" t="inlineStr">
        <is>
          <t>JOKKMOKK</t>
        </is>
      </c>
      <c r="G771" t="n">
        <v>1.7</v>
      </c>
      <c r="H771" t="n">
        <v>0</v>
      </c>
      <c r="I771" t="n">
        <v>0</v>
      </c>
      <c r="J771" t="n">
        <v>0</v>
      </c>
      <c r="K771" t="n">
        <v>0</v>
      </c>
      <c r="L771" t="n">
        <v>0</v>
      </c>
      <c r="M771" t="n">
        <v>0</v>
      </c>
      <c r="N771" t="n">
        <v>0</v>
      </c>
      <c r="O771" t="n">
        <v>0</v>
      </c>
      <c r="P771" t="n">
        <v>0</v>
      </c>
      <c r="Q771" t="n">
        <v>0</v>
      </c>
      <c r="R771" s="2" t="inlineStr"/>
    </row>
    <row r="772" ht="15" customHeight="1">
      <c r="A772" t="inlineStr">
        <is>
          <t>A 39701-2021</t>
        </is>
      </c>
      <c r="B772" s="1" t="n">
        <v>44414</v>
      </c>
      <c r="C772" s="1" t="n">
        <v>45895</v>
      </c>
      <c r="D772" t="inlineStr">
        <is>
          <t>NORRBOTTENS LÄN</t>
        </is>
      </c>
      <c r="E772" t="inlineStr">
        <is>
          <t>BODEN</t>
        </is>
      </c>
      <c r="G772" t="n">
        <v>2.5</v>
      </c>
      <c r="H772" t="n">
        <v>0</v>
      </c>
      <c r="I772" t="n">
        <v>0</v>
      </c>
      <c r="J772" t="n">
        <v>0</v>
      </c>
      <c r="K772" t="n">
        <v>0</v>
      </c>
      <c r="L772" t="n">
        <v>0</v>
      </c>
      <c r="M772" t="n">
        <v>0</v>
      </c>
      <c r="N772" t="n">
        <v>0</v>
      </c>
      <c r="O772" t="n">
        <v>0</v>
      </c>
      <c r="P772" t="n">
        <v>0</v>
      </c>
      <c r="Q772" t="n">
        <v>0</v>
      </c>
      <c r="R772" s="2" t="inlineStr"/>
    </row>
    <row r="773" ht="15" customHeight="1">
      <c r="A773" t="inlineStr">
        <is>
          <t>A 43125-2020</t>
        </is>
      </c>
      <c r="B773" s="1" t="n">
        <v>44079</v>
      </c>
      <c r="C773" s="1" t="n">
        <v>45895</v>
      </c>
      <c r="D773" t="inlineStr">
        <is>
          <t>NORRBOTTENS LÄN</t>
        </is>
      </c>
      <c r="E773" t="inlineStr">
        <is>
          <t>PAJALA</t>
        </is>
      </c>
      <c r="G773" t="n">
        <v>7.5</v>
      </c>
      <c r="H773" t="n">
        <v>0</v>
      </c>
      <c r="I773" t="n">
        <v>0</v>
      </c>
      <c r="J773" t="n">
        <v>0</v>
      </c>
      <c r="K773" t="n">
        <v>0</v>
      </c>
      <c r="L773" t="n">
        <v>0</v>
      </c>
      <c r="M773" t="n">
        <v>0</v>
      </c>
      <c r="N773" t="n">
        <v>0</v>
      </c>
      <c r="O773" t="n">
        <v>0</v>
      </c>
      <c r="P773" t="n">
        <v>0</v>
      </c>
      <c r="Q773" t="n">
        <v>0</v>
      </c>
      <c r="R773" s="2" t="inlineStr"/>
    </row>
    <row r="774" ht="15" customHeight="1">
      <c r="A774" t="inlineStr">
        <is>
          <t>A 56274-2021</t>
        </is>
      </c>
      <c r="B774" s="1" t="n">
        <v>44479</v>
      </c>
      <c r="C774" s="1" t="n">
        <v>45895</v>
      </c>
      <c r="D774" t="inlineStr">
        <is>
          <t>NORRBOTTENS LÄN</t>
        </is>
      </c>
      <c r="E774" t="inlineStr">
        <is>
          <t>ARJEPLOG</t>
        </is>
      </c>
      <c r="G774" t="n">
        <v>6.6</v>
      </c>
      <c r="H774" t="n">
        <v>0</v>
      </c>
      <c r="I774" t="n">
        <v>0</v>
      </c>
      <c r="J774" t="n">
        <v>0</v>
      </c>
      <c r="K774" t="n">
        <v>0</v>
      </c>
      <c r="L774" t="n">
        <v>0</v>
      </c>
      <c r="M774" t="n">
        <v>0</v>
      </c>
      <c r="N774" t="n">
        <v>0</v>
      </c>
      <c r="O774" t="n">
        <v>0</v>
      </c>
      <c r="P774" t="n">
        <v>0</v>
      </c>
      <c r="Q774" t="n">
        <v>0</v>
      </c>
      <c r="R774" s="2" t="inlineStr"/>
    </row>
    <row r="775" ht="15" customHeight="1">
      <c r="A775" t="inlineStr">
        <is>
          <t>A 55098-2020</t>
        </is>
      </c>
      <c r="B775" s="1" t="n">
        <v>44130</v>
      </c>
      <c r="C775" s="1" t="n">
        <v>45895</v>
      </c>
      <c r="D775" t="inlineStr">
        <is>
          <t>NORRBOTTENS LÄN</t>
        </is>
      </c>
      <c r="E775" t="inlineStr">
        <is>
          <t>KALIX</t>
        </is>
      </c>
      <c r="G775" t="n">
        <v>1</v>
      </c>
      <c r="H775" t="n">
        <v>0</v>
      </c>
      <c r="I775" t="n">
        <v>0</v>
      </c>
      <c r="J775" t="n">
        <v>0</v>
      </c>
      <c r="K775" t="n">
        <v>0</v>
      </c>
      <c r="L775" t="n">
        <v>0</v>
      </c>
      <c r="M775" t="n">
        <v>0</v>
      </c>
      <c r="N775" t="n">
        <v>0</v>
      </c>
      <c r="O775" t="n">
        <v>0</v>
      </c>
      <c r="P775" t="n">
        <v>0</v>
      </c>
      <c r="Q775" t="n">
        <v>0</v>
      </c>
      <c r="R775" s="2" t="inlineStr"/>
    </row>
    <row r="776" ht="15" customHeight="1">
      <c r="A776" t="inlineStr">
        <is>
          <t>A 39673-2021</t>
        </is>
      </c>
      <c r="B776" s="1" t="n">
        <v>44414</v>
      </c>
      <c r="C776" s="1" t="n">
        <v>45895</v>
      </c>
      <c r="D776" t="inlineStr">
        <is>
          <t>NORRBOTTENS LÄN</t>
        </is>
      </c>
      <c r="E776" t="inlineStr">
        <is>
          <t>BODEN</t>
        </is>
      </c>
      <c r="G776" t="n">
        <v>2.7</v>
      </c>
      <c r="H776" t="n">
        <v>0</v>
      </c>
      <c r="I776" t="n">
        <v>0</v>
      </c>
      <c r="J776" t="n">
        <v>0</v>
      </c>
      <c r="K776" t="n">
        <v>0</v>
      </c>
      <c r="L776" t="n">
        <v>0</v>
      </c>
      <c r="M776" t="n">
        <v>0</v>
      </c>
      <c r="N776" t="n">
        <v>0</v>
      </c>
      <c r="O776" t="n">
        <v>0</v>
      </c>
      <c r="P776" t="n">
        <v>0</v>
      </c>
      <c r="Q776" t="n">
        <v>0</v>
      </c>
      <c r="R776" s="2" t="inlineStr"/>
    </row>
    <row r="777" ht="15" customHeight="1">
      <c r="A777" t="inlineStr">
        <is>
          <t>A 54172-2020</t>
        </is>
      </c>
      <c r="B777" s="1" t="n">
        <v>44125</v>
      </c>
      <c r="C777" s="1" t="n">
        <v>45895</v>
      </c>
      <c r="D777" t="inlineStr">
        <is>
          <t>NORRBOTTENS LÄN</t>
        </is>
      </c>
      <c r="E777" t="inlineStr">
        <is>
          <t>PAJALA</t>
        </is>
      </c>
      <c r="G777" t="n">
        <v>3.1</v>
      </c>
      <c r="H777" t="n">
        <v>0</v>
      </c>
      <c r="I777" t="n">
        <v>0</v>
      </c>
      <c r="J777" t="n">
        <v>0</v>
      </c>
      <c r="K777" t="n">
        <v>0</v>
      </c>
      <c r="L777" t="n">
        <v>0</v>
      </c>
      <c r="M777" t="n">
        <v>0</v>
      </c>
      <c r="N777" t="n">
        <v>0</v>
      </c>
      <c r="O777" t="n">
        <v>0</v>
      </c>
      <c r="P777" t="n">
        <v>0</v>
      </c>
      <c r="Q777" t="n">
        <v>0</v>
      </c>
      <c r="R777" s="2" t="inlineStr"/>
    </row>
    <row r="778" ht="15" customHeight="1">
      <c r="A778" t="inlineStr">
        <is>
          <t>A 14886-2021</t>
        </is>
      </c>
      <c r="B778" s="1" t="n">
        <v>44280</v>
      </c>
      <c r="C778" s="1" t="n">
        <v>45895</v>
      </c>
      <c r="D778" t="inlineStr">
        <is>
          <t>NORRBOTTENS LÄN</t>
        </is>
      </c>
      <c r="E778" t="inlineStr">
        <is>
          <t>LULEÅ</t>
        </is>
      </c>
      <c r="G778" t="n">
        <v>0.6</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45895</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71955-2021</t>
        </is>
      </c>
      <c r="B780" s="1" t="n">
        <v>44543</v>
      </c>
      <c r="C780" s="1" t="n">
        <v>45895</v>
      </c>
      <c r="D780" t="inlineStr">
        <is>
          <t>NORRBOTTENS LÄN</t>
        </is>
      </c>
      <c r="E780" t="inlineStr">
        <is>
          <t>JOKKMOKK</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21847-2022</t>
        </is>
      </c>
      <c r="B781" s="1" t="n">
        <v>44711</v>
      </c>
      <c r="C781" s="1" t="n">
        <v>45895</v>
      </c>
      <c r="D781" t="inlineStr">
        <is>
          <t>NORRBOTTENS LÄN</t>
        </is>
      </c>
      <c r="E781" t="inlineStr">
        <is>
          <t>ÖVERKALIX</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71941-2021</t>
        </is>
      </c>
      <c r="B782" s="1" t="n">
        <v>44543</v>
      </c>
      <c r="C782" s="1" t="n">
        <v>45895</v>
      </c>
      <c r="D782" t="inlineStr">
        <is>
          <t>NORRBOTTENS LÄN</t>
        </is>
      </c>
      <c r="E782" t="inlineStr">
        <is>
          <t>GÄLLIVARE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71950-2021</t>
        </is>
      </c>
      <c r="B783" s="1" t="n">
        <v>44543</v>
      </c>
      <c r="C783" s="1" t="n">
        <v>45895</v>
      </c>
      <c r="D783" t="inlineStr">
        <is>
          <t>NORRBOTTENS LÄN</t>
        </is>
      </c>
      <c r="E783" t="inlineStr">
        <is>
          <t>JOKKMOKK</t>
        </is>
      </c>
      <c r="F783" t="inlineStr">
        <is>
          <t>Naturvårdsverket</t>
        </is>
      </c>
      <c r="G783" t="n">
        <v>13.3</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45895</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29747-2022</t>
        </is>
      </c>
      <c r="B785" s="1" t="n">
        <v>44755</v>
      </c>
      <c r="C785" s="1" t="n">
        <v>45895</v>
      </c>
      <c r="D785" t="inlineStr">
        <is>
          <t>NORRBOTTENS LÄN</t>
        </is>
      </c>
      <c r="E785" t="inlineStr">
        <is>
          <t>PAJALA</t>
        </is>
      </c>
      <c r="G785" t="n">
        <v>4</v>
      </c>
      <c r="H785" t="n">
        <v>0</v>
      </c>
      <c r="I785" t="n">
        <v>0</v>
      </c>
      <c r="J785" t="n">
        <v>0</v>
      </c>
      <c r="K785" t="n">
        <v>0</v>
      </c>
      <c r="L785" t="n">
        <v>0</v>
      </c>
      <c r="M785" t="n">
        <v>0</v>
      </c>
      <c r="N785" t="n">
        <v>0</v>
      </c>
      <c r="O785" t="n">
        <v>0</v>
      </c>
      <c r="P785" t="n">
        <v>0</v>
      </c>
      <c r="Q785" t="n">
        <v>0</v>
      </c>
      <c r="R785" s="2" t="inlineStr"/>
    </row>
    <row r="786" ht="15" customHeight="1">
      <c r="A786" t="inlineStr">
        <is>
          <t>A 70334-2021</t>
        </is>
      </c>
      <c r="B786" s="1" t="n">
        <v>44536</v>
      </c>
      <c r="C786" s="1" t="n">
        <v>45895</v>
      </c>
      <c r="D786" t="inlineStr">
        <is>
          <t>NORRBOTTENS LÄN</t>
        </is>
      </c>
      <c r="E786" t="inlineStr">
        <is>
          <t>HAPARANDA</t>
        </is>
      </c>
      <c r="G786" t="n">
        <v>1.7</v>
      </c>
      <c r="H786" t="n">
        <v>0</v>
      </c>
      <c r="I786" t="n">
        <v>0</v>
      </c>
      <c r="J786" t="n">
        <v>0</v>
      </c>
      <c r="K786" t="n">
        <v>0</v>
      </c>
      <c r="L786" t="n">
        <v>0</v>
      </c>
      <c r="M786" t="n">
        <v>0</v>
      </c>
      <c r="N786" t="n">
        <v>0</v>
      </c>
      <c r="O786" t="n">
        <v>0</v>
      </c>
      <c r="P786" t="n">
        <v>0</v>
      </c>
      <c r="Q786" t="n">
        <v>0</v>
      </c>
      <c r="R786" s="2" t="inlineStr"/>
    </row>
    <row r="787" ht="15" customHeight="1">
      <c r="A787" t="inlineStr">
        <is>
          <t>A 18920-2022</t>
        </is>
      </c>
      <c r="B787" s="1" t="n">
        <v>44690</v>
      </c>
      <c r="C787" s="1" t="n">
        <v>45895</v>
      </c>
      <c r="D787" t="inlineStr">
        <is>
          <t>NORRBOTTENS LÄN</t>
        </is>
      </c>
      <c r="E787" t="inlineStr">
        <is>
          <t>ARVIDSJAUR</t>
        </is>
      </c>
      <c r="F787" t="inlineStr">
        <is>
          <t>Allmännings- och besparingsskogar</t>
        </is>
      </c>
      <c r="G787" t="n">
        <v>1.1</v>
      </c>
      <c r="H787" t="n">
        <v>0</v>
      </c>
      <c r="I787" t="n">
        <v>0</v>
      </c>
      <c r="J787" t="n">
        <v>0</v>
      </c>
      <c r="K787" t="n">
        <v>0</v>
      </c>
      <c r="L787" t="n">
        <v>0</v>
      </c>
      <c r="M787" t="n">
        <v>0</v>
      </c>
      <c r="N787" t="n">
        <v>0</v>
      </c>
      <c r="O787" t="n">
        <v>0</v>
      </c>
      <c r="P787" t="n">
        <v>0</v>
      </c>
      <c r="Q787" t="n">
        <v>0</v>
      </c>
      <c r="R787" s="2" t="inlineStr"/>
    </row>
    <row r="788" ht="15" customHeight="1">
      <c r="A788" t="inlineStr">
        <is>
          <t>A 71242-2021</t>
        </is>
      </c>
      <c r="B788" s="1" t="n">
        <v>44538</v>
      </c>
      <c r="C788" s="1" t="n">
        <v>45895</v>
      </c>
      <c r="D788" t="inlineStr">
        <is>
          <t>NORRBOTTENS LÄN</t>
        </is>
      </c>
      <c r="E788" t="inlineStr">
        <is>
          <t>PITEÅ</t>
        </is>
      </c>
      <c r="G788" t="n">
        <v>1.8</v>
      </c>
      <c r="H788" t="n">
        <v>0</v>
      </c>
      <c r="I788" t="n">
        <v>0</v>
      </c>
      <c r="J788" t="n">
        <v>0</v>
      </c>
      <c r="K788" t="n">
        <v>0</v>
      </c>
      <c r="L788" t="n">
        <v>0</v>
      </c>
      <c r="M788" t="n">
        <v>0</v>
      </c>
      <c r="N788" t="n">
        <v>0</v>
      </c>
      <c r="O788" t="n">
        <v>0</v>
      </c>
      <c r="P788" t="n">
        <v>0</v>
      </c>
      <c r="Q788" t="n">
        <v>0</v>
      </c>
      <c r="R788" s="2" t="inlineStr"/>
    </row>
    <row r="789" ht="15" customHeight="1">
      <c r="A789" t="inlineStr">
        <is>
          <t>A 60133-2021</t>
        </is>
      </c>
      <c r="B789" s="1" t="n">
        <v>44494</v>
      </c>
      <c r="C789" s="1" t="n">
        <v>45895</v>
      </c>
      <c r="D789" t="inlineStr">
        <is>
          <t>NORRBOTTENS LÄN</t>
        </is>
      </c>
      <c r="E789" t="inlineStr">
        <is>
          <t>ÖVERTORNEÅ</t>
        </is>
      </c>
      <c r="G789" t="n">
        <v>1.9</v>
      </c>
      <c r="H789" t="n">
        <v>0</v>
      </c>
      <c r="I789" t="n">
        <v>0</v>
      </c>
      <c r="J789" t="n">
        <v>0</v>
      </c>
      <c r="K789" t="n">
        <v>0</v>
      </c>
      <c r="L789" t="n">
        <v>0</v>
      </c>
      <c r="M789" t="n">
        <v>0</v>
      </c>
      <c r="N789" t="n">
        <v>0</v>
      </c>
      <c r="O789" t="n">
        <v>0</v>
      </c>
      <c r="P789" t="n">
        <v>0</v>
      </c>
      <c r="Q789" t="n">
        <v>0</v>
      </c>
      <c r="R789" s="2" t="inlineStr"/>
    </row>
    <row r="790" ht="15" customHeight="1">
      <c r="A790" t="inlineStr">
        <is>
          <t>A 28488-2022</t>
        </is>
      </c>
      <c r="B790" s="1" t="n">
        <v>44747.94023148148</v>
      </c>
      <c r="C790" s="1" t="n">
        <v>45895</v>
      </c>
      <c r="D790" t="inlineStr">
        <is>
          <t>NORRBOTTENS LÄN</t>
        </is>
      </c>
      <c r="E790" t="inlineStr">
        <is>
          <t>PITEÅ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40041-2021</t>
        </is>
      </c>
      <c r="B791" s="1" t="n">
        <v>44417</v>
      </c>
      <c r="C791" s="1" t="n">
        <v>45895</v>
      </c>
      <c r="D791" t="inlineStr">
        <is>
          <t>NORRBOTTENS LÄN</t>
        </is>
      </c>
      <c r="E791" t="inlineStr">
        <is>
          <t>PAJALA</t>
        </is>
      </c>
      <c r="G791" t="n">
        <v>26.1</v>
      </c>
      <c r="H791" t="n">
        <v>0</v>
      </c>
      <c r="I791" t="n">
        <v>0</v>
      </c>
      <c r="J791" t="n">
        <v>0</v>
      </c>
      <c r="K791" t="n">
        <v>0</v>
      </c>
      <c r="L791" t="n">
        <v>0</v>
      </c>
      <c r="M791" t="n">
        <v>0</v>
      </c>
      <c r="N791" t="n">
        <v>0</v>
      </c>
      <c r="O791" t="n">
        <v>0</v>
      </c>
      <c r="P791" t="n">
        <v>0</v>
      </c>
      <c r="Q791" t="n">
        <v>0</v>
      </c>
      <c r="R791" s="2" t="inlineStr"/>
    </row>
    <row r="792" ht="15" customHeight="1">
      <c r="A792" t="inlineStr">
        <is>
          <t>A 7690-2022</t>
        </is>
      </c>
      <c r="B792" s="1" t="n">
        <v>44607</v>
      </c>
      <c r="C792" s="1" t="n">
        <v>45895</v>
      </c>
      <c r="D792" t="inlineStr">
        <is>
          <t>NORRBOTTENS LÄN</t>
        </is>
      </c>
      <c r="E792" t="inlineStr">
        <is>
          <t>GÄLLIVARE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29769-2022</t>
        </is>
      </c>
      <c r="B793" s="1" t="n">
        <v>44755</v>
      </c>
      <c r="C793" s="1" t="n">
        <v>45895</v>
      </c>
      <c r="D793" t="inlineStr">
        <is>
          <t>NORRBOTTENS LÄN</t>
        </is>
      </c>
      <c r="E793" t="inlineStr">
        <is>
          <t>PAJALA</t>
        </is>
      </c>
      <c r="G793" t="n">
        <v>3.7</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45895</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70415-2021</t>
        </is>
      </c>
      <c r="B795" s="1" t="n">
        <v>44536</v>
      </c>
      <c r="C795" s="1" t="n">
        <v>45895</v>
      </c>
      <c r="D795" t="inlineStr">
        <is>
          <t>NORRBOTTENS LÄN</t>
        </is>
      </c>
      <c r="E795" t="inlineStr">
        <is>
          <t>ÖVERTORNEÅ</t>
        </is>
      </c>
      <c r="G795" t="n">
        <v>2.7</v>
      </c>
      <c r="H795" t="n">
        <v>0</v>
      </c>
      <c r="I795" t="n">
        <v>0</v>
      </c>
      <c r="J795" t="n">
        <v>0</v>
      </c>
      <c r="K795" t="n">
        <v>0</v>
      </c>
      <c r="L795" t="n">
        <v>0</v>
      </c>
      <c r="M795" t="n">
        <v>0</v>
      </c>
      <c r="N795" t="n">
        <v>0</v>
      </c>
      <c r="O795" t="n">
        <v>0</v>
      </c>
      <c r="P795" t="n">
        <v>0</v>
      </c>
      <c r="Q795" t="n">
        <v>0</v>
      </c>
      <c r="R795" s="2" t="inlineStr"/>
    </row>
    <row r="796" ht="15" customHeight="1">
      <c r="A796" t="inlineStr">
        <is>
          <t>A 29793-2022</t>
        </is>
      </c>
      <c r="B796" s="1" t="n">
        <v>44755</v>
      </c>
      <c r="C796" s="1" t="n">
        <v>45895</v>
      </c>
      <c r="D796" t="inlineStr">
        <is>
          <t>NORRBOTTENS LÄN</t>
        </is>
      </c>
      <c r="E796" t="inlineStr">
        <is>
          <t>PAJALA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23465-2021</t>
        </is>
      </c>
      <c r="B797" s="1" t="n">
        <v>44333.92180555555</v>
      </c>
      <c r="C797" s="1" t="n">
        <v>45895</v>
      </c>
      <c r="D797" t="inlineStr">
        <is>
          <t>NORRBOTTENS LÄN</t>
        </is>
      </c>
      <c r="E797" t="inlineStr">
        <is>
          <t>PITEÅ</t>
        </is>
      </c>
      <c r="G797" t="n">
        <v>13.7</v>
      </c>
      <c r="H797" t="n">
        <v>0</v>
      </c>
      <c r="I797" t="n">
        <v>0</v>
      </c>
      <c r="J797" t="n">
        <v>0</v>
      </c>
      <c r="K797" t="n">
        <v>0</v>
      </c>
      <c r="L797" t="n">
        <v>0</v>
      </c>
      <c r="M797" t="n">
        <v>0</v>
      </c>
      <c r="N797" t="n">
        <v>0</v>
      </c>
      <c r="O797" t="n">
        <v>0</v>
      </c>
      <c r="P797" t="n">
        <v>0</v>
      </c>
      <c r="Q797" t="n">
        <v>0</v>
      </c>
      <c r="R797" s="2" t="inlineStr"/>
    </row>
    <row r="798" ht="15" customHeight="1">
      <c r="A798" t="inlineStr">
        <is>
          <t>A 51063-2022</t>
        </is>
      </c>
      <c r="B798" s="1" t="n">
        <v>44868</v>
      </c>
      <c r="C798" s="1" t="n">
        <v>45895</v>
      </c>
      <c r="D798" t="inlineStr">
        <is>
          <t>NORRBOTTENS LÄN</t>
        </is>
      </c>
      <c r="E798" t="inlineStr">
        <is>
          <t>ÄLVSBYN</t>
        </is>
      </c>
      <c r="G798" t="n">
        <v>5</v>
      </c>
      <c r="H798" t="n">
        <v>0</v>
      </c>
      <c r="I798" t="n">
        <v>0</v>
      </c>
      <c r="J798" t="n">
        <v>0</v>
      </c>
      <c r="K798" t="n">
        <v>0</v>
      </c>
      <c r="L798" t="n">
        <v>0</v>
      </c>
      <c r="M798" t="n">
        <v>0</v>
      </c>
      <c r="N798" t="n">
        <v>0</v>
      </c>
      <c r="O798" t="n">
        <v>0</v>
      </c>
      <c r="P798" t="n">
        <v>0</v>
      </c>
      <c r="Q798" t="n">
        <v>0</v>
      </c>
      <c r="R798" s="2" t="inlineStr"/>
    </row>
    <row r="799" ht="15" customHeight="1">
      <c r="A799" t="inlineStr">
        <is>
          <t>A 29640-2021</t>
        </is>
      </c>
      <c r="B799" s="1" t="n">
        <v>44361</v>
      </c>
      <c r="C799" s="1" t="n">
        <v>45895</v>
      </c>
      <c r="D799" t="inlineStr">
        <is>
          <t>NORRBOTTENS LÄN</t>
        </is>
      </c>
      <c r="E799" t="inlineStr">
        <is>
          <t>PITEÅ</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22832-2022</t>
        </is>
      </c>
      <c r="B800" s="1" t="n">
        <v>44715</v>
      </c>
      <c r="C800" s="1" t="n">
        <v>45895</v>
      </c>
      <c r="D800" t="inlineStr">
        <is>
          <t>NORRBOTTENS LÄN</t>
        </is>
      </c>
      <c r="E800" t="inlineStr">
        <is>
          <t>ARVIDSJAUR</t>
        </is>
      </c>
      <c r="G800" t="n">
        <v>0.5</v>
      </c>
      <c r="H800" t="n">
        <v>0</v>
      </c>
      <c r="I800" t="n">
        <v>0</v>
      </c>
      <c r="J800" t="n">
        <v>0</v>
      </c>
      <c r="K800" t="n">
        <v>0</v>
      </c>
      <c r="L800" t="n">
        <v>0</v>
      </c>
      <c r="M800" t="n">
        <v>0</v>
      </c>
      <c r="N800" t="n">
        <v>0</v>
      </c>
      <c r="O800" t="n">
        <v>0</v>
      </c>
      <c r="P800" t="n">
        <v>0</v>
      </c>
      <c r="Q800" t="n">
        <v>0</v>
      </c>
      <c r="R800" s="2" t="inlineStr"/>
    </row>
    <row r="801" ht="15" customHeight="1">
      <c r="A801" t="inlineStr">
        <is>
          <t>A 22976-2022</t>
        </is>
      </c>
      <c r="B801" s="1" t="n">
        <v>44717</v>
      </c>
      <c r="C801" s="1" t="n">
        <v>45895</v>
      </c>
      <c r="D801" t="inlineStr">
        <is>
          <t>NORRBOTTENS LÄN</t>
        </is>
      </c>
      <c r="E801" t="inlineStr">
        <is>
          <t>ÖVERKALIX</t>
        </is>
      </c>
      <c r="G801" t="n">
        <v>2.8</v>
      </c>
      <c r="H801" t="n">
        <v>0</v>
      </c>
      <c r="I801" t="n">
        <v>0</v>
      </c>
      <c r="J801" t="n">
        <v>0</v>
      </c>
      <c r="K801" t="n">
        <v>0</v>
      </c>
      <c r="L801" t="n">
        <v>0</v>
      </c>
      <c r="M801" t="n">
        <v>0</v>
      </c>
      <c r="N801" t="n">
        <v>0</v>
      </c>
      <c r="O801" t="n">
        <v>0</v>
      </c>
      <c r="P801" t="n">
        <v>0</v>
      </c>
      <c r="Q801" t="n">
        <v>0</v>
      </c>
      <c r="R801" s="2" t="inlineStr"/>
    </row>
    <row r="802" ht="15" customHeight="1">
      <c r="A802" t="inlineStr">
        <is>
          <t>A 26179-2021</t>
        </is>
      </c>
      <c r="B802" s="1" t="n">
        <v>44344</v>
      </c>
      <c r="C802" s="1" t="n">
        <v>45895</v>
      </c>
      <c r="D802" t="inlineStr">
        <is>
          <t>NORRBOTTENS LÄN</t>
        </is>
      </c>
      <c r="E802" t="inlineStr">
        <is>
          <t>KALIX</t>
        </is>
      </c>
      <c r="G802" t="n">
        <v>1.7</v>
      </c>
      <c r="H802" t="n">
        <v>0</v>
      </c>
      <c r="I802" t="n">
        <v>0</v>
      </c>
      <c r="J802" t="n">
        <v>0</v>
      </c>
      <c r="K802" t="n">
        <v>0</v>
      </c>
      <c r="L802" t="n">
        <v>0</v>
      </c>
      <c r="M802" t="n">
        <v>0</v>
      </c>
      <c r="N802" t="n">
        <v>0</v>
      </c>
      <c r="O802" t="n">
        <v>0</v>
      </c>
      <c r="P802" t="n">
        <v>0</v>
      </c>
      <c r="Q802" t="n">
        <v>0</v>
      </c>
      <c r="R802" s="2" t="inlineStr"/>
    </row>
    <row r="803" ht="15" customHeight="1">
      <c r="A803" t="inlineStr">
        <is>
          <t>A 26579-2022</t>
        </is>
      </c>
      <c r="B803" s="1" t="n">
        <v>44739</v>
      </c>
      <c r="C803" s="1" t="n">
        <v>45895</v>
      </c>
      <c r="D803" t="inlineStr">
        <is>
          <t>NORRBOTTENS LÄN</t>
        </is>
      </c>
      <c r="E803" t="inlineStr">
        <is>
          <t>ÄLVSBYN</t>
        </is>
      </c>
      <c r="G803" t="n">
        <v>10.7</v>
      </c>
      <c r="H803" t="n">
        <v>0</v>
      </c>
      <c r="I803" t="n">
        <v>0</v>
      </c>
      <c r="J803" t="n">
        <v>0</v>
      </c>
      <c r="K803" t="n">
        <v>0</v>
      </c>
      <c r="L803" t="n">
        <v>0</v>
      </c>
      <c r="M803" t="n">
        <v>0</v>
      </c>
      <c r="N803" t="n">
        <v>0</v>
      </c>
      <c r="O803" t="n">
        <v>0</v>
      </c>
      <c r="P803" t="n">
        <v>0</v>
      </c>
      <c r="Q803" t="n">
        <v>0</v>
      </c>
      <c r="R803" s="2" t="inlineStr"/>
    </row>
    <row r="804" ht="15" customHeight="1">
      <c r="A804" t="inlineStr">
        <is>
          <t>A 32108-2022</t>
        </is>
      </c>
      <c r="B804" s="1" t="n">
        <v>44778.92490740741</v>
      </c>
      <c r="C804" s="1" t="n">
        <v>45895</v>
      </c>
      <c r="D804" t="inlineStr">
        <is>
          <t>NORRBOTTENS LÄN</t>
        </is>
      </c>
      <c r="E804" t="inlineStr">
        <is>
          <t>LULEÅ</t>
        </is>
      </c>
      <c r="G804" t="n">
        <v>0.9</v>
      </c>
      <c r="H804" t="n">
        <v>0</v>
      </c>
      <c r="I804" t="n">
        <v>0</v>
      </c>
      <c r="J804" t="n">
        <v>0</v>
      </c>
      <c r="K804" t="n">
        <v>0</v>
      </c>
      <c r="L804" t="n">
        <v>0</v>
      </c>
      <c r="M804" t="n">
        <v>0</v>
      </c>
      <c r="N804" t="n">
        <v>0</v>
      </c>
      <c r="O804" t="n">
        <v>0</v>
      </c>
      <c r="P804" t="n">
        <v>0</v>
      </c>
      <c r="Q804" t="n">
        <v>0</v>
      </c>
      <c r="R804" s="2" t="inlineStr"/>
    </row>
    <row r="805" ht="15" customHeight="1">
      <c r="A805" t="inlineStr">
        <is>
          <t>A 71921-2021</t>
        </is>
      </c>
      <c r="B805" s="1" t="n">
        <v>44543</v>
      </c>
      <c r="C805" s="1" t="n">
        <v>45895</v>
      </c>
      <c r="D805" t="inlineStr">
        <is>
          <t>NORRBOTTENS LÄN</t>
        </is>
      </c>
      <c r="E805" t="inlineStr">
        <is>
          <t>JOKKMOKK</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71944-2021</t>
        </is>
      </c>
      <c r="B806" s="1" t="n">
        <v>44543</v>
      </c>
      <c r="C806" s="1" t="n">
        <v>45895</v>
      </c>
      <c r="D806" t="inlineStr">
        <is>
          <t>NORRBOTTENS LÄN</t>
        </is>
      </c>
      <c r="E806" t="inlineStr">
        <is>
          <t>JOKKMOKK</t>
        </is>
      </c>
      <c r="G806" t="n">
        <v>1.2</v>
      </c>
      <c r="H806" t="n">
        <v>0</v>
      </c>
      <c r="I806" t="n">
        <v>0</v>
      </c>
      <c r="J806" t="n">
        <v>0</v>
      </c>
      <c r="K806" t="n">
        <v>0</v>
      </c>
      <c r="L806" t="n">
        <v>0</v>
      </c>
      <c r="M806" t="n">
        <v>0</v>
      </c>
      <c r="N806" t="n">
        <v>0</v>
      </c>
      <c r="O806" t="n">
        <v>0</v>
      </c>
      <c r="P806" t="n">
        <v>0</v>
      </c>
      <c r="Q806" t="n">
        <v>0</v>
      </c>
      <c r="R806" s="2" t="inlineStr"/>
    </row>
    <row r="807" ht="15" customHeight="1">
      <c r="A807" t="inlineStr">
        <is>
          <t>A 73645-2021</t>
        </is>
      </c>
      <c r="B807" s="1" t="n">
        <v>44550</v>
      </c>
      <c r="C807" s="1" t="n">
        <v>45895</v>
      </c>
      <c r="D807" t="inlineStr">
        <is>
          <t>NORRBOTTENS LÄN</t>
        </is>
      </c>
      <c r="E807" t="inlineStr">
        <is>
          <t>LULEÅ</t>
        </is>
      </c>
      <c r="G807" t="n">
        <v>1</v>
      </c>
      <c r="H807" t="n">
        <v>0</v>
      </c>
      <c r="I807" t="n">
        <v>0</v>
      </c>
      <c r="J807" t="n">
        <v>0</v>
      </c>
      <c r="K807" t="n">
        <v>0</v>
      </c>
      <c r="L807" t="n">
        <v>0</v>
      </c>
      <c r="M807" t="n">
        <v>0</v>
      </c>
      <c r="N807" t="n">
        <v>0</v>
      </c>
      <c r="O807" t="n">
        <v>0</v>
      </c>
      <c r="P807" t="n">
        <v>0</v>
      </c>
      <c r="Q807" t="n">
        <v>0</v>
      </c>
      <c r="R807" s="2" t="inlineStr"/>
    </row>
    <row r="808" ht="15" customHeight="1">
      <c r="A808" t="inlineStr">
        <is>
          <t>A 73648-2021</t>
        </is>
      </c>
      <c r="B808" s="1" t="n">
        <v>44552.44517361111</v>
      </c>
      <c r="C808" s="1" t="n">
        <v>45895</v>
      </c>
      <c r="D808" t="inlineStr">
        <is>
          <t>NORRBOTTENS LÄN</t>
        </is>
      </c>
      <c r="E808" t="inlineStr">
        <is>
          <t>ÄLVSBYN</t>
        </is>
      </c>
      <c r="G808" t="n">
        <v>1</v>
      </c>
      <c r="H808" t="n">
        <v>0</v>
      </c>
      <c r="I808" t="n">
        <v>0</v>
      </c>
      <c r="J808" t="n">
        <v>0</v>
      </c>
      <c r="K808" t="n">
        <v>0</v>
      </c>
      <c r="L808" t="n">
        <v>0</v>
      </c>
      <c r="M808" t="n">
        <v>0</v>
      </c>
      <c r="N808" t="n">
        <v>0</v>
      </c>
      <c r="O808" t="n">
        <v>0</v>
      </c>
      <c r="P808" t="n">
        <v>0</v>
      </c>
      <c r="Q808" t="n">
        <v>0</v>
      </c>
      <c r="R808" s="2" t="inlineStr"/>
    </row>
    <row r="809" ht="15" customHeight="1">
      <c r="A809" t="inlineStr">
        <is>
          <t>A 57960-2021</t>
        </is>
      </c>
      <c r="B809" s="1" t="n">
        <v>44487</v>
      </c>
      <c r="C809" s="1" t="n">
        <v>45895</v>
      </c>
      <c r="D809" t="inlineStr">
        <is>
          <t>NORRBOTTENS LÄN</t>
        </is>
      </c>
      <c r="E809" t="inlineStr">
        <is>
          <t>ARVIDSJAUR</t>
        </is>
      </c>
      <c r="F809" t="inlineStr">
        <is>
          <t>Sveaskog</t>
        </is>
      </c>
      <c r="G809" t="n">
        <v>23.1</v>
      </c>
      <c r="H809" t="n">
        <v>0</v>
      </c>
      <c r="I809" t="n">
        <v>0</v>
      </c>
      <c r="J809" t="n">
        <v>0</v>
      </c>
      <c r="K809" t="n">
        <v>0</v>
      </c>
      <c r="L809" t="n">
        <v>0</v>
      </c>
      <c r="M809" t="n">
        <v>0</v>
      </c>
      <c r="N809" t="n">
        <v>0</v>
      </c>
      <c r="O809" t="n">
        <v>0</v>
      </c>
      <c r="P809" t="n">
        <v>0</v>
      </c>
      <c r="Q809" t="n">
        <v>0</v>
      </c>
      <c r="R809" s="2" t="inlineStr"/>
    </row>
    <row r="810" ht="15" customHeight="1">
      <c r="A810" t="inlineStr">
        <is>
          <t>A 27136-2021</t>
        </is>
      </c>
      <c r="B810" s="1" t="n">
        <v>44350</v>
      </c>
      <c r="C810" s="1" t="n">
        <v>45895</v>
      </c>
      <c r="D810" t="inlineStr">
        <is>
          <t>NORRBOTTENS LÄN</t>
        </is>
      </c>
      <c r="E810" t="inlineStr">
        <is>
          <t>BODEN</t>
        </is>
      </c>
      <c r="G810" t="n">
        <v>0.4</v>
      </c>
      <c r="H810" t="n">
        <v>0</v>
      </c>
      <c r="I810" t="n">
        <v>0</v>
      </c>
      <c r="J810" t="n">
        <v>0</v>
      </c>
      <c r="K810" t="n">
        <v>0</v>
      </c>
      <c r="L810" t="n">
        <v>0</v>
      </c>
      <c r="M810" t="n">
        <v>0</v>
      </c>
      <c r="N810" t="n">
        <v>0</v>
      </c>
      <c r="O810" t="n">
        <v>0</v>
      </c>
      <c r="P810" t="n">
        <v>0</v>
      </c>
      <c r="Q810" t="n">
        <v>0</v>
      </c>
      <c r="R810" s="2" t="inlineStr"/>
    </row>
    <row r="811" ht="15" customHeight="1">
      <c r="A811" t="inlineStr">
        <is>
          <t>A 52188-2022</t>
        </is>
      </c>
      <c r="B811" s="1" t="n">
        <v>44868</v>
      </c>
      <c r="C811" s="1" t="n">
        <v>45895</v>
      </c>
      <c r="D811" t="inlineStr">
        <is>
          <t>NORRBOTTENS LÄN</t>
        </is>
      </c>
      <c r="E811" t="inlineStr">
        <is>
          <t>LULEÅ</t>
        </is>
      </c>
      <c r="G811" t="n">
        <v>0.3</v>
      </c>
      <c r="H811" t="n">
        <v>0</v>
      </c>
      <c r="I811" t="n">
        <v>0</v>
      </c>
      <c r="J811" t="n">
        <v>0</v>
      </c>
      <c r="K811" t="n">
        <v>0</v>
      </c>
      <c r="L811" t="n">
        <v>0</v>
      </c>
      <c r="M811" t="n">
        <v>0</v>
      </c>
      <c r="N811" t="n">
        <v>0</v>
      </c>
      <c r="O811" t="n">
        <v>0</v>
      </c>
      <c r="P811" t="n">
        <v>0</v>
      </c>
      <c r="Q811" t="n">
        <v>0</v>
      </c>
      <c r="R811" s="2" t="inlineStr"/>
    </row>
    <row r="812" ht="15" customHeight="1">
      <c r="A812" t="inlineStr">
        <is>
          <t>A 59483-2021</t>
        </is>
      </c>
      <c r="B812" s="1" t="n">
        <v>44491.52248842592</v>
      </c>
      <c r="C812" s="1" t="n">
        <v>45895</v>
      </c>
      <c r="D812" t="inlineStr">
        <is>
          <t>NORRBOTTENS LÄN</t>
        </is>
      </c>
      <c r="E812" t="inlineStr">
        <is>
          <t>ÄLVSBYN</t>
        </is>
      </c>
      <c r="F812" t="inlineStr">
        <is>
          <t>Sveaskog</t>
        </is>
      </c>
      <c r="G812" t="n">
        <v>7</v>
      </c>
      <c r="H812" t="n">
        <v>0</v>
      </c>
      <c r="I812" t="n">
        <v>0</v>
      </c>
      <c r="J812" t="n">
        <v>0</v>
      </c>
      <c r="K812" t="n">
        <v>0</v>
      </c>
      <c r="L812" t="n">
        <v>0</v>
      </c>
      <c r="M812" t="n">
        <v>0</v>
      </c>
      <c r="N812" t="n">
        <v>0</v>
      </c>
      <c r="O812" t="n">
        <v>0</v>
      </c>
      <c r="P812" t="n">
        <v>0</v>
      </c>
      <c r="Q812" t="n">
        <v>0</v>
      </c>
      <c r="R812" s="2" t="inlineStr"/>
    </row>
    <row r="813" ht="15" customHeight="1">
      <c r="A813" t="inlineStr">
        <is>
          <t>A 59487-2021</t>
        </is>
      </c>
      <c r="B813" s="1" t="n">
        <v>44491</v>
      </c>
      <c r="C813" s="1" t="n">
        <v>45895</v>
      </c>
      <c r="D813" t="inlineStr">
        <is>
          <t>NORRBOTTENS LÄN</t>
        </is>
      </c>
      <c r="E813" t="inlineStr">
        <is>
          <t>ÄLVSBYN</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70321-2021</t>
        </is>
      </c>
      <c r="B814" s="1" t="n">
        <v>44536</v>
      </c>
      <c r="C814" s="1" t="n">
        <v>45895</v>
      </c>
      <c r="D814" t="inlineStr">
        <is>
          <t>NORRBOTTENS LÄN</t>
        </is>
      </c>
      <c r="E814" t="inlineStr">
        <is>
          <t>HAPARANDA</t>
        </is>
      </c>
      <c r="G814" t="n">
        <v>2</v>
      </c>
      <c r="H814" t="n">
        <v>0</v>
      </c>
      <c r="I814" t="n">
        <v>0</v>
      </c>
      <c r="J814" t="n">
        <v>0</v>
      </c>
      <c r="K814" t="n">
        <v>0</v>
      </c>
      <c r="L814" t="n">
        <v>0</v>
      </c>
      <c r="M814" t="n">
        <v>0</v>
      </c>
      <c r="N814" t="n">
        <v>0</v>
      </c>
      <c r="O814" t="n">
        <v>0</v>
      </c>
      <c r="P814" t="n">
        <v>0</v>
      </c>
      <c r="Q814" t="n">
        <v>0</v>
      </c>
      <c r="R814" s="2" t="inlineStr"/>
    </row>
    <row r="815" ht="15" customHeight="1">
      <c r="A815" t="inlineStr">
        <is>
          <t>A 41827-2021</t>
        </is>
      </c>
      <c r="B815" s="1" t="n">
        <v>44425.921875</v>
      </c>
      <c r="C815" s="1" t="n">
        <v>45895</v>
      </c>
      <c r="D815" t="inlineStr">
        <is>
          <t>NORRBOTTENS LÄN</t>
        </is>
      </c>
      <c r="E815" t="inlineStr">
        <is>
          <t>PAJALA</t>
        </is>
      </c>
      <c r="G815" t="n">
        <v>2.3</v>
      </c>
      <c r="H815" t="n">
        <v>0</v>
      </c>
      <c r="I815" t="n">
        <v>0</v>
      </c>
      <c r="J815" t="n">
        <v>0</v>
      </c>
      <c r="K815" t="n">
        <v>0</v>
      </c>
      <c r="L815" t="n">
        <v>0</v>
      </c>
      <c r="M815" t="n">
        <v>0</v>
      </c>
      <c r="N815" t="n">
        <v>0</v>
      </c>
      <c r="O815" t="n">
        <v>0</v>
      </c>
      <c r="P815" t="n">
        <v>0</v>
      </c>
      <c r="Q815" t="n">
        <v>0</v>
      </c>
      <c r="R815" s="2" t="inlineStr"/>
    </row>
    <row r="816" ht="15" customHeight="1">
      <c r="A816" t="inlineStr">
        <is>
          <t>A 30005-2022</t>
        </is>
      </c>
      <c r="B816" s="1" t="n">
        <v>44756</v>
      </c>
      <c r="C816" s="1" t="n">
        <v>45895</v>
      </c>
      <c r="D816" t="inlineStr">
        <is>
          <t>NORRBOTTENS LÄN</t>
        </is>
      </c>
      <c r="E816" t="inlineStr">
        <is>
          <t>KALIX</t>
        </is>
      </c>
      <c r="G816" t="n">
        <v>8.1</v>
      </c>
      <c r="H816" t="n">
        <v>0</v>
      </c>
      <c r="I816" t="n">
        <v>0</v>
      </c>
      <c r="J816" t="n">
        <v>0</v>
      </c>
      <c r="K816" t="n">
        <v>0</v>
      </c>
      <c r="L816" t="n">
        <v>0</v>
      </c>
      <c r="M816" t="n">
        <v>0</v>
      </c>
      <c r="N816" t="n">
        <v>0</v>
      </c>
      <c r="O816" t="n">
        <v>0</v>
      </c>
      <c r="P816" t="n">
        <v>0</v>
      </c>
      <c r="Q816" t="n">
        <v>0</v>
      </c>
      <c r="R816" s="2" t="inlineStr"/>
    </row>
    <row r="817" ht="15" customHeight="1">
      <c r="A817" t="inlineStr">
        <is>
          <t>A 46067-2022</t>
        </is>
      </c>
      <c r="B817" s="1" t="n">
        <v>44845</v>
      </c>
      <c r="C817" s="1" t="n">
        <v>45895</v>
      </c>
      <c r="D817" t="inlineStr">
        <is>
          <t>NORRBOTTENS LÄN</t>
        </is>
      </c>
      <c r="E817" t="inlineStr">
        <is>
          <t>ARVIDSJAUR</t>
        </is>
      </c>
      <c r="G817" t="n">
        <v>0.9</v>
      </c>
      <c r="H817" t="n">
        <v>0</v>
      </c>
      <c r="I817" t="n">
        <v>0</v>
      </c>
      <c r="J817" t="n">
        <v>0</v>
      </c>
      <c r="K817" t="n">
        <v>0</v>
      </c>
      <c r="L817" t="n">
        <v>0</v>
      </c>
      <c r="M817" t="n">
        <v>0</v>
      </c>
      <c r="N817" t="n">
        <v>0</v>
      </c>
      <c r="O817" t="n">
        <v>0</v>
      </c>
      <c r="P817" t="n">
        <v>0</v>
      </c>
      <c r="Q817" t="n">
        <v>0</v>
      </c>
      <c r="R817" s="2" t="inlineStr"/>
    </row>
    <row r="818" ht="15" customHeight="1">
      <c r="A818" t="inlineStr">
        <is>
          <t>A 37551-2021</t>
        </is>
      </c>
      <c r="B818" s="1" t="n">
        <v>44399</v>
      </c>
      <c r="C818" s="1" t="n">
        <v>45895</v>
      </c>
      <c r="D818" t="inlineStr">
        <is>
          <t>NORRBOTTENS LÄN</t>
        </is>
      </c>
      <c r="E818" t="inlineStr">
        <is>
          <t>GÄLLIVARE</t>
        </is>
      </c>
      <c r="G818" t="n">
        <v>0.6</v>
      </c>
      <c r="H818" t="n">
        <v>0</v>
      </c>
      <c r="I818" t="n">
        <v>0</v>
      </c>
      <c r="J818" t="n">
        <v>0</v>
      </c>
      <c r="K818" t="n">
        <v>0</v>
      </c>
      <c r="L818" t="n">
        <v>0</v>
      </c>
      <c r="M818" t="n">
        <v>0</v>
      </c>
      <c r="N818" t="n">
        <v>0</v>
      </c>
      <c r="O818" t="n">
        <v>0</v>
      </c>
      <c r="P818" t="n">
        <v>0</v>
      </c>
      <c r="Q818" t="n">
        <v>0</v>
      </c>
      <c r="R818" s="2" t="inlineStr"/>
    </row>
    <row r="819" ht="15" customHeight="1">
      <c r="A819" t="inlineStr">
        <is>
          <t>A 45205-2022</t>
        </is>
      </c>
      <c r="B819" s="1" t="n">
        <v>44840</v>
      </c>
      <c r="C819" s="1" t="n">
        <v>45895</v>
      </c>
      <c r="D819" t="inlineStr">
        <is>
          <t>NORRBOTTENS LÄN</t>
        </is>
      </c>
      <c r="E819" t="inlineStr">
        <is>
          <t>KIRUNA</t>
        </is>
      </c>
      <c r="F819" t="inlineStr">
        <is>
          <t>Övriga statliga verk och myndigheter</t>
        </is>
      </c>
      <c r="G819" t="n">
        <v>1.5</v>
      </c>
      <c r="H819" t="n">
        <v>0</v>
      </c>
      <c r="I819" t="n">
        <v>0</v>
      </c>
      <c r="J819" t="n">
        <v>0</v>
      </c>
      <c r="K819" t="n">
        <v>0</v>
      </c>
      <c r="L819" t="n">
        <v>0</v>
      </c>
      <c r="M819" t="n">
        <v>0</v>
      </c>
      <c r="N819" t="n">
        <v>0</v>
      </c>
      <c r="O819" t="n">
        <v>0</v>
      </c>
      <c r="P819" t="n">
        <v>0</v>
      </c>
      <c r="Q819" t="n">
        <v>0</v>
      </c>
      <c r="R819" s="2" t="inlineStr"/>
    </row>
    <row r="820" ht="15" customHeight="1">
      <c r="A820" t="inlineStr">
        <is>
          <t>A 49886-2022</t>
        </is>
      </c>
      <c r="B820" s="1" t="n">
        <v>44864.66456018519</v>
      </c>
      <c r="C820" s="1" t="n">
        <v>45895</v>
      </c>
      <c r="D820" t="inlineStr">
        <is>
          <t>NORRBOTTENS LÄN</t>
        </is>
      </c>
      <c r="E820" t="inlineStr">
        <is>
          <t>ÖVERTORNEÅ</t>
        </is>
      </c>
      <c r="G820" t="n">
        <v>2</v>
      </c>
      <c r="H820" t="n">
        <v>0</v>
      </c>
      <c r="I820" t="n">
        <v>0</v>
      </c>
      <c r="J820" t="n">
        <v>0</v>
      </c>
      <c r="K820" t="n">
        <v>0</v>
      </c>
      <c r="L820" t="n">
        <v>0</v>
      </c>
      <c r="M820" t="n">
        <v>0</v>
      </c>
      <c r="N820" t="n">
        <v>0</v>
      </c>
      <c r="O820" t="n">
        <v>0</v>
      </c>
      <c r="P820" t="n">
        <v>0</v>
      </c>
      <c r="Q820" t="n">
        <v>0</v>
      </c>
      <c r="R820" s="2" t="inlineStr"/>
    </row>
    <row r="821" ht="15" customHeight="1">
      <c r="A821" t="inlineStr">
        <is>
          <t>A 72762-2021</t>
        </is>
      </c>
      <c r="B821" s="1" t="n">
        <v>44546.94391203704</v>
      </c>
      <c r="C821" s="1" t="n">
        <v>45895</v>
      </c>
      <c r="D821" t="inlineStr">
        <is>
          <t>NORRBOTTENS LÄN</t>
        </is>
      </c>
      <c r="E821" t="inlineStr">
        <is>
          <t>GÄLLIVARE</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49845-2022</t>
        </is>
      </c>
      <c r="B822" s="1" t="n">
        <v>44862</v>
      </c>
      <c r="C822" s="1" t="n">
        <v>45895</v>
      </c>
      <c r="D822" t="inlineStr">
        <is>
          <t>NORRBOTTENS LÄN</t>
        </is>
      </c>
      <c r="E822" t="inlineStr">
        <is>
          <t>KALIX</t>
        </is>
      </c>
      <c r="G822" t="n">
        <v>4</v>
      </c>
      <c r="H822" t="n">
        <v>0</v>
      </c>
      <c r="I822" t="n">
        <v>0</v>
      </c>
      <c r="J822" t="n">
        <v>0</v>
      </c>
      <c r="K822" t="n">
        <v>0</v>
      </c>
      <c r="L822" t="n">
        <v>0</v>
      </c>
      <c r="M822" t="n">
        <v>0</v>
      </c>
      <c r="N822" t="n">
        <v>0</v>
      </c>
      <c r="O822" t="n">
        <v>0</v>
      </c>
      <c r="P822" t="n">
        <v>0</v>
      </c>
      <c r="Q822" t="n">
        <v>0</v>
      </c>
      <c r="R822" s="2" t="inlineStr"/>
    </row>
    <row r="823" ht="15" customHeight="1">
      <c r="A823" t="inlineStr">
        <is>
          <t>A 2097-2022</t>
        </is>
      </c>
      <c r="B823" s="1" t="n">
        <v>44577.69899305556</v>
      </c>
      <c r="C823" s="1" t="n">
        <v>45895</v>
      </c>
      <c r="D823" t="inlineStr">
        <is>
          <t>NORRBOTTENS LÄN</t>
        </is>
      </c>
      <c r="E823" t="inlineStr">
        <is>
          <t>KALIX</t>
        </is>
      </c>
      <c r="G823" t="n">
        <v>0.1</v>
      </c>
      <c r="H823" t="n">
        <v>0</v>
      </c>
      <c r="I823" t="n">
        <v>0</v>
      </c>
      <c r="J823" t="n">
        <v>0</v>
      </c>
      <c r="K823" t="n">
        <v>0</v>
      </c>
      <c r="L823" t="n">
        <v>0</v>
      </c>
      <c r="M823" t="n">
        <v>0</v>
      </c>
      <c r="N823" t="n">
        <v>0</v>
      </c>
      <c r="O823" t="n">
        <v>0</v>
      </c>
      <c r="P823" t="n">
        <v>0</v>
      </c>
      <c r="Q823" t="n">
        <v>0</v>
      </c>
      <c r="R823" s="2" t="inlineStr"/>
    </row>
    <row r="824" ht="15" customHeight="1">
      <c r="A824" t="inlineStr">
        <is>
          <t>A 29706-2022</t>
        </is>
      </c>
      <c r="B824" s="1" t="n">
        <v>44755.41444444445</v>
      </c>
      <c r="C824" s="1" t="n">
        <v>45895</v>
      </c>
      <c r="D824" t="inlineStr">
        <is>
          <t>NORRBOTTENS LÄN</t>
        </is>
      </c>
      <c r="E824" t="inlineStr">
        <is>
          <t>ÖVERKALIX</t>
        </is>
      </c>
      <c r="F824" t="inlineStr">
        <is>
          <t>Sveaskog</t>
        </is>
      </c>
      <c r="G824" t="n">
        <v>3.3</v>
      </c>
      <c r="H824" t="n">
        <v>0</v>
      </c>
      <c r="I824" t="n">
        <v>0</v>
      </c>
      <c r="J824" t="n">
        <v>0</v>
      </c>
      <c r="K824" t="n">
        <v>0</v>
      </c>
      <c r="L824" t="n">
        <v>0</v>
      </c>
      <c r="M824" t="n">
        <v>0</v>
      </c>
      <c r="N824" t="n">
        <v>0</v>
      </c>
      <c r="O824" t="n">
        <v>0</v>
      </c>
      <c r="P824" t="n">
        <v>0</v>
      </c>
      <c r="Q824" t="n">
        <v>0</v>
      </c>
      <c r="R824" s="2" t="inlineStr"/>
      <c r="U824">
        <f>HYPERLINK("https://klasma.github.io/Logging_2513/knärot/A 29706-2022 karta knärot.png", "A 29706-2022")</f>
        <v/>
      </c>
      <c r="V824">
        <f>HYPERLINK("https://klasma.github.io/Logging_2513/klagomål/A 29706-2022 FSC-klagomål.docx", "A 29706-2022")</f>
        <v/>
      </c>
      <c r="W824">
        <f>HYPERLINK("https://klasma.github.io/Logging_2513/klagomålsmail/A 29706-2022 FSC-klagomål mail.docx", "A 29706-2022")</f>
        <v/>
      </c>
      <c r="X824">
        <f>HYPERLINK("https://klasma.github.io/Logging_2513/tillsyn/A 29706-2022 tillsynsbegäran.docx", "A 29706-2022")</f>
        <v/>
      </c>
      <c r="Y824">
        <f>HYPERLINK("https://klasma.github.io/Logging_2513/tillsynsmail/A 29706-2022 tillsynsbegäran mail.docx", "A 29706-2022")</f>
        <v/>
      </c>
    </row>
    <row r="825" ht="15" customHeight="1">
      <c r="A825" t="inlineStr">
        <is>
          <t>A 42787-2021</t>
        </is>
      </c>
      <c r="B825" s="1" t="n">
        <v>44428</v>
      </c>
      <c r="C825" s="1" t="n">
        <v>45895</v>
      </c>
      <c r="D825" t="inlineStr">
        <is>
          <t>NORRBOTTENS LÄN</t>
        </is>
      </c>
      <c r="E825" t="inlineStr">
        <is>
          <t>PITEÅ</t>
        </is>
      </c>
      <c r="G825" t="n">
        <v>18.3</v>
      </c>
      <c r="H825" t="n">
        <v>0</v>
      </c>
      <c r="I825" t="n">
        <v>0</v>
      </c>
      <c r="J825" t="n">
        <v>0</v>
      </c>
      <c r="K825" t="n">
        <v>0</v>
      </c>
      <c r="L825" t="n">
        <v>0</v>
      </c>
      <c r="M825" t="n">
        <v>0</v>
      </c>
      <c r="N825" t="n">
        <v>0</v>
      </c>
      <c r="O825" t="n">
        <v>0</v>
      </c>
      <c r="P825" t="n">
        <v>0</v>
      </c>
      <c r="Q825" t="n">
        <v>0</v>
      </c>
      <c r="R825" s="2" t="inlineStr"/>
    </row>
    <row r="826" ht="15" customHeight="1">
      <c r="A826" t="inlineStr">
        <is>
          <t>A 6907-2022</t>
        </is>
      </c>
      <c r="B826" s="1" t="n">
        <v>44602.92184027778</v>
      </c>
      <c r="C826" s="1" t="n">
        <v>45895</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6913-2022</t>
        </is>
      </c>
      <c r="B827" s="1" t="n">
        <v>44602.93728009259</v>
      </c>
      <c r="C827" s="1" t="n">
        <v>45895</v>
      </c>
      <c r="D827" t="inlineStr">
        <is>
          <t>NORRBOTTENS LÄN</t>
        </is>
      </c>
      <c r="E827" t="inlineStr">
        <is>
          <t>PAJALA</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45676-2020</t>
        </is>
      </c>
      <c r="B828" s="1" t="n">
        <v>44090</v>
      </c>
      <c r="C828" s="1" t="n">
        <v>45895</v>
      </c>
      <c r="D828" t="inlineStr">
        <is>
          <t>NORRBOTTENS LÄN</t>
        </is>
      </c>
      <c r="E828" t="inlineStr">
        <is>
          <t>BODEN</t>
        </is>
      </c>
      <c r="G828" t="n">
        <v>0.2</v>
      </c>
      <c r="H828" t="n">
        <v>0</v>
      </c>
      <c r="I828" t="n">
        <v>0</v>
      </c>
      <c r="J828" t="n">
        <v>0</v>
      </c>
      <c r="K828" t="n">
        <v>0</v>
      </c>
      <c r="L828" t="n">
        <v>0</v>
      </c>
      <c r="M828" t="n">
        <v>0</v>
      </c>
      <c r="N828" t="n">
        <v>0</v>
      </c>
      <c r="O828" t="n">
        <v>0</v>
      </c>
      <c r="P828" t="n">
        <v>0</v>
      </c>
      <c r="Q828" t="n">
        <v>0</v>
      </c>
      <c r="R828" s="2" t="inlineStr"/>
    </row>
    <row r="829" ht="15" customHeight="1">
      <c r="A829" t="inlineStr">
        <is>
          <t>A 70413-2021</t>
        </is>
      </c>
      <c r="B829" s="1" t="n">
        <v>44536</v>
      </c>
      <c r="C829" s="1" t="n">
        <v>45895</v>
      </c>
      <c r="D829" t="inlineStr">
        <is>
          <t>NORRBOTTENS LÄN</t>
        </is>
      </c>
      <c r="E829" t="inlineStr">
        <is>
          <t>ÖVERTORNEÅ</t>
        </is>
      </c>
      <c r="G829" t="n">
        <v>11</v>
      </c>
      <c r="H829" t="n">
        <v>0</v>
      </c>
      <c r="I829" t="n">
        <v>0</v>
      </c>
      <c r="J829" t="n">
        <v>0</v>
      </c>
      <c r="K829" t="n">
        <v>0</v>
      </c>
      <c r="L829" t="n">
        <v>0</v>
      </c>
      <c r="M829" t="n">
        <v>0</v>
      </c>
      <c r="N829" t="n">
        <v>0</v>
      </c>
      <c r="O829" t="n">
        <v>0</v>
      </c>
      <c r="P829" t="n">
        <v>0</v>
      </c>
      <c r="Q829" t="n">
        <v>0</v>
      </c>
      <c r="R829" s="2" t="inlineStr"/>
    </row>
    <row r="830" ht="15" customHeight="1">
      <c r="A830" t="inlineStr">
        <is>
          <t>A 55542-2020</t>
        </is>
      </c>
      <c r="B830" s="1" t="n">
        <v>44131</v>
      </c>
      <c r="C830" s="1" t="n">
        <v>45895</v>
      </c>
      <c r="D830" t="inlineStr">
        <is>
          <t>NORRBOTTENS LÄN</t>
        </is>
      </c>
      <c r="E830" t="inlineStr">
        <is>
          <t>ARVIDSJAUR</t>
        </is>
      </c>
      <c r="F830" t="inlineStr">
        <is>
          <t>Sveaskog</t>
        </is>
      </c>
      <c r="G830" t="n">
        <v>9.6</v>
      </c>
      <c r="H830" t="n">
        <v>0</v>
      </c>
      <c r="I830" t="n">
        <v>0</v>
      </c>
      <c r="J830" t="n">
        <v>0</v>
      </c>
      <c r="K830" t="n">
        <v>0</v>
      </c>
      <c r="L830" t="n">
        <v>0</v>
      </c>
      <c r="M830" t="n">
        <v>0</v>
      </c>
      <c r="N830" t="n">
        <v>0</v>
      </c>
      <c r="O830" t="n">
        <v>0</v>
      </c>
      <c r="P830" t="n">
        <v>0</v>
      </c>
      <c r="Q830" t="n">
        <v>0</v>
      </c>
      <c r="R830" s="2" t="inlineStr"/>
    </row>
    <row r="831" ht="15" customHeight="1">
      <c r="A831" t="inlineStr">
        <is>
          <t>A 55830-2020</t>
        </is>
      </c>
      <c r="B831" s="1" t="n">
        <v>44132</v>
      </c>
      <c r="C831" s="1" t="n">
        <v>45895</v>
      </c>
      <c r="D831" t="inlineStr">
        <is>
          <t>NORRBOTTENS LÄN</t>
        </is>
      </c>
      <c r="E831" t="inlineStr">
        <is>
          <t>ARVIDSJAUR</t>
        </is>
      </c>
      <c r="F831" t="inlineStr">
        <is>
          <t>Sveaskog</t>
        </is>
      </c>
      <c r="G831" t="n">
        <v>2.5</v>
      </c>
      <c r="H831" t="n">
        <v>0</v>
      </c>
      <c r="I831" t="n">
        <v>0</v>
      </c>
      <c r="J831" t="n">
        <v>0</v>
      </c>
      <c r="K831" t="n">
        <v>0</v>
      </c>
      <c r="L831" t="n">
        <v>0</v>
      </c>
      <c r="M831" t="n">
        <v>0</v>
      </c>
      <c r="N831" t="n">
        <v>0</v>
      </c>
      <c r="O831" t="n">
        <v>0</v>
      </c>
      <c r="P831" t="n">
        <v>0</v>
      </c>
      <c r="Q831" t="n">
        <v>0</v>
      </c>
      <c r="R831" s="2" t="inlineStr"/>
    </row>
    <row r="832" ht="15" customHeight="1">
      <c r="A832" t="inlineStr">
        <is>
          <t>A 49190-2022</t>
        </is>
      </c>
      <c r="B832" s="1" t="n">
        <v>44860.95458333333</v>
      </c>
      <c r="C832" s="1" t="n">
        <v>45895</v>
      </c>
      <c r="D832" t="inlineStr">
        <is>
          <t>NORRBOTTENS LÄN</t>
        </is>
      </c>
      <c r="E832" t="inlineStr">
        <is>
          <t>GÄLLIVARE</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45895</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15246-2021</t>
        </is>
      </c>
      <c r="B834" s="1" t="n">
        <v>44284.52182870371</v>
      </c>
      <c r="C834" s="1" t="n">
        <v>45895</v>
      </c>
      <c r="D834" t="inlineStr">
        <is>
          <t>NORRBOTTENS LÄN</t>
        </is>
      </c>
      <c r="E834" t="inlineStr">
        <is>
          <t>ÖVERTORNEÅ</t>
        </is>
      </c>
      <c r="G834" t="n">
        <v>0.6</v>
      </c>
      <c r="H834" t="n">
        <v>0</v>
      </c>
      <c r="I834" t="n">
        <v>0</v>
      </c>
      <c r="J834" t="n">
        <v>0</v>
      </c>
      <c r="K834" t="n">
        <v>0</v>
      </c>
      <c r="L834" t="n">
        <v>0</v>
      </c>
      <c r="M834" t="n">
        <v>0</v>
      </c>
      <c r="N834" t="n">
        <v>0</v>
      </c>
      <c r="O834" t="n">
        <v>0</v>
      </c>
      <c r="P834" t="n">
        <v>0</v>
      </c>
      <c r="Q834" t="n">
        <v>0</v>
      </c>
      <c r="R834" s="2" t="inlineStr"/>
    </row>
    <row r="835" ht="15" customHeight="1">
      <c r="A835" t="inlineStr">
        <is>
          <t>A 2392-2021</t>
        </is>
      </c>
      <c r="B835" s="1" t="n">
        <v>44211</v>
      </c>
      <c r="C835" s="1" t="n">
        <v>45895</v>
      </c>
      <c r="D835" t="inlineStr">
        <is>
          <t>NORRBOTTENS LÄN</t>
        </is>
      </c>
      <c r="E835" t="inlineStr">
        <is>
          <t>LULEÅ</t>
        </is>
      </c>
      <c r="G835" t="n">
        <v>0.8</v>
      </c>
      <c r="H835" t="n">
        <v>0</v>
      </c>
      <c r="I835" t="n">
        <v>0</v>
      </c>
      <c r="J835" t="n">
        <v>0</v>
      </c>
      <c r="K835" t="n">
        <v>0</v>
      </c>
      <c r="L835" t="n">
        <v>0</v>
      </c>
      <c r="M835" t="n">
        <v>0</v>
      </c>
      <c r="N835" t="n">
        <v>0</v>
      </c>
      <c r="O835" t="n">
        <v>0</v>
      </c>
      <c r="P835" t="n">
        <v>0</v>
      </c>
      <c r="Q835" t="n">
        <v>0</v>
      </c>
      <c r="R835" s="2" t="inlineStr"/>
    </row>
    <row r="836" ht="15" customHeight="1">
      <c r="A836" t="inlineStr">
        <is>
          <t>A 2403-2021</t>
        </is>
      </c>
      <c r="B836" s="1" t="n">
        <v>44211</v>
      </c>
      <c r="C836" s="1" t="n">
        <v>45895</v>
      </c>
      <c r="D836" t="inlineStr">
        <is>
          <t>NORRBOTTENS LÄN</t>
        </is>
      </c>
      <c r="E836" t="inlineStr">
        <is>
          <t>LULEÅ</t>
        </is>
      </c>
      <c r="G836" t="n">
        <v>0.9</v>
      </c>
      <c r="H836" t="n">
        <v>0</v>
      </c>
      <c r="I836" t="n">
        <v>0</v>
      </c>
      <c r="J836" t="n">
        <v>0</v>
      </c>
      <c r="K836" t="n">
        <v>0</v>
      </c>
      <c r="L836" t="n">
        <v>0</v>
      </c>
      <c r="M836" t="n">
        <v>0</v>
      </c>
      <c r="N836" t="n">
        <v>0</v>
      </c>
      <c r="O836" t="n">
        <v>0</v>
      </c>
      <c r="P836" t="n">
        <v>0</v>
      </c>
      <c r="Q836" t="n">
        <v>0</v>
      </c>
      <c r="R836" s="2" t="inlineStr"/>
    </row>
    <row r="837" ht="15" customHeight="1">
      <c r="A837" t="inlineStr">
        <is>
          <t>A 3777-2021</t>
        </is>
      </c>
      <c r="B837" s="1" t="n">
        <v>44217</v>
      </c>
      <c r="C837" s="1" t="n">
        <v>45895</v>
      </c>
      <c r="D837" t="inlineStr">
        <is>
          <t>NORRBOTTENS LÄN</t>
        </is>
      </c>
      <c r="E837" t="inlineStr">
        <is>
          <t>BODEN</t>
        </is>
      </c>
      <c r="G837" t="n">
        <v>1.4</v>
      </c>
      <c r="H837" t="n">
        <v>0</v>
      </c>
      <c r="I837" t="n">
        <v>0</v>
      </c>
      <c r="J837" t="n">
        <v>0</v>
      </c>
      <c r="K837" t="n">
        <v>0</v>
      </c>
      <c r="L837" t="n">
        <v>0</v>
      </c>
      <c r="M837" t="n">
        <v>0</v>
      </c>
      <c r="N837" t="n">
        <v>0</v>
      </c>
      <c r="O837" t="n">
        <v>0</v>
      </c>
      <c r="P837" t="n">
        <v>0</v>
      </c>
      <c r="Q837" t="n">
        <v>0</v>
      </c>
      <c r="R837" s="2" t="inlineStr"/>
    </row>
    <row r="838" ht="15" customHeight="1">
      <c r="A838" t="inlineStr">
        <is>
          <t>A 67272-2021</t>
        </is>
      </c>
      <c r="B838" s="1" t="n">
        <v>44523</v>
      </c>
      <c r="C838" s="1" t="n">
        <v>45895</v>
      </c>
      <c r="D838" t="inlineStr">
        <is>
          <t>NORRBOTTENS LÄN</t>
        </is>
      </c>
      <c r="E838" t="inlineStr">
        <is>
          <t>PAJALA</t>
        </is>
      </c>
      <c r="F838" t="inlineStr">
        <is>
          <t>Allmännings- och besparingsskogar</t>
        </is>
      </c>
      <c r="G838" t="n">
        <v>2.2</v>
      </c>
      <c r="H838" t="n">
        <v>0</v>
      </c>
      <c r="I838" t="n">
        <v>0</v>
      </c>
      <c r="J838" t="n">
        <v>0</v>
      </c>
      <c r="K838" t="n">
        <v>0</v>
      </c>
      <c r="L838" t="n">
        <v>0</v>
      </c>
      <c r="M838" t="n">
        <v>0</v>
      </c>
      <c r="N838" t="n">
        <v>0</v>
      </c>
      <c r="O838" t="n">
        <v>0</v>
      </c>
      <c r="P838" t="n">
        <v>0</v>
      </c>
      <c r="Q838" t="n">
        <v>0</v>
      </c>
      <c r="R838" s="2" t="inlineStr"/>
    </row>
    <row r="839" ht="15" customHeight="1">
      <c r="A839" t="inlineStr">
        <is>
          <t>A 61112-2021</t>
        </is>
      </c>
      <c r="B839" s="1" t="n">
        <v>44498</v>
      </c>
      <c r="C839" s="1" t="n">
        <v>45895</v>
      </c>
      <c r="D839" t="inlineStr">
        <is>
          <t>NORRBOTTENS LÄN</t>
        </is>
      </c>
      <c r="E839" t="inlineStr">
        <is>
          <t>PITEÅ</t>
        </is>
      </c>
      <c r="G839" t="n">
        <v>0.4</v>
      </c>
      <c r="H839" t="n">
        <v>0</v>
      </c>
      <c r="I839" t="n">
        <v>0</v>
      </c>
      <c r="J839" t="n">
        <v>0</v>
      </c>
      <c r="K839" t="n">
        <v>0</v>
      </c>
      <c r="L839" t="n">
        <v>0</v>
      </c>
      <c r="M839" t="n">
        <v>0</v>
      </c>
      <c r="N839" t="n">
        <v>0</v>
      </c>
      <c r="O839" t="n">
        <v>0</v>
      </c>
      <c r="P839" t="n">
        <v>0</v>
      </c>
      <c r="Q839" t="n">
        <v>0</v>
      </c>
      <c r="R839" s="2" t="inlineStr"/>
    </row>
    <row r="840" ht="15" customHeight="1">
      <c r="A840" t="inlineStr">
        <is>
          <t>A 11259-2021</t>
        </is>
      </c>
      <c r="B840" s="1" t="n">
        <v>44260</v>
      </c>
      <c r="C840" s="1" t="n">
        <v>45895</v>
      </c>
      <c r="D840" t="inlineStr">
        <is>
          <t>NORRBOTTENS LÄN</t>
        </is>
      </c>
      <c r="E840" t="inlineStr">
        <is>
          <t>KIRUNA</t>
        </is>
      </c>
      <c r="G840" t="n">
        <v>11.7</v>
      </c>
      <c r="H840" t="n">
        <v>0</v>
      </c>
      <c r="I840" t="n">
        <v>0</v>
      </c>
      <c r="J840" t="n">
        <v>0</v>
      </c>
      <c r="K840" t="n">
        <v>0</v>
      </c>
      <c r="L840" t="n">
        <v>0</v>
      </c>
      <c r="M840" t="n">
        <v>0</v>
      </c>
      <c r="N840" t="n">
        <v>0</v>
      </c>
      <c r="O840" t="n">
        <v>0</v>
      </c>
      <c r="P840" t="n">
        <v>0</v>
      </c>
      <c r="Q840" t="n">
        <v>0</v>
      </c>
      <c r="R840" s="2" t="inlineStr"/>
    </row>
    <row r="841" ht="15" customHeight="1">
      <c r="A841" t="inlineStr">
        <is>
          <t>A 1481-2021</t>
        </is>
      </c>
      <c r="B841" s="1" t="n">
        <v>44208</v>
      </c>
      <c r="C841" s="1" t="n">
        <v>45895</v>
      </c>
      <c r="D841" t="inlineStr">
        <is>
          <t>NORRBOTTENS LÄN</t>
        </is>
      </c>
      <c r="E841" t="inlineStr">
        <is>
          <t>ÖVERKALIX</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27596-2021</t>
        </is>
      </c>
      <c r="B842" s="1" t="n">
        <v>44354.25563657407</v>
      </c>
      <c r="C842" s="1" t="n">
        <v>45895</v>
      </c>
      <c r="D842" t="inlineStr">
        <is>
          <t>NORRBOTTENS LÄN</t>
        </is>
      </c>
      <c r="E842" t="inlineStr">
        <is>
          <t>BODEN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67658-2020</t>
        </is>
      </c>
      <c r="B843" s="1" t="n">
        <v>44180</v>
      </c>
      <c r="C843" s="1" t="n">
        <v>45895</v>
      </c>
      <c r="D843" t="inlineStr">
        <is>
          <t>NORRBOTTENS LÄN</t>
        </is>
      </c>
      <c r="E843" t="inlineStr">
        <is>
          <t>HAPARANDA</t>
        </is>
      </c>
      <c r="G843" t="n">
        <v>4</v>
      </c>
      <c r="H843" t="n">
        <v>0</v>
      </c>
      <c r="I843" t="n">
        <v>0</v>
      </c>
      <c r="J843" t="n">
        <v>0</v>
      </c>
      <c r="K843" t="n">
        <v>0</v>
      </c>
      <c r="L843" t="n">
        <v>0</v>
      </c>
      <c r="M843" t="n">
        <v>0</v>
      </c>
      <c r="N843" t="n">
        <v>0</v>
      </c>
      <c r="O843" t="n">
        <v>0</v>
      </c>
      <c r="P843" t="n">
        <v>0</v>
      </c>
      <c r="Q843" t="n">
        <v>0</v>
      </c>
      <c r="R843" s="2" t="inlineStr"/>
    </row>
    <row r="844" ht="15" customHeight="1">
      <c r="A844" t="inlineStr">
        <is>
          <t>A 38188-2021</t>
        </is>
      </c>
      <c r="B844" s="1" t="n">
        <v>44405</v>
      </c>
      <c r="C844" s="1" t="n">
        <v>45895</v>
      </c>
      <c r="D844" t="inlineStr">
        <is>
          <t>NORRBOTTENS LÄN</t>
        </is>
      </c>
      <c r="E844" t="inlineStr">
        <is>
          <t>GÄLLIVARE</t>
        </is>
      </c>
      <c r="G844" t="n">
        <v>13</v>
      </c>
      <c r="H844" t="n">
        <v>0</v>
      </c>
      <c r="I844" t="n">
        <v>0</v>
      </c>
      <c r="J844" t="n">
        <v>0</v>
      </c>
      <c r="K844" t="n">
        <v>0</v>
      </c>
      <c r="L844" t="n">
        <v>0</v>
      </c>
      <c r="M844" t="n">
        <v>0</v>
      </c>
      <c r="N844" t="n">
        <v>0</v>
      </c>
      <c r="O844" t="n">
        <v>0</v>
      </c>
      <c r="P844" t="n">
        <v>0</v>
      </c>
      <c r="Q844" t="n">
        <v>0</v>
      </c>
      <c r="R844" s="2" t="inlineStr"/>
    </row>
    <row r="845" ht="15" customHeight="1">
      <c r="A845" t="inlineStr">
        <is>
          <t>A 11833-2022</t>
        </is>
      </c>
      <c r="B845" s="1" t="n">
        <v>44634</v>
      </c>
      <c r="C845" s="1" t="n">
        <v>45895</v>
      </c>
      <c r="D845" t="inlineStr">
        <is>
          <t>NORRBOTTENS LÄN</t>
        </is>
      </c>
      <c r="E845" t="inlineStr">
        <is>
          <t>LULEÅ</t>
        </is>
      </c>
      <c r="G845" t="n">
        <v>1.4</v>
      </c>
      <c r="H845" t="n">
        <v>0</v>
      </c>
      <c r="I845" t="n">
        <v>0</v>
      </c>
      <c r="J845" t="n">
        <v>0</v>
      </c>
      <c r="K845" t="n">
        <v>0</v>
      </c>
      <c r="L845" t="n">
        <v>0</v>
      </c>
      <c r="M845" t="n">
        <v>0</v>
      </c>
      <c r="N845" t="n">
        <v>0</v>
      </c>
      <c r="O845" t="n">
        <v>0</v>
      </c>
      <c r="P845" t="n">
        <v>0</v>
      </c>
      <c r="Q845" t="n">
        <v>0</v>
      </c>
      <c r="R845" s="2" t="inlineStr"/>
    </row>
    <row r="846" ht="15" customHeight="1">
      <c r="A846" t="inlineStr">
        <is>
          <t>A 50917-2021</t>
        </is>
      </c>
      <c r="B846" s="1" t="n">
        <v>44460</v>
      </c>
      <c r="C846" s="1" t="n">
        <v>45895</v>
      </c>
      <c r="D846" t="inlineStr">
        <is>
          <t>NORRBOTTENS LÄN</t>
        </is>
      </c>
      <c r="E846" t="inlineStr">
        <is>
          <t>ÄLVSBYN</t>
        </is>
      </c>
      <c r="G846" t="n">
        <v>3.9</v>
      </c>
      <c r="H846" t="n">
        <v>0</v>
      </c>
      <c r="I846" t="n">
        <v>0</v>
      </c>
      <c r="J846" t="n">
        <v>0</v>
      </c>
      <c r="K846" t="n">
        <v>0</v>
      </c>
      <c r="L846" t="n">
        <v>0</v>
      </c>
      <c r="M846" t="n">
        <v>0</v>
      </c>
      <c r="N846" t="n">
        <v>0</v>
      </c>
      <c r="O846" t="n">
        <v>0</v>
      </c>
      <c r="P846" t="n">
        <v>0</v>
      </c>
      <c r="Q846" t="n">
        <v>0</v>
      </c>
      <c r="R846" s="2" t="inlineStr"/>
    </row>
    <row r="847" ht="15" customHeight="1">
      <c r="A847" t="inlineStr">
        <is>
          <t>A 44853-2021</t>
        </is>
      </c>
      <c r="B847" s="1" t="n">
        <v>44438</v>
      </c>
      <c r="C847" s="1" t="n">
        <v>45895</v>
      </c>
      <c r="D847" t="inlineStr">
        <is>
          <t>NORRBOTTENS LÄN</t>
        </is>
      </c>
      <c r="E847" t="inlineStr">
        <is>
          <t>GÄLLIVARE</t>
        </is>
      </c>
      <c r="G847" t="n">
        <v>3.7</v>
      </c>
      <c r="H847" t="n">
        <v>0</v>
      </c>
      <c r="I847" t="n">
        <v>0</v>
      </c>
      <c r="J847" t="n">
        <v>0</v>
      </c>
      <c r="K847" t="n">
        <v>0</v>
      </c>
      <c r="L847" t="n">
        <v>0</v>
      </c>
      <c r="M847" t="n">
        <v>0</v>
      </c>
      <c r="N847" t="n">
        <v>0</v>
      </c>
      <c r="O847" t="n">
        <v>0</v>
      </c>
      <c r="P847" t="n">
        <v>0</v>
      </c>
      <c r="Q847" t="n">
        <v>0</v>
      </c>
      <c r="R847" s="2" t="inlineStr"/>
    </row>
    <row r="848" ht="15" customHeight="1">
      <c r="A848" t="inlineStr">
        <is>
          <t>A 48335-2021</t>
        </is>
      </c>
      <c r="B848" s="1" t="n">
        <v>44451</v>
      </c>
      <c r="C848" s="1" t="n">
        <v>45895</v>
      </c>
      <c r="D848" t="inlineStr">
        <is>
          <t>NORRBOTTENS LÄN</t>
        </is>
      </c>
      <c r="E848" t="inlineStr">
        <is>
          <t>PAJALA</t>
        </is>
      </c>
      <c r="G848" t="n">
        <v>0.9</v>
      </c>
      <c r="H848" t="n">
        <v>0</v>
      </c>
      <c r="I848" t="n">
        <v>0</v>
      </c>
      <c r="J848" t="n">
        <v>0</v>
      </c>
      <c r="K848" t="n">
        <v>0</v>
      </c>
      <c r="L848" t="n">
        <v>0</v>
      </c>
      <c r="M848" t="n">
        <v>0</v>
      </c>
      <c r="N848" t="n">
        <v>0</v>
      </c>
      <c r="O848" t="n">
        <v>0</v>
      </c>
      <c r="P848" t="n">
        <v>0</v>
      </c>
      <c r="Q848" t="n">
        <v>0</v>
      </c>
      <c r="R848" s="2" t="inlineStr"/>
    </row>
    <row r="849" ht="15" customHeight="1">
      <c r="A849" t="inlineStr">
        <is>
          <t>A 15406-2022</t>
        </is>
      </c>
      <c r="B849" s="1" t="n">
        <v>44659.6078587963</v>
      </c>
      <c r="C849" s="1" t="n">
        <v>45895</v>
      </c>
      <c r="D849" t="inlineStr">
        <is>
          <t>NORRBOTTENS LÄN</t>
        </is>
      </c>
      <c r="E849" t="inlineStr">
        <is>
          <t>BODEN</t>
        </is>
      </c>
      <c r="G849" t="n">
        <v>11.2</v>
      </c>
      <c r="H849" t="n">
        <v>0</v>
      </c>
      <c r="I849" t="n">
        <v>0</v>
      </c>
      <c r="J849" t="n">
        <v>0</v>
      </c>
      <c r="K849" t="n">
        <v>0</v>
      </c>
      <c r="L849" t="n">
        <v>0</v>
      </c>
      <c r="M849" t="n">
        <v>0</v>
      </c>
      <c r="N849" t="n">
        <v>0</v>
      </c>
      <c r="O849" t="n">
        <v>0</v>
      </c>
      <c r="P849" t="n">
        <v>0</v>
      </c>
      <c r="Q849" t="n">
        <v>0</v>
      </c>
      <c r="R849" s="2" t="inlineStr"/>
    </row>
    <row r="850" ht="15" customHeight="1">
      <c r="A850" t="inlineStr">
        <is>
          <t>A 16530-2022</t>
        </is>
      </c>
      <c r="B850" s="1" t="n">
        <v>44671</v>
      </c>
      <c r="C850" s="1" t="n">
        <v>45895</v>
      </c>
      <c r="D850" t="inlineStr">
        <is>
          <t>NORRBOTTENS LÄN</t>
        </is>
      </c>
      <c r="E850" t="inlineStr">
        <is>
          <t>BODEN</t>
        </is>
      </c>
      <c r="G850" t="n">
        <v>8.9</v>
      </c>
      <c r="H850" t="n">
        <v>0</v>
      </c>
      <c r="I850" t="n">
        <v>0</v>
      </c>
      <c r="J850" t="n">
        <v>0</v>
      </c>
      <c r="K850" t="n">
        <v>0</v>
      </c>
      <c r="L850" t="n">
        <v>0</v>
      </c>
      <c r="M850" t="n">
        <v>0</v>
      </c>
      <c r="N850" t="n">
        <v>0</v>
      </c>
      <c r="O850" t="n">
        <v>0</v>
      </c>
      <c r="P850" t="n">
        <v>0</v>
      </c>
      <c r="Q850" t="n">
        <v>0</v>
      </c>
      <c r="R850" s="2" t="inlineStr"/>
    </row>
    <row r="851" ht="15" customHeight="1">
      <c r="A851" t="inlineStr">
        <is>
          <t>A 64384-2021</t>
        </is>
      </c>
      <c r="B851" s="1" t="n">
        <v>44511</v>
      </c>
      <c r="C851" s="1" t="n">
        <v>45895</v>
      </c>
      <c r="D851" t="inlineStr">
        <is>
          <t>NORRBOTTENS LÄN</t>
        </is>
      </c>
      <c r="E851" t="inlineStr">
        <is>
          <t>ARVIDSJAUR</t>
        </is>
      </c>
      <c r="G851" t="n">
        <v>6.9</v>
      </c>
      <c r="H851" t="n">
        <v>0</v>
      </c>
      <c r="I851" t="n">
        <v>0</v>
      </c>
      <c r="J851" t="n">
        <v>0</v>
      </c>
      <c r="K851" t="n">
        <v>0</v>
      </c>
      <c r="L851" t="n">
        <v>0</v>
      </c>
      <c r="M851" t="n">
        <v>0</v>
      </c>
      <c r="N851" t="n">
        <v>0</v>
      </c>
      <c r="O851" t="n">
        <v>0</v>
      </c>
      <c r="P851" t="n">
        <v>0</v>
      </c>
      <c r="Q851" t="n">
        <v>0</v>
      </c>
      <c r="R851" s="2" t="inlineStr"/>
    </row>
    <row r="852" ht="15" customHeight="1">
      <c r="A852" t="inlineStr">
        <is>
          <t>A 74231-2021</t>
        </is>
      </c>
      <c r="B852" s="1" t="n">
        <v>44553</v>
      </c>
      <c r="C852" s="1" t="n">
        <v>45895</v>
      </c>
      <c r="D852" t="inlineStr">
        <is>
          <t>NORRBOTTENS LÄN</t>
        </is>
      </c>
      <c r="E852" t="inlineStr">
        <is>
          <t>ÖVERTORNEÅ</t>
        </is>
      </c>
      <c r="G852" t="n">
        <v>5.5</v>
      </c>
      <c r="H852" t="n">
        <v>0</v>
      </c>
      <c r="I852" t="n">
        <v>0</v>
      </c>
      <c r="J852" t="n">
        <v>0</v>
      </c>
      <c r="K852" t="n">
        <v>0</v>
      </c>
      <c r="L852" t="n">
        <v>0</v>
      </c>
      <c r="M852" t="n">
        <v>0</v>
      </c>
      <c r="N852" t="n">
        <v>0</v>
      </c>
      <c r="O852" t="n">
        <v>0</v>
      </c>
      <c r="P852" t="n">
        <v>0</v>
      </c>
      <c r="Q852" t="n">
        <v>0</v>
      </c>
      <c r="R852" s="2" t="inlineStr"/>
    </row>
    <row r="853" ht="15" customHeight="1">
      <c r="A853" t="inlineStr">
        <is>
          <t>A 74232-2021</t>
        </is>
      </c>
      <c r="B853" s="1" t="n">
        <v>44553</v>
      </c>
      <c r="C853" s="1" t="n">
        <v>45895</v>
      </c>
      <c r="D853" t="inlineStr">
        <is>
          <t>NORRBOTTENS LÄN</t>
        </is>
      </c>
      <c r="E853" t="inlineStr">
        <is>
          <t>ÖVERTORNEÅ</t>
        </is>
      </c>
      <c r="G853" t="n">
        <v>8.4</v>
      </c>
      <c r="H853" t="n">
        <v>0</v>
      </c>
      <c r="I853" t="n">
        <v>0</v>
      </c>
      <c r="J853" t="n">
        <v>0</v>
      </c>
      <c r="K853" t="n">
        <v>0</v>
      </c>
      <c r="L853" t="n">
        <v>0</v>
      </c>
      <c r="M853" t="n">
        <v>0</v>
      </c>
      <c r="N853" t="n">
        <v>0</v>
      </c>
      <c r="O853" t="n">
        <v>0</v>
      </c>
      <c r="P853" t="n">
        <v>0</v>
      </c>
      <c r="Q853" t="n">
        <v>0</v>
      </c>
      <c r="R853" s="2" t="inlineStr"/>
    </row>
    <row r="854" ht="15" customHeight="1">
      <c r="A854" t="inlineStr">
        <is>
          <t>A 67103-2021</t>
        </is>
      </c>
      <c r="B854" s="1" t="n">
        <v>44522</v>
      </c>
      <c r="C854" s="1" t="n">
        <v>45895</v>
      </c>
      <c r="D854" t="inlineStr">
        <is>
          <t>NORRBOTTENS LÄN</t>
        </is>
      </c>
      <c r="E854" t="inlineStr">
        <is>
          <t>ÄLVSBYN</t>
        </is>
      </c>
      <c r="G854" t="n">
        <v>4</v>
      </c>
      <c r="H854" t="n">
        <v>0</v>
      </c>
      <c r="I854" t="n">
        <v>0</v>
      </c>
      <c r="J854" t="n">
        <v>0</v>
      </c>
      <c r="K854" t="n">
        <v>0</v>
      </c>
      <c r="L854" t="n">
        <v>0</v>
      </c>
      <c r="M854" t="n">
        <v>0</v>
      </c>
      <c r="N854" t="n">
        <v>0</v>
      </c>
      <c r="O854" t="n">
        <v>0</v>
      </c>
      <c r="P854" t="n">
        <v>0</v>
      </c>
      <c r="Q854" t="n">
        <v>0</v>
      </c>
      <c r="R854" s="2" t="inlineStr"/>
    </row>
    <row r="855" ht="15" customHeight="1">
      <c r="A855" t="inlineStr">
        <is>
          <t>A 48118-2022</t>
        </is>
      </c>
      <c r="B855" s="1" t="n">
        <v>44857.51459490741</v>
      </c>
      <c r="C855" s="1" t="n">
        <v>45895</v>
      </c>
      <c r="D855" t="inlineStr">
        <is>
          <t>NORRBOTTENS LÄN</t>
        </is>
      </c>
      <c r="E855" t="inlineStr">
        <is>
          <t>PITEÅ</t>
        </is>
      </c>
      <c r="G855" t="n">
        <v>0.5</v>
      </c>
      <c r="H855" t="n">
        <v>0</v>
      </c>
      <c r="I855" t="n">
        <v>0</v>
      </c>
      <c r="J855" t="n">
        <v>0</v>
      </c>
      <c r="K855" t="n">
        <v>0</v>
      </c>
      <c r="L855" t="n">
        <v>0</v>
      </c>
      <c r="M855" t="n">
        <v>0</v>
      </c>
      <c r="N855" t="n">
        <v>0</v>
      </c>
      <c r="O855" t="n">
        <v>0</v>
      </c>
      <c r="P855" t="n">
        <v>0</v>
      </c>
      <c r="Q855" t="n">
        <v>0</v>
      </c>
      <c r="R855" s="2" t="inlineStr"/>
    </row>
    <row r="856" ht="15" customHeight="1">
      <c r="A856" t="inlineStr">
        <is>
          <t>A 57958-2021</t>
        </is>
      </c>
      <c r="B856" s="1" t="n">
        <v>44487</v>
      </c>
      <c r="C856" s="1" t="n">
        <v>45895</v>
      </c>
      <c r="D856" t="inlineStr">
        <is>
          <t>NORRBOTTENS LÄN</t>
        </is>
      </c>
      <c r="E856" t="inlineStr">
        <is>
          <t>ARVIDSJAUR</t>
        </is>
      </c>
      <c r="F856" t="inlineStr">
        <is>
          <t>Sveaskog</t>
        </is>
      </c>
      <c r="G856" t="n">
        <v>5.5</v>
      </c>
      <c r="H856" t="n">
        <v>0</v>
      </c>
      <c r="I856" t="n">
        <v>0</v>
      </c>
      <c r="J856" t="n">
        <v>0</v>
      </c>
      <c r="K856" t="n">
        <v>0</v>
      </c>
      <c r="L856" t="n">
        <v>0</v>
      </c>
      <c r="M856" t="n">
        <v>0</v>
      </c>
      <c r="N856" t="n">
        <v>0</v>
      </c>
      <c r="O856" t="n">
        <v>0</v>
      </c>
      <c r="P856" t="n">
        <v>0</v>
      </c>
      <c r="Q856" t="n">
        <v>0</v>
      </c>
      <c r="R856" s="2" t="inlineStr"/>
    </row>
    <row r="857" ht="15" customHeight="1">
      <c r="A857" t="inlineStr">
        <is>
          <t>A 64979-2021</t>
        </is>
      </c>
      <c r="B857" s="1" t="n">
        <v>44513</v>
      </c>
      <c r="C857" s="1" t="n">
        <v>45895</v>
      </c>
      <c r="D857" t="inlineStr">
        <is>
          <t>NORRBOTTENS LÄN</t>
        </is>
      </c>
      <c r="E857" t="inlineStr">
        <is>
          <t>PAJALA</t>
        </is>
      </c>
      <c r="G857" t="n">
        <v>10.3</v>
      </c>
      <c r="H857" t="n">
        <v>0</v>
      </c>
      <c r="I857" t="n">
        <v>0</v>
      </c>
      <c r="J857" t="n">
        <v>0</v>
      </c>
      <c r="K857" t="n">
        <v>0</v>
      </c>
      <c r="L857" t="n">
        <v>0</v>
      </c>
      <c r="M857" t="n">
        <v>0</v>
      </c>
      <c r="N857" t="n">
        <v>0</v>
      </c>
      <c r="O857" t="n">
        <v>0</v>
      </c>
      <c r="P857" t="n">
        <v>0</v>
      </c>
      <c r="Q857" t="n">
        <v>0</v>
      </c>
      <c r="R857" s="2" t="inlineStr"/>
    </row>
    <row r="858" ht="15" customHeight="1">
      <c r="A858" t="inlineStr">
        <is>
          <t>A 41691-2021</t>
        </is>
      </c>
      <c r="B858" s="1" t="n">
        <v>44424</v>
      </c>
      <c r="C858" s="1" t="n">
        <v>45895</v>
      </c>
      <c r="D858" t="inlineStr">
        <is>
          <t>NORRBOTTENS LÄN</t>
        </is>
      </c>
      <c r="E858" t="inlineStr">
        <is>
          <t>ÖVERKALIX</t>
        </is>
      </c>
      <c r="G858" t="n">
        <v>5</v>
      </c>
      <c r="H858" t="n">
        <v>0</v>
      </c>
      <c r="I858" t="n">
        <v>0</v>
      </c>
      <c r="J858" t="n">
        <v>0</v>
      </c>
      <c r="K858" t="n">
        <v>0</v>
      </c>
      <c r="L858" t="n">
        <v>0</v>
      </c>
      <c r="M858" t="n">
        <v>0</v>
      </c>
      <c r="N858" t="n">
        <v>0</v>
      </c>
      <c r="O858" t="n">
        <v>0</v>
      </c>
      <c r="P858" t="n">
        <v>0</v>
      </c>
      <c r="Q858" t="n">
        <v>0</v>
      </c>
      <c r="R858" s="2" t="inlineStr"/>
    </row>
    <row r="859" ht="15" customHeight="1">
      <c r="A859" t="inlineStr">
        <is>
          <t>A 59049-2021</t>
        </is>
      </c>
      <c r="B859" s="1" t="n">
        <v>44490</v>
      </c>
      <c r="C859" s="1" t="n">
        <v>45895</v>
      </c>
      <c r="D859" t="inlineStr">
        <is>
          <t>NORRBOTTENS LÄN</t>
        </is>
      </c>
      <c r="E859" t="inlineStr">
        <is>
          <t>ARVIDSJAUR</t>
        </is>
      </c>
      <c r="F859" t="inlineStr">
        <is>
          <t>Sveaskog</t>
        </is>
      </c>
      <c r="G859" t="n">
        <v>6.8</v>
      </c>
      <c r="H859" t="n">
        <v>0</v>
      </c>
      <c r="I859" t="n">
        <v>0</v>
      </c>
      <c r="J859" t="n">
        <v>0</v>
      </c>
      <c r="K859" t="n">
        <v>0</v>
      </c>
      <c r="L859" t="n">
        <v>0</v>
      </c>
      <c r="M859" t="n">
        <v>0</v>
      </c>
      <c r="N859" t="n">
        <v>0</v>
      </c>
      <c r="O859" t="n">
        <v>0</v>
      </c>
      <c r="P859" t="n">
        <v>0</v>
      </c>
      <c r="Q859" t="n">
        <v>0</v>
      </c>
      <c r="R859" s="2" t="inlineStr"/>
    </row>
    <row r="860" ht="15" customHeight="1">
      <c r="A860" t="inlineStr">
        <is>
          <t>A 47277-2022</t>
        </is>
      </c>
      <c r="B860" s="1" t="n">
        <v>44852</v>
      </c>
      <c r="C860" s="1" t="n">
        <v>45895</v>
      </c>
      <c r="D860" t="inlineStr">
        <is>
          <t>NORRBOTTENS LÄN</t>
        </is>
      </c>
      <c r="E860" t="inlineStr">
        <is>
          <t>BODEN</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52713-2021</t>
        </is>
      </c>
      <c r="B861" s="1" t="n">
        <v>44466.93474537037</v>
      </c>
      <c r="C861" s="1" t="n">
        <v>45895</v>
      </c>
      <c r="D861" t="inlineStr">
        <is>
          <t>NORRBOTTENS LÄN</t>
        </is>
      </c>
      <c r="E861" t="inlineStr">
        <is>
          <t>ÖVERKALIX</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53065-2020</t>
        </is>
      </c>
      <c r="B862" s="1" t="n">
        <v>44120</v>
      </c>
      <c r="C862" s="1" t="n">
        <v>45895</v>
      </c>
      <c r="D862" t="inlineStr">
        <is>
          <t>NORRBOTTENS LÄN</t>
        </is>
      </c>
      <c r="E862" t="inlineStr">
        <is>
          <t>BODEN</t>
        </is>
      </c>
      <c r="G862" t="n">
        <v>3</v>
      </c>
      <c r="H862" t="n">
        <v>0</v>
      </c>
      <c r="I862" t="n">
        <v>0</v>
      </c>
      <c r="J862" t="n">
        <v>0</v>
      </c>
      <c r="K862" t="n">
        <v>0</v>
      </c>
      <c r="L862" t="n">
        <v>0</v>
      </c>
      <c r="M862" t="n">
        <v>0</v>
      </c>
      <c r="N862" t="n">
        <v>0</v>
      </c>
      <c r="O862" t="n">
        <v>0</v>
      </c>
      <c r="P862" t="n">
        <v>0</v>
      </c>
      <c r="Q862" t="n">
        <v>0</v>
      </c>
      <c r="R862" s="2" t="inlineStr"/>
    </row>
    <row r="863" ht="15" customHeight="1">
      <c r="A863" t="inlineStr">
        <is>
          <t>A 12010-2022</t>
        </is>
      </c>
      <c r="B863" s="1" t="n">
        <v>44635</v>
      </c>
      <c r="C863" s="1" t="n">
        <v>45895</v>
      </c>
      <c r="D863" t="inlineStr">
        <is>
          <t>NORRBOTTENS LÄN</t>
        </is>
      </c>
      <c r="E863" t="inlineStr">
        <is>
          <t>LULEÅ</t>
        </is>
      </c>
      <c r="G863" t="n">
        <v>0.4</v>
      </c>
      <c r="H863" t="n">
        <v>0</v>
      </c>
      <c r="I863" t="n">
        <v>0</v>
      </c>
      <c r="J863" t="n">
        <v>0</v>
      </c>
      <c r="K863" t="n">
        <v>0</v>
      </c>
      <c r="L863" t="n">
        <v>0</v>
      </c>
      <c r="M863" t="n">
        <v>0</v>
      </c>
      <c r="N863" t="n">
        <v>0</v>
      </c>
      <c r="O863" t="n">
        <v>0</v>
      </c>
      <c r="P863" t="n">
        <v>0</v>
      </c>
      <c r="Q863" t="n">
        <v>0</v>
      </c>
      <c r="R863" s="2" t="inlineStr"/>
    </row>
    <row r="864" ht="15" customHeight="1">
      <c r="A864" t="inlineStr">
        <is>
          <t>A 55226-2022</t>
        </is>
      </c>
      <c r="B864" s="1" t="n">
        <v>44886.96305555556</v>
      </c>
      <c r="C864" s="1" t="n">
        <v>45895</v>
      </c>
      <c r="D864" t="inlineStr">
        <is>
          <t>NORRBOTTENS LÄN</t>
        </is>
      </c>
      <c r="E864" t="inlineStr">
        <is>
          <t>GÄLLIVARE</t>
        </is>
      </c>
      <c r="F864" t="inlineStr">
        <is>
          <t>SCA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16186-2022</t>
        </is>
      </c>
      <c r="B865" s="1" t="n">
        <v>44669</v>
      </c>
      <c r="C865" s="1" t="n">
        <v>45895</v>
      </c>
      <c r="D865" t="inlineStr">
        <is>
          <t>NORRBOTTENS LÄN</t>
        </is>
      </c>
      <c r="E865" t="inlineStr">
        <is>
          <t>KALIX</t>
        </is>
      </c>
      <c r="G865" t="n">
        <v>6.8</v>
      </c>
      <c r="H865" t="n">
        <v>0</v>
      </c>
      <c r="I865" t="n">
        <v>0</v>
      </c>
      <c r="J865" t="n">
        <v>0</v>
      </c>
      <c r="K865" t="n">
        <v>0</v>
      </c>
      <c r="L865" t="n">
        <v>0</v>
      </c>
      <c r="M865" t="n">
        <v>0</v>
      </c>
      <c r="N865" t="n">
        <v>0</v>
      </c>
      <c r="O865" t="n">
        <v>0</v>
      </c>
      <c r="P865" t="n">
        <v>0</v>
      </c>
      <c r="Q865" t="n">
        <v>0</v>
      </c>
      <c r="R865" s="2" t="inlineStr"/>
    </row>
    <row r="866" ht="15" customHeight="1">
      <c r="A866" t="inlineStr">
        <is>
          <t>A 47629-2021</t>
        </is>
      </c>
      <c r="B866" s="1" t="n">
        <v>44448</v>
      </c>
      <c r="C866" s="1" t="n">
        <v>45895</v>
      </c>
      <c r="D866" t="inlineStr">
        <is>
          <t>NORRBOTTENS LÄN</t>
        </is>
      </c>
      <c r="E866" t="inlineStr">
        <is>
          <t>ÖVERKALIX</t>
        </is>
      </c>
      <c r="G866" t="n">
        <v>1.8</v>
      </c>
      <c r="H866" t="n">
        <v>0</v>
      </c>
      <c r="I866" t="n">
        <v>0</v>
      </c>
      <c r="J866" t="n">
        <v>0</v>
      </c>
      <c r="K866" t="n">
        <v>0</v>
      </c>
      <c r="L866" t="n">
        <v>0</v>
      </c>
      <c r="M866" t="n">
        <v>0</v>
      </c>
      <c r="N866" t="n">
        <v>0</v>
      </c>
      <c r="O866" t="n">
        <v>0</v>
      </c>
      <c r="P866" t="n">
        <v>0</v>
      </c>
      <c r="Q866" t="n">
        <v>0</v>
      </c>
      <c r="R866" s="2" t="inlineStr"/>
    </row>
    <row r="867" ht="15" customHeight="1">
      <c r="A867" t="inlineStr">
        <is>
          <t>A 19219-2022</t>
        </is>
      </c>
      <c r="B867" s="1" t="n">
        <v>44691</v>
      </c>
      <c r="C867" s="1" t="n">
        <v>45895</v>
      </c>
      <c r="D867" t="inlineStr">
        <is>
          <t>NORRBOTTENS LÄN</t>
        </is>
      </c>
      <c r="E867" t="inlineStr">
        <is>
          <t>PAJALA</t>
        </is>
      </c>
      <c r="G867" t="n">
        <v>1</v>
      </c>
      <c r="H867" t="n">
        <v>0</v>
      </c>
      <c r="I867" t="n">
        <v>0</v>
      </c>
      <c r="J867" t="n">
        <v>0</v>
      </c>
      <c r="K867" t="n">
        <v>0</v>
      </c>
      <c r="L867" t="n">
        <v>0</v>
      </c>
      <c r="M867" t="n">
        <v>0</v>
      </c>
      <c r="N867" t="n">
        <v>0</v>
      </c>
      <c r="O867" t="n">
        <v>0</v>
      </c>
      <c r="P867" t="n">
        <v>0</v>
      </c>
      <c r="Q867" t="n">
        <v>0</v>
      </c>
      <c r="R867" s="2" t="inlineStr"/>
    </row>
    <row r="868" ht="15" customHeight="1">
      <c r="A868" t="inlineStr">
        <is>
          <t>A 19227-2022</t>
        </is>
      </c>
      <c r="B868" s="1" t="n">
        <v>44691</v>
      </c>
      <c r="C868" s="1" t="n">
        <v>45895</v>
      </c>
      <c r="D868" t="inlineStr">
        <is>
          <t>NORRBOTTENS LÄN</t>
        </is>
      </c>
      <c r="E868" t="inlineStr">
        <is>
          <t>PAJALA</t>
        </is>
      </c>
      <c r="G868" t="n">
        <v>8.5</v>
      </c>
      <c r="H868" t="n">
        <v>0</v>
      </c>
      <c r="I868" t="n">
        <v>0</v>
      </c>
      <c r="J868" t="n">
        <v>0</v>
      </c>
      <c r="K868" t="n">
        <v>0</v>
      </c>
      <c r="L868" t="n">
        <v>0</v>
      </c>
      <c r="M868" t="n">
        <v>0</v>
      </c>
      <c r="N868" t="n">
        <v>0</v>
      </c>
      <c r="O868" t="n">
        <v>0</v>
      </c>
      <c r="P868" t="n">
        <v>0</v>
      </c>
      <c r="Q868" t="n">
        <v>0</v>
      </c>
      <c r="R868" s="2" t="inlineStr"/>
    </row>
    <row r="869" ht="15" customHeight="1">
      <c r="A869" t="inlineStr">
        <is>
          <t>A 19230-2022</t>
        </is>
      </c>
      <c r="B869" s="1" t="n">
        <v>44691</v>
      </c>
      <c r="C869" s="1" t="n">
        <v>45895</v>
      </c>
      <c r="D869" t="inlineStr">
        <is>
          <t>NORRBOTTENS LÄN</t>
        </is>
      </c>
      <c r="E869" t="inlineStr">
        <is>
          <t>PAJALA</t>
        </is>
      </c>
      <c r="G869" t="n">
        <v>18.7</v>
      </c>
      <c r="H869" t="n">
        <v>0</v>
      </c>
      <c r="I869" t="n">
        <v>0</v>
      </c>
      <c r="J869" t="n">
        <v>0</v>
      </c>
      <c r="K869" t="n">
        <v>0</v>
      </c>
      <c r="L869" t="n">
        <v>0</v>
      </c>
      <c r="M869" t="n">
        <v>0</v>
      </c>
      <c r="N869" t="n">
        <v>0</v>
      </c>
      <c r="O869" t="n">
        <v>0</v>
      </c>
      <c r="P869" t="n">
        <v>0</v>
      </c>
      <c r="Q869" t="n">
        <v>0</v>
      </c>
      <c r="R869" s="2" t="inlineStr"/>
    </row>
    <row r="870" ht="15" customHeight="1">
      <c r="A870" t="inlineStr">
        <is>
          <t>A 3537-2021</t>
        </is>
      </c>
      <c r="B870" s="1" t="n">
        <v>44216</v>
      </c>
      <c r="C870" s="1" t="n">
        <v>45895</v>
      </c>
      <c r="D870" t="inlineStr">
        <is>
          <t>NORRBOTTENS LÄN</t>
        </is>
      </c>
      <c r="E870" t="inlineStr">
        <is>
          <t>BODEN</t>
        </is>
      </c>
      <c r="G870" t="n">
        <v>8.6</v>
      </c>
      <c r="H870" t="n">
        <v>0</v>
      </c>
      <c r="I870" t="n">
        <v>0</v>
      </c>
      <c r="J870" t="n">
        <v>0</v>
      </c>
      <c r="K870" t="n">
        <v>0</v>
      </c>
      <c r="L870" t="n">
        <v>0</v>
      </c>
      <c r="M870" t="n">
        <v>0</v>
      </c>
      <c r="N870" t="n">
        <v>0</v>
      </c>
      <c r="O870" t="n">
        <v>0</v>
      </c>
      <c r="P870" t="n">
        <v>0</v>
      </c>
      <c r="Q870" t="n">
        <v>0</v>
      </c>
      <c r="R870" s="2" t="inlineStr"/>
    </row>
    <row r="871" ht="15" customHeight="1">
      <c r="A871" t="inlineStr">
        <is>
          <t>A 34471-2022</t>
        </is>
      </c>
      <c r="B871" s="1" t="n">
        <v>44792</v>
      </c>
      <c r="C871" s="1" t="n">
        <v>45895</v>
      </c>
      <c r="D871" t="inlineStr">
        <is>
          <t>NORRBOTTENS LÄN</t>
        </is>
      </c>
      <c r="E871" t="inlineStr">
        <is>
          <t>ARVIDSJAUR</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34474-2022</t>
        </is>
      </c>
      <c r="B872" s="1" t="n">
        <v>44792</v>
      </c>
      <c r="C872" s="1" t="n">
        <v>45895</v>
      </c>
      <c r="D872" t="inlineStr">
        <is>
          <t>NORRBOTTENS LÄN</t>
        </is>
      </c>
      <c r="E872" t="inlineStr">
        <is>
          <t>ARVIDSJAUR</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8358-2021</t>
        </is>
      </c>
      <c r="B873" s="1" t="n">
        <v>44244</v>
      </c>
      <c r="C873" s="1" t="n">
        <v>45895</v>
      </c>
      <c r="D873" t="inlineStr">
        <is>
          <t>NORRBOTTENS LÄN</t>
        </is>
      </c>
      <c r="E873" t="inlineStr">
        <is>
          <t>JOKKMOKK</t>
        </is>
      </c>
      <c r="F873" t="inlineStr">
        <is>
          <t>SCA</t>
        </is>
      </c>
      <c r="G873" t="n">
        <v>4.5</v>
      </c>
      <c r="H873" t="n">
        <v>0</v>
      </c>
      <c r="I873" t="n">
        <v>0</v>
      </c>
      <c r="J873" t="n">
        <v>0</v>
      </c>
      <c r="K873" t="n">
        <v>0</v>
      </c>
      <c r="L873" t="n">
        <v>0</v>
      </c>
      <c r="M873" t="n">
        <v>0</v>
      </c>
      <c r="N873" t="n">
        <v>0</v>
      </c>
      <c r="O873" t="n">
        <v>0</v>
      </c>
      <c r="P873" t="n">
        <v>0</v>
      </c>
      <c r="Q873" t="n">
        <v>0</v>
      </c>
      <c r="R873" s="2" t="inlineStr"/>
    </row>
    <row r="874" ht="15" customHeight="1">
      <c r="A874" t="inlineStr">
        <is>
          <t>A 49843-2022</t>
        </is>
      </c>
      <c r="B874" s="1" t="n">
        <v>44862</v>
      </c>
      <c r="C874" s="1" t="n">
        <v>45895</v>
      </c>
      <c r="D874" t="inlineStr">
        <is>
          <t>NORRBOTTENS LÄN</t>
        </is>
      </c>
      <c r="E874" t="inlineStr">
        <is>
          <t>ÖVERKALIX</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31977-2022</t>
        </is>
      </c>
      <c r="B875" s="1" t="n">
        <v>44777</v>
      </c>
      <c r="C875" s="1" t="n">
        <v>45895</v>
      </c>
      <c r="D875" t="inlineStr">
        <is>
          <t>NORRBOTTENS LÄN</t>
        </is>
      </c>
      <c r="E875" t="inlineStr">
        <is>
          <t>PITEÅ</t>
        </is>
      </c>
      <c r="F875" t="inlineStr">
        <is>
          <t>SCA</t>
        </is>
      </c>
      <c r="G875" t="n">
        <v>13.7</v>
      </c>
      <c r="H875" t="n">
        <v>0</v>
      </c>
      <c r="I875" t="n">
        <v>0</v>
      </c>
      <c r="J875" t="n">
        <v>0</v>
      </c>
      <c r="K875" t="n">
        <v>0</v>
      </c>
      <c r="L875" t="n">
        <v>0</v>
      </c>
      <c r="M875" t="n">
        <v>0</v>
      </c>
      <c r="N875" t="n">
        <v>0</v>
      </c>
      <c r="O875" t="n">
        <v>0</v>
      </c>
      <c r="P875" t="n">
        <v>0</v>
      </c>
      <c r="Q875" t="n">
        <v>0</v>
      </c>
      <c r="R875" s="2" t="inlineStr"/>
    </row>
    <row r="876" ht="15" customHeight="1">
      <c r="A876" t="inlineStr">
        <is>
          <t>A 56275-2021</t>
        </is>
      </c>
      <c r="B876" s="1" t="n">
        <v>44479</v>
      </c>
      <c r="C876" s="1" t="n">
        <v>45895</v>
      </c>
      <c r="D876" t="inlineStr">
        <is>
          <t>NORRBOTTENS LÄN</t>
        </is>
      </c>
      <c r="E876" t="inlineStr">
        <is>
          <t>ARJEPLOG</t>
        </is>
      </c>
      <c r="G876" t="n">
        <v>16.2</v>
      </c>
      <c r="H876" t="n">
        <v>0</v>
      </c>
      <c r="I876" t="n">
        <v>0</v>
      </c>
      <c r="J876" t="n">
        <v>0</v>
      </c>
      <c r="K876" t="n">
        <v>0</v>
      </c>
      <c r="L876" t="n">
        <v>0</v>
      </c>
      <c r="M876" t="n">
        <v>0</v>
      </c>
      <c r="N876" t="n">
        <v>0</v>
      </c>
      <c r="O876" t="n">
        <v>0</v>
      </c>
      <c r="P876" t="n">
        <v>0</v>
      </c>
      <c r="Q876" t="n">
        <v>0</v>
      </c>
      <c r="R876" s="2" t="inlineStr"/>
    </row>
    <row r="877" ht="15" customHeight="1">
      <c r="A877" t="inlineStr">
        <is>
          <t>A 56277-2021</t>
        </is>
      </c>
      <c r="B877" s="1" t="n">
        <v>44479</v>
      </c>
      <c r="C877" s="1" t="n">
        <v>45895</v>
      </c>
      <c r="D877" t="inlineStr">
        <is>
          <t>NORRBOTTENS LÄN</t>
        </is>
      </c>
      <c r="E877" t="inlineStr">
        <is>
          <t>ARJEPLOG</t>
        </is>
      </c>
      <c r="G877" t="n">
        <v>19.4</v>
      </c>
      <c r="H877" t="n">
        <v>0</v>
      </c>
      <c r="I877" t="n">
        <v>0</v>
      </c>
      <c r="J877" t="n">
        <v>0</v>
      </c>
      <c r="K877" t="n">
        <v>0</v>
      </c>
      <c r="L877" t="n">
        <v>0</v>
      </c>
      <c r="M877" t="n">
        <v>0</v>
      </c>
      <c r="N877" t="n">
        <v>0</v>
      </c>
      <c r="O877" t="n">
        <v>0</v>
      </c>
      <c r="P877" t="n">
        <v>0</v>
      </c>
      <c r="Q877" t="n">
        <v>0</v>
      </c>
      <c r="R877" s="2" t="inlineStr"/>
    </row>
    <row r="878" ht="15" customHeight="1">
      <c r="A878" t="inlineStr">
        <is>
          <t>A 18914-2022</t>
        </is>
      </c>
      <c r="B878" s="1" t="n">
        <v>44690</v>
      </c>
      <c r="C878" s="1" t="n">
        <v>45895</v>
      </c>
      <c r="D878" t="inlineStr">
        <is>
          <t>NORRBOTTENS LÄN</t>
        </is>
      </c>
      <c r="E878" t="inlineStr">
        <is>
          <t>ARVIDSJAUR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60686-2021</t>
        </is>
      </c>
      <c r="B879" s="1" t="n">
        <v>44496</v>
      </c>
      <c r="C879" s="1" t="n">
        <v>45895</v>
      </c>
      <c r="D879" t="inlineStr">
        <is>
          <t>NORRBOTTENS LÄN</t>
        </is>
      </c>
      <c r="E879" t="inlineStr">
        <is>
          <t>PAJALA</t>
        </is>
      </c>
      <c r="G879" t="n">
        <v>13.5</v>
      </c>
      <c r="H879" t="n">
        <v>0</v>
      </c>
      <c r="I879" t="n">
        <v>0</v>
      </c>
      <c r="J879" t="n">
        <v>0</v>
      </c>
      <c r="K879" t="n">
        <v>0</v>
      </c>
      <c r="L879" t="n">
        <v>0</v>
      </c>
      <c r="M879" t="n">
        <v>0</v>
      </c>
      <c r="N879" t="n">
        <v>0</v>
      </c>
      <c r="O879" t="n">
        <v>0</v>
      </c>
      <c r="P879" t="n">
        <v>0</v>
      </c>
      <c r="Q879" t="n">
        <v>0</v>
      </c>
      <c r="R879" s="2" t="inlineStr"/>
    </row>
    <row r="880" ht="15" customHeight="1">
      <c r="A880" t="inlineStr">
        <is>
          <t>A 34368-2021</t>
        </is>
      </c>
      <c r="B880" s="1" t="n">
        <v>44379</v>
      </c>
      <c r="C880" s="1" t="n">
        <v>45895</v>
      </c>
      <c r="D880" t="inlineStr">
        <is>
          <t>NORRBOTTENS LÄN</t>
        </is>
      </c>
      <c r="E880" t="inlineStr">
        <is>
          <t>KALIX</t>
        </is>
      </c>
      <c r="G880" t="n">
        <v>1</v>
      </c>
      <c r="H880" t="n">
        <v>0</v>
      </c>
      <c r="I880" t="n">
        <v>0</v>
      </c>
      <c r="J880" t="n">
        <v>0</v>
      </c>
      <c r="K880" t="n">
        <v>0</v>
      </c>
      <c r="L880" t="n">
        <v>0</v>
      </c>
      <c r="M880" t="n">
        <v>0</v>
      </c>
      <c r="N880" t="n">
        <v>0</v>
      </c>
      <c r="O880" t="n">
        <v>0</v>
      </c>
      <c r="P880" t="n">
        <v>0</v>
      </c>
      <c r="Q880" t="n">
        <v>0</v>
      </c>
      <c r="R880" s="2" t="inlineStr"/>
    </row>
    <row r="881" ht="15" customHeight="1">
      <c r="A881" t="inlineStr">
        <is>
          <t>A 20752-2021</t>
        </is>
      </c>
      <c r="B881" s="1" t="n">
        <v>44313</v>
      </c>
      <c r="C881" s="1" t="n">
        <v>45895</v>
      </c>
      <c r="D881" t="inlineStr">
        <is>
          <t>NORRBOTTENS LÄN</t>
        </is>
      </c>
      <c r="E881" t="inlineStr">
        <is>
          <t>BODEN</t>
        </is>
      </c>
      <c r="G881" t="n">
        <v>9</v>
      </c>
      <c r="H881" t="n">
        <v>0</v>
      </c>
      <c r="I881" t="n">
        <v>0</v>
      </c>
      <c r="J881" t="n">
        <v>0</v>
      </c>
      <c r="K881" t="n">
        <v>0</v>
      </c>
      <c r="L881" t="n">
        <v>0</v>
      </c>
      <c r="M881" t="n">
        <v>0</v>
      </c>
      <c r="N881" t="n">
        <v>0</v>
      </c>
      <c r="O881" t="n">
        <v>0</v>
      </c>
      <c r="P881" t="n">
        <v>0</v>
      </c>
      <c r="Q881" t="n">
        <v>0</v>
      </c>
      <c r="R881" s="2" t="inlineStr"/>
    </row>
    <row r="882" ht="15" customHeight="1">
      <c r="A882" t="inlineStr">
        <is>
          <t>A 20695-2022</t>
        </is>
      </c>
      <c r="B882" s="1" t="n">
        <v>44700</v>
      </c>
      <c r="C882" s="1" t="n">
        <v>45895</v>
      </c>
      <c r="D882" t="inlineStr">
        <is>
          <t>NORRBOTTENS LÄN</t>
        </is>
      </c>
      <c r="E882" t="inlineStr">
        <is>
          <t>PAJALA</t>
        </is>
      </c>
      <c r="G882" t="n">
        <v>15.3</v>
      </c>
      <c r="H882" t="n">
        <v>0</v>
      </c>
      <c r="I882" t="n">
        <v>0</v>
      </c>
      <c r="J882" t="n">
        <v>0</v>
      </c>
      <c r="K882" t="n">
        <v>0</v>
      </c>
      <c r="L882" t="n">
        <v>0</v>
      </c>
      <c r="M882" t="n">
        <v>0</v>
      </c>
      <c r="N882" t="n">
        <v>0</v>
      </c>
      <c r="O882" t="n">
        <v>0</v>
      </c>
      <c r="P882" t="n">
        <v>0</v>
      </c>
      <c r="Q882" t="n">
        <v>0</v>
      </c>
      <c r="R882" s="2" t="inlineStr"/>
    </row>
    <row r="883" ht="15" customHeight="1">
      <c r="A883" t="inlineStr">
        <is>
          <t>A 37798-2022</t>
        </is>
      </c>
      <c r="B883" s="1" t="n">
        <v>44810</v>
      </c>
      <c r="C883" s="1" t="n">
        <v>45895</v>
      </c>
      <c r="D883" t="inlineStr">
        <is>
          <t>NORRBOTTENS LÄN</t>
        </is>
      </c>
      <c r="E883" t="inlineStr">
        <is>
          <t>JOKKMOKK</t>
        </is>
      </c>
      <c r="G883" t="n">
        <v>0.3</v>
      </c>
      <c r="H883" t="n">
        <v>0</v>
      </c>
      <c r="I883" t="n">
        <v>0</v>
      </c>
      <c r="J883" t="n">
        <v>0</v>
      </c>
      <c r="K883" t="n">
        <v>0</v>
      </c>
      <c r="L883" t="n">
        <v>0</v>
      </c>
      <c r="M883" t="n">
        <v>0</v>
      </c>
      <c r="N883" t="n">
        <v>0</v>
      </c>
      <c r="O883" t="n">
        <v>0</v>
      </c>
      <c r="P883" t="n">
        <v>0</v>
      </c>
      <c r="Q883" t="n">
        <v>0</v>
      </c>
      <c r="R883" s="2" t="inlineStr"/>
    </row>
    <row r="884" ht="15" customHeight="1">
      <c r="A884" t="inlineStr">
        <is>
          <t>A 30027-2021</t>
        </is>
      </c>
      <c r="B884" s="1" t="n">
        <v>44363</v>
      </c>
      <c r="C884" s="1" t="n">
        <v>45895</v>
      </c>
      <c r="D884" t="inlineStr">
        <is>
          <t>NORRBOTTENS LÄN</t>
        </is>
      </c>
      <c r="E884" t="inlineStr">
        <is>
          <t>LULEÅ</t>
        </is>
      </c>
      <c r="G884" t="n">
        <v>5.8</v>
      </c>
      <c r="H884" t="n">
        <v>0</v>
      </c>
      <c r="I884" t="n">
        <v>0</v>
      </c>
      <c r="J884" t="n">
        <v>0</v>
      </c>
      <c r="K884" t="n">
        <v>0</v>
      </c>
      <c r="L884" t="n">
        <v>0</v>
      </c>
      <c r="M884" t="n">
        <v>0</v>
      </c>
      <c r="N884" t="n">
        <v>0</v>
      </c>
      <c r="O884" t="n">
        <v>0</v>
      </c>
      <c r="P884" t="n">
        <v>0</v>
      </c>
      <c r="Q884" t="n">
        <v>0</v>
      </c>
      <c r="R884" s="2" t="inlineStr"/>
    </row>
    <row r="885" ht="15" customHeight="1">
      <c r="A885" t="inlineStr">
        <is>
          <t>A 51993-2021</t>
        </is>
      </c>
      <c r="B885" s="1" t="n">
        <v>44463.32685185185</v>
      </c>
      <c r="C885" s="1" t="n">
        <v>45895</v>
      </c>
      <c r="D885" t="inlineStr">
        <is>
          <t>NORRBOTTENS LÄN</t>
        </is>
      </c>
      <c r="E885" t="inlineStr">
        <is>
          <t>ÄLVSBYN</t>
        </is>
      </c>
      <c r="G885" t="n">
        <v>5.5</v>
      </c>
      <c r="H885" t="n">
        <v>0</v>
      </c>
      <c r="I885" t="n">
        <v>0</v>
      </c>
      <c r="J885" t="n">
        <v>0</v>
      </c>
      <c r="K885" t="n">
        <v>0</v>
      </c>
      <c r="L885" t="n">
        <v>0</v>
      </c>
      <c r="M885" t="n">
        <v>0</v>
      </c>
      <c r="N885" t="n">
        <v>0</v>
      </c>
      <c r="O885" t="n">
        <v>0</v>
      </c>
      <c r="P885" t="n">
        <v>0</v>
      </c>
      <c r="Q885" t="n">
        <v>0</v>
      </c>
      <c r="R885" s="2" t="inlineStr"/>
    </row>
    <row r="886" ht="15" customHeight="1">
      <c r="A886" t="inlineStr">
        <is>
          <t>A 41124-2020</t>
        </is>
      </c>
      <c r="B886" s="1" t="n">
        <v>44071</v>
      </c>
      <c r="C886" s="1" t="n">
        <v>45895</v>
      </c>
      <c r="D886" t="inlineStr">
        <is>
          <t>NORRBOTTENS LÄN</t>
        </is>
      </c>
      <c r="E886" t="inlineStr">
        <is>
          <t>ÄLVSBYN</t>
        </is>
      </c>
      <c r="F886" t="inlineStr">
        <is>
          <t>Sveaskog</t>
        </is>
      </c>
      <c r="G886" t="n">
        <v>7.1</v>
      </c>
      <c r="H886" t="n">
        <v>0</v>
      </c>
      <c r="I886" t="n">
        <v>0</v>
      </c>
      <c r="J886" t="n">
        <v>0</v>
      </c>
      <c r="K886" t="n">
        <v>0</v>
      </c>
      <c r="L886" t="n">
        <v>0</v>
      </c>
      <c r="M886" t="n">
        <v>0</v>
      </c>
      <c r="N886" t="n">
        <v>0</v>
      </c>
      <c r="O886" t="n">
        <v>0</v>
      </c>
      <c r="P886" t="n">
        <v>0</v>
      </c>
      <c r="Q886" t="n">
        <v>0</v>
      </c>
      <c r="R886" s="2" t="inlineStr"/>
    </row>
    <row r="887" ht="15" customHeight="1">
      <c r="A887" t="inlineStr">
        <is>
          <t>A 51963-2021</t>
        </is>
      </c>
      <c r="B887" s="1" t="n">
        <v>44463.27165509259</v>
      </c>
      <c r="C887" s="1" t="n">
        <v>45895</v>
      </c>
      <c r="D887" t="inlineStr">
        <is>
          <t>NORRBOTTENS LÄN</t>
        </is>
      </c>
      <c r="E887" t="inlineStr">
        <is>
          <t>BODEN</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27220-2021</t>
        </is>
      </c>
      <c r="B888" s="1" t="n">
        <v>44350.87983796297</v>
      </c>
      <c r="C888" s="1" t="n">
        <v>45895</v>
      </c>
      <c r="D888" t="inlineStr">
        <is>
          <t>NORRBOTTENS LÄN</t>
        </is>
      </c>
      <c r="E888" t="inlineStr">
        <is>
          <t>PITEÅ</t>
        </is>
      </c>
      <c r="G888" t="n">
        <v>2.1</v>
      </c>
      <c r="H888" t="n">
        <v>0</v>
      </c>
      <c r="I888" t="n">
        <v>0</v>
      </c>
      <c r="J888" t="n">
        <v>0</v>
      </c>
      <c r="K888" t="n">
        <v>0</v>
      </c>
      <c r="L888" t="n">
        <v>0</v>
      </c>
      <c r="M888" t="n">
        <v>0</v>
      </c>
      <c r="N888" t="n">
        <v>0</v>
      </c>
      <c r="O888" t="n">
        <v>0</v>
      </c>
      <c r="P888" t="n">
        <v>0</v>
      </c>
      <c r="Q888" t="n">
        <v>0</v>
      </c>
      <c r="R888" s="2" t="inlineStr"/>
    </row>
    <row r="889" ht="15" customHeight="1">
      <c r="A889" t="inlineStr">
        <is>
          <t>A 27241-2021</t>
        </is>
      </c>
      <c r="B889" s="1" t="n">
        <v>44350</v>
      </c>
      <c r="C889" s="1" t="n">
        <v>45895</v>
      </c>
      <c r="D889" t="inlineStr">
        <is>
          <t>NORRBOTTENS LÄN</t>
        </is>
      </c>
      <c r="E889" t="inlineStr">
        <is>
          <t>BODEN</t>
        </is>
      </c>
      <c r="G889" t="n">
        <v>7.6</v>
      </c>
      <c r="H889" t="n">
        <v>0</v>
      </c>
      <c r="I889" t="n">
        <v>0</v>
      </c>
      <c r="J889" t="n">
        <v>0</v>
      </c>
      <c r="K889" t="n">
        <v>0</v>
      </c>
      <c r="L889" t="n">
        <v>0</v>
      </c>
      <c r="M889" t="n">
        <v>0</v>
      </c>
      <c r="N889" t="n">
        <v>0</v>
      </c>
      <c r="O889" t="n">
        <v>0</v>
      </c>
      <c r="P889" t="n">
        <v>0</v>
      </c>
      <c r="Q889" t="n">
        <v>0</v>
      </c>
      <c r="R889" s="2" t="inlineStr"/>
    </row>
    <row r="890" ht="15" customHeight="1">
      <c r="A890" t="inlineStr">
        <is>
          <t>A 39711-2021</t>
        </is>
      </c>
      <c r="B890" s="1" t="n">
        <v>44414</v>
      </c>
      <c r="C890" s="1" t="n">
        <v>45895</v>
      </c>
      <c r="D890" t="inlineStr">
        <is>
          <t>NORRBOTTENS LÄN</t>
        </is>
      </c>
      <c r="E890" t="inlineStr">
        <is>
          <t>BODEN</t>
        </is>
      </c>
      <c r="G890" t="n">
        <v>7</v>
      </c>
      <c r="H890" t="n">
        <v>0</v>
      </c>
      <c r="I890" t="n">
        <v>0</v>
      </c>
      <c r="J890" t="n">
        <v>0</v>
      </c>
      <c r="K890" t="n">
        <v>0</v>
      </c>
      <c r="L890" t="n">
        <v>0</v>
      </c>
      <c r="M890" t="n">
        <v>0</v>
      </c>
      <c r="N890" t="n">
        <v>0</v>
      </c>
      <c r="O890" t="n">
        <v>0</v>
      </c>
      <c r="P890" t="n">
        <v>0</v>
      </c>
      <c r="Q890" t="n">
        <v>0</v>
      </c>
      <c r="R890" s="2" t="inlineStr"/>
    </row>
    <row r="891" ht="15" customHeight="1">
      <c r="A891" t="inlineStr">
        <is>
          <t>A 39740-2021</t>
        </is>
      </c>
      <c r="B891" s="1" t="n">
        <v>44414</v>
      </c>
      <c r="C891" s="1" t="n">
        <v>45895</v>
      </c>
      <c r="D891" t="inlineStr">
        <is>
          <t>NORRBOTTENS LÄN</t>
        </is>
      </c>
      <c r="E891" t="inlineStr">
        <is>
          <t>BODEN</t>
        </is>
      </c>
      <c r="G891" t="n">
        <v>3.5</v>
      </c>
      <c r="H891" t="n">
        <v>0</v>
      </c>
      <c r="I891" t="n">
        <v>0</v>
      </c>
      <c r="J891" t="n">
        <v>0</v>
      </c>
      <c r="K891" t="n">
        <v>0</v>
      </c>
      <c r="L891" t="n">
        <v>0</v>
      </c>
      <c r="M891" t="n">
        <v>0</v>
      </c>
      <c r="N891" t="n">
        <v>0</v>
      </c>
      <c r="O891" t="n">
        <v>0</v>
      </c>
      <c r="P891" t="n">
        <v>0</v>
      </c>
      <c r="Q891" t="n">
        <v>0</v>
      </c>
      <c r="R891" s="2" t="inlineStr"/>
    </row>
    <row r="892" ht="15" customHeight="1">
      <c r="A892" t="inlineStr">
        <is>
          <t>A 49651-2022</t>
        </is>
      </c>
      <c r="B892" s="1" t="n">
        <v>44862.45211805555</v>
      </c>
      <c r="C892" s="1" t="n">
        <v>45895</v>
      </c>
      <c r="D892" t="inlineStr">
        <is>
          <t>NORRBOTTENS LÄN</t>
        </is>
      </c>
      <c r="E892" t="inlineStr">
        <is>
          <t>KALIX</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36768-2021</t>
        </is>
      </c>
      <c r="B893" s="1" t="n">
        <v>44392</v>
      </c>
      <c r="C893" s="1" t="n">
        <v>45895</v>
      </c>
      <c r="D893" t="inlineStr">
        <is>
          <t>NORRBOTTENS LÄN</t>
        </is>
      </c>
      <c r="E893" t="inlineStr">
        <is>
          <t>PAJALA</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12789-2022</t>
        </is>
      </c>
      <c r="B894" s="1" t="n">
        <v>44642</v>
      </c>
      <c r="C894" s="1" t="n">
        <v>45895</v>
      </c>
      <c r="D894" t="inlineStr">
        <is>
          <t>NORRBOTTENS LÄN</t>
        </is>
      </c>
      <c r="E894" t="inlineStr">
        <is>
          <t>ARJEPLOG</t>
        </is>
      </c>
      <c r="F894" t="inlineStr">
        <is>
          <t>Övriga statliga verk och myndigheter</t>
        </is>
      </c>
      <c r="G894" t="n">
        <v>56.1</v>
      </c>
      <c r="H894" t="n">
        <v>0</v>
      </c>
      <c r="I894" t="n">
        <v>0</v>
      </c>
      <c r="J894" t="n">
        <v>0</v>
      </c>
      <c r="K894" t="n">
        <v>0</v>
      </c>
      <c r="L894" t="n">
        <v>0</v>
      </c>
      <c r="M894" t="n">
        <v>0</v>
      </c>
      <c r="N894" t="n">
        <v>0</v>
      </c>
      <c r="O894" t="n">
        <v>0</v>
      </c>
      <c r="P894" t="n">
        <v>0</v>
      </c>
      <c r="Q894" t="n">
        <v>0</v>
      </c>
      <c r="R894" s="2" t="inlineStr"/>
    </row>
    <row r="895" ht="15" customHeight="1">
      <c r="A895" t="inlineStr">
        <is>
          <t>A 15133-2022</t>
        </is>
      </c>
      <c r="B895" s="1" t="n">
        <v>44658</v>
      </c>
      <c r="C895" s="1" t="n">
        <v>45895</v>
      </c>
      <c r="D895" t="inlineStr">
        <is>
          <t>NORRBOTTENS LÄN</t>
        </is>
      </c>
      <c r="E895" t="inlineStr">
        <is>
          <t>ÖVERKALIX</t>
        </is>
      </c>
      <c r="G895" t="n">
        <v>7.9</v>
      </c>
      <c r="H895" t="n">
        <v>0</v>
      </c>
      <c r="I895" t="n">
        <v>0</v>
      </c>
      <c r="J895" t="n">
        <v>0</v>
      </c>
      <c r="K895" t="n">
        <v>0</v>
      </c>
      <c r="L895" t="n">
        <v>0</v>
      </c>
      <c r="M895" t="n">
        <v>0</v>
      </c>
      <c r="N895" t="n">
        <v>0</v>
      </c>
      <c r="O895" t="n">
        <v>0</v>
      </c>
      <c r="P895" t="n">
        <v>0</v>
      </c>
      <c r="Q895" t="n">
        <v>0</v>
      </c>
      <c r="R895" s="2" t="inlineStr"/>
    </row>
    <row r="896" ht="15" customHeight="1">
      <c r="A896" t="inlineStr">
        <is>
          <t>A 14891-2021</t>
        </is>
      </c>
      <c r="B896" s="1" t="n">
        <v>44280</v>
      </c>
      <c r="C896" s="1" t="n">
        <v>45895</v>
      </c>
      <c r="D896" t="inlineStr">
        <is>
          <t>NORRBOTTENS LÄN</t>
        </is>
      </c>
      <c r="E896" t="inlineStr">
        <is>
          <t>LULEÅ</t>
        </is>
      </c>
      <c r="G896" t="n">
        <v>0.3</v>
      </c>
      <c r="H896" t="n">
        <v>0</v>
      </c>
      <c r="I896" t="n">
        <v>0</v>
      </c>
      <c r="J896" t="n">
        <v>0</v>
      </c>
      <c r="K896" t="n">
        <v>0</v>
      </c>
      <c r="L896" t="n">
        <v>0</v>
      </c>
      <c r="M896" t="n">
        <v>0</v>
      </c>
      <c r="N896" t="n">
        <v>0</v>
      </c>
      <c r="O896" t="n">
        <v>0</v>
      </c>
      <c r="P896" t="n">
        <v>0</v>
      </c>
      <c r="Q896" t="n">
        <v>0</v>
      </c>
      <c r="R896" s="2" t="inlineStr"/>
    </row>
    <row r="897" ht="15" customHeight="1">
      <c r="A897" t="inlineStr">
        <is>
          <t>A 15958-2021</t>
        </is>
      </c>
      <c r="B897" s="1" t="n">
        <v>44287</v>
      </c>
      <c r="C897" s="1" t="n">
        <v>45895</v>
      </c>
      <c r="D897" t="inlineStr">
        <is>
          <t>NORRBOTTENS LÄN</t>
        </is>
      </c>
      <c r="E897" t="inlineStr">
        <is>
          <t>KALIX</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73589-2021</t>
        </is>
      </c>
      <c r="B898" s="1" t="n">
        <v>44552.36655092592</v>
      </c>
      <c r="C898" s="1" t="n">
        <v>45895</v>
      </c>
      <c r="D898" t="inlineStr">
        <is>
          <t>NORRBOTTENS LÄN</t>
        </is>
      </c>
      <c r="E898" t="inlineStr">
        <is>
          <t>ÄLVSBYN</t>
        </is>
      </c>
      <c r="G898" t="n">
        <v>4.7</v>
      </c>
      <c r="H898" t="n">
        <v>0</v>
      </c>
      <c r="I898" t="n">
        <v>0</v>
      </c>
      <c r="J898" t="n">
        <v>0</v>
      </c>
      <c r="K898" t="n">
        <v>0</v>
      </c>
      <c r="L898" t="n">
        <v>0</v>
      </c>
      <c r="M898" t="n">
        <v>0</v>
      </c>
      <c r="N898" t="n">
        <v>0</v>
      </c>
      <c r="O898" t="n">
        <v>0</v>
      </c>
      <c r="P898" t="n">
        <v>0</v>
      </c>
      <c r="Q898" t="n">
        <v>0</v>
      </c>
      <c r="R898" s="2" t="inlineStr"/>
    </row>
    <row r="899" ht="15" customHeight="1">
      <c r="A899" t="inlineStr">
        <is>
          <t>A 29877-2022</t>
        </is>
      </c>
      <c r="B899" s="1" t="n">
        <v>44756</v>
      </c>
      <c r="C899" s="1" t="n">
        <v>45895</v>
      </c>
      <c r="D899" t="inlineStr">
        <is>
          <t>NORRBOTTENS LÄN</t>
        </is>
      </c>
      <c r="E899" t="inlineStr">
        <is>
          <t>PAJALA</t>
        </is>
      </c>
      <c r="G899" t="n">
        <v>1</v>
      </c>
      <c r="H899" t="n">
        <v>0</v>
      </c>
      <c r="I899" t="n">
        <v>0</v>
      </c>
      <c r="J899" t="n">
        <v>0</v>
      </c>
      <c r="K899" t="n">
        <v>0</v>
      </c>
      <c r="L899" t="n">
        <v>0</v>
      </c>
      <c r="M899" t="n">
        <v>0</v>
      </c>
      <c r="N899" t="n">
        <v>0</v>
      </c>
      <c r="O899" t="n">
        <v>0</v>
      </c>
      <c r="P899" t="n">
        <v>0</v>
      </c>
      <c r="Q899" t="n">
        <v>0</v>
      </c>
      <c r="R899" s="2" t="inlineStr"/>
    </row>
    <row r="900" ht="15" customHeight="1">
      <c r="A900" t="inlineStr">
        <is>
          <t>A 54653-2022</t>
        </is>
      </c>
      <c r="B900" s="1" t="n">
        <v>44883.4337962963</v>
      </c>
      <c r="C900" s="1" t="n">
        <v>45895</v>
      </c>
      <c r="D900" t="inlineStr">
        <is>
          <t>NORRBOTTENS LÄN</t>
        </is>
      </c>
      <c r="E900" t="inlineStr">
        <is>
          <t>HAPARANDA</t>
        </is>
      </c>
      <c r="G900" t="n">
        <v>1.5</v>
      </c>
      <c r="H900" t="n">
        <v>0</v>
      </c>
      <c r="I900" t="n">
        <v>0</v>
      </c>
      <c r="J900" t="n">
        <v>0</v>
      </c>
      <c r="K900" t="n">
        <v>0</v>
      </c>
      <c r="L900" t="n">
        <v>0</v>
      </c>
      <c r="M900" t="n">
        <v>0</v>
      </c>
      <c r="N900" t="n">
        <v>0</v>
      </c>
      <c r="O900" t="n">
        <v>0</v>
      </c>
      <c r="P900" t="n">
        <v>0</v>
      </c>
      <c r="Q900" t="n">
        <v>0</v>
      </c>
      <c r="R900" s="2" t="inlineStr"/>
    </row>
    <row r="901" ht="15" customHeight="1">
      <c r="A901" t="inlineStr">
        <is>
          <t>A 71936-2021</t>
        </is>
      </c>
      <c r="B901" s="1" t="n">
        <v>44543</v>
      </c>
      <c r="C901" s="1" t="n">
        <v>45895</v>
      </c>
      <c r="D901" t="inlineStr">
        <is>
          <t>NORRBOTTENS LÄN</t>
        </is>
      </c>
      <c r="E901" t="inlineStr">
        <is>
          <t>JOKKMOKK</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4016-2022</t>
        </is>
      </c>
      <c r="B902" s="1" t="n">
        <v>44587</v>
      </c>
      <c r="C902" s="1" t="n">
        <v>45895</v>
      </c>
      <c r="D902" t="inlineStr">
        <is>
          <t>NORRBOTTENS LÄN</t>
        </is>
      </c>
      <c r="E902" t="inlineStr">
        <is>
          <t>GÄLLIVARE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46343-2020</t>
        </is>
      </c>
      <c r="B903" s="1" t="n">
        <v>44092</v>
      </c>
      <c r="C903" s="1" t="n">
        <v>45895</v>
      </c>
      <c r="D903" t="inlineStr">
        <is>
          <t>NORRBOTTENS LÄN</t>
        </is>
      </c>
      <c r="E903" t="inlineStr">
        <is>
          <t>KIRUNA</t>
        </is>
      </c>
      <c r="G903" t="n">
        <v>0.7</v>
      </c>
      <c r="H903" t="n">
        <v>0</v>
      </c>
      <c r="I903" t="n">
        <v>0</v>
      </c>
      <c r="J903" t="n">
        <v>0</v>
      </c>
      <c r="K903" t="n">
        <v>0</v>
      </c>
      <c r="L903" t="n">
        <v>0</v>
      </c>
      <c r="M903" t="n">
        <v>0</v>
      </c>
      <c r="N903" t="n">
        <v>0</v>
      </c>
      <c r="O903" t="n">
        <v>0</v>
      </c>
      <c r="P903" t="n">
        <v>0</v>
      </c>
      <c r="Q903" t="n">
        <v>0</v>
      </c>
      <c r="R903" s="2" t="inlineStr"/>
    </row>
    <row r="904" ht="15" customHeight="1">
      <c r="A904" t="inlineStr">
        <is>
          <t>A 37594-2022</t>
        </is>
      </c>
      <c r="B904" s="1" t="n">
        <v>44809</v>
      </c>
      <c r="C904" s="1" t="n">
        <v>45895</v>
      </c>
      <c r="D904" t="inlineStr">
        <is>
          <t>NORRBOTTENS LÄN</t>
        </is>
      </c>
      <c r="E904" t="inlineStr">
        <is>
          <t>BODEN</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58975-2021</t>
        </is>
      </c>
      <c r="B905" s="1" t="n">
        <v>44489.94650462963</v>
      </c>
      <c r="C905" s="1" t="n">
        <v>45895</v>
      </c>
      <c r="D905" t="inlineStr">
        <is>
          <t>NORRBOTTENS LÄN</t>
        </is>
      </c>
      <c r="E905" t="inlineStr">
        <is>
          <t>BODEN</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44370-2021</t>
        </is>
      </c>
      <c r="B906" s="1" t="n">
        <v>44435.45611111111</v>
      </c>
      <c r="C906" s="1" t="n">
        <v>45895</v>
      </c>
      <c r="D906" t="inlineStr">
        <is>
          <t>NORRBOTTENS LÄN</t>
        </is>
      </c>
      <c r="E906" t="inlineStr">
        <is>
          <t>ÖVERKALIX</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33497-2022</t>
        </is>
      </c>
      <c r="B907" s="1" t="n">
        <v>44788.92688657407</v>
      </c>
      <c r="C907" s="1" t="n">
        <v>45895</v>
      </c>
      <c r="D907" t="inlineStr">
        <is>
          <t>NORRBOTTENS LÄN</t>
        </is>
      </c>
      <c r="E907" t="inlineStr">
        <is>
          <t>ÖVERKALIX</t>
        </is>
      </c>
      <c r="G907" t="n">
        <v>0.5</v>
      </c>
      <c r="H907" t="n">
        <v>0</v>
      </c>
      <c r="I907" t="n">
        <v>0</v>
      </c>
      <c r="J907" t="n">
        <v>0</v>
      </c>
      <c r="K907" t="n">
        <v>0</v>
      </c>
      <c r="L907" t="n">
        <v>0</v>
      </c>
      <c r="M907" t="n">
        <v>0</v>
      </c>
      <c r="N907" t="n">
        <v>0</v>
      </c>
      <c r="O907" t="n">
        <v>0</v>
      </c>
      <c r="P907" t="n">
        <v>0</v>
      </c>
      <c r="Q907" t="n">
        <v>0</v>
      </c>
      <c r="R907" s="2" t="inlineStr"/>
    </row>
    <row r="908" ht="15" customHeight="1">
      <c r="A908" t="inlineStr">
        <is>
          <t>A 3772-2022</t>
        </is>
      </c>
      <c r="B908" s="1" t="n">
        <v>44586</v>
      </c>
      <c r="C908" s="1" t="n">
        <v>45895</v>
      </c>
      <c r="D908" t="inlineStr">
        <is>
          <t>NORRBOTTENS LÄN</t>
        </is>
      </c>
      <c r="E908" t="inlineStr">
        <is>
          <t>JOKKMOKK</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3776-2022</t>
        </is>
      </c>
      <c r="B909" s="1" t="n">
        <v>44586.93454861111</v>
      </c>
      <c r="C909" s="1" t="n">
        <v>45895</v>
      </c>
      <c r="D909" t="inlineStr">
        <is>
          <t>NORRBOTTENS LÄN</t>
        </is>
      </c>
      <c r="E909" t="inlineStr">
        <is>
          <t>JOKKMOKK</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50729-2022</t>
        </is>
      </c>
      <c r="B910" s="1" t="n">
        <v>44862</v>
      </c>
      <c r="C910" s="1" t="n">
        <v>45895</v>
      </c>
      <c r="D910" t="inlineStr">
        <is>
          <t>NORRBOTTENS LÄN</t>
        </is>
      </c>
      <c r="E910" t="inlineStr">
        <is>
          <t>GÄLLIVARE</t>
        </is>
      </c>
      <c r="F910" t="inlineStr">
        <is>
          <t>SCA</t>
        </is>
      </c>
      <c r="G910" t="n">
        <v>19.8</v>
      </c>
      <c r="H910" t="n">
        <v>0</v>
      </c>
      <c r="I910" t="n">
        <v>0</v>
      </c>
      <c r="J910" t="n">
        <v>0</v>
      </c>
      <c r="K910" t="n">
        <v>0</v>
      </c>
      <c r="L910" t="n">
        <v>0</v>
      </c>
      <c r="M910" t="n">
        <v>0</v>
      </c>
      <c r="N910" t="n">
        <v>0</v>
      </c>
      <c r="O910" t="n">
        <v>0</v>
      </c>
      <c r="P910" t="n">
        <v>0</v>
      </c>
      <c r="Q910" t="n">
        <v>0</v>
      </c>
      <c r="R910" s="2" t="inlineStr"/>
    </row>
    <row r="911" ht="15" customHeight="1">
      <c r="A911" t="inlineStr">
        <is>
          <t>A 38902-2022</t>
        </is>
      </c>
      <c r="B911" s="1" t="n">
        <v>44816</v>
      </c>
      <c r="C911" s="1" t="n">
        <v>45895</v>
      </c>
      <c r="D911" t="inlineStr">
        <is>
          <t>NORRBOTTENS LÄN</t>
        </is>
      </c>
      <c r="E911" t="inlineStr">
        <is>
          <t>PITEÅ</t>
        </is>
      </c>
      <c r="G911" t="n">
        <v>11.8</v>
      </c>
      <c r="H911" t="n">
        <v>0</v>
      </c>
      <c r="I911" t="n">
        <v>0</v>
      </c>
      <c r="J911" t="n">
        <v>0</v>
      </c>
      <c r="K911" t="n">
        <v>0</v>
      </c>
      <c r="L911" t="n">
        <v>0</v>
      </c>
      <c r="M911" t="n">
        <v>0</v>
      </c>
      <c r="N911" t="n">
        <v>0</v>
      </c>
      <c r="O911" t="n">
        <v>0</v>
      </c>
      <c r="P911" t="n">
        <v>0</v>
      </c>
      <c r="Q911" t="n">
        <v>0</v>
      </c>
      <c r="R911" s="2" t="inlineStr"/>
    </row>
    <row r="912" ht="15" customHeight="1">
      <c r="A912" t="inlineStr">
        <is>
          <t>A 39695-2021</t>
        </is>
      </c>
      <c r="B912" s="1" t="n">
        <v>44414</v>
      </c>
      <c r="C912" s="1" t="n">
        <v>45895</v>
      </c>
      <c r="D912" t="inlineStr">
        <is>
          <t>NORRBOTTENS LÄN</t>
        </is>
      </c>
      <c r="E912" t="inlineStr">
        <is>
          <t>BODEN</t>
        </is>
      </c>
      <c r="G912" t="n">
        <v>2.5</v>
      </c>
      <c r="H912" t="n">
        <v>0</v>
      </c>
      <c r="I912" t="n">
        <v>0</v>
      </c>
      <c r="J912" t="n">
        <v>0</v>
      </c>
      <c r="K912" t="n">
        <v>0</v>
      </c>
      <c r="L912" t="n">
        <v>0</v>
      </c>
      <c r="M912" t="n">
        <v>0</v>
      </c>
      <c r="N912" t="n">
        <v>0</v>
      </c>
      <c r="O912" t="n">
        <v>0</v>
      </c>
      <c r="P912" t="n">
        <v>0</v>
      </c>
      <c r="Q912" t="n">
        <v>0</v>
      </c>
      <c r="R912" s="2" t="inlineStr"/>
    </row>
    <row r="913" ht="15" customHeight="1">
      <c r="A913" t="inlineStr">
        <is>
          <t>A 10395-2022</t>
        </is>
      </c>
      <c r="B913" s="1" t="n">
        <v>44622</v>
      </c>
      <c r="C913" s="1" t="n">
        <v>45895</v>
      </c>
      <c r="D913" t="inlineStr">
        <is>
          <t>NORRBOTTENS LÄN</t>
        </is>
      </c>
      <c r="E913" t="inlineStr">
        <is>
          <t>PAJALA</t>
        </is>
      </c>
      <c r="G913" t="n">
        <v>1</v>
      </c>
      <c r="H913" t="n">
        <v>0</v>
      </c>
      <c r="I913" t="n">
        <v>0</v>
      </c>
      <c r="J913" t="n">
        <v>0</v>
      </c>
      <c r="K913" t="n">
        <v>0</v>
      </c>
      <c r="L913" t="n">
        <v>0</v>
      </c>
      <c r="M913" t="n">
        <v>0</v>
      </c>
      <c r="N913" t="n">
        <v>0</v>
      </c>
      <c r="O913" t="n">
        <v>0</v>
      </c>
      <c r="P913" t="n">
        <v>0</v>
      </c>
      <c r="Q913" t="n">
        <v>0</v>
      </c>
      <c r="R913" s="2" t="inlineStr"/>
    </row>
    <row r="914" ht="15" customHeight="1">
      <c r="A914" t="inlineStr">
        <is>
          <t>A 52168-2022</t>
        </is>
      </c>
      <c r="B914" s="1" t="n">
        <v>44868</v>
      </c>
      <c r="C914" s="1" t="n">
        <v>45895</v>
      </c>
      <c r="D914" t="inlineStr">
        <is>
          <t>NORRBOTTENS LÄN</t>
        </is>
      </c>
      <c r="E914" t="inlineStr">
        <is>
          <t>LULEÅ</t>
        </is>
      </c>
      <c r="G914" t="n">
        <v>4.6</v>
      </c>
      <c r="H914" t="n">
        <v>0</v>
      </c>
      <c r="I914" t="n">
        <v>0</v>
      </c>
      <c r="J914" t="n">
        <v>0</v>
      </c>
      <c r="K914" t="n">
        <v>0</v>
      </c>
      <c r="L914" t="n">
        <v>0</v>
      </c>
      <c r="M914" t="n">
        <v>0</v>
      </c>
      <c r="N914" t="n">
        <v>0</v>
      </c>
      <c r="O914" t="n">
        <v>0</v>
      </c>
      <c r="P914" t="n">
        <v>0</v>
      </c>
      <c r="Q914" t="n">
        <v>0</v>
      </c>
      <c r="R914" s="2" t="inlineStr"/>
    </row>
    <row r="915" ht="15" customHeight="1">
      <c r="A915" t="inlineStr">
        <is>
          <t>A 39689-2021</t>
        </is>
      </c>
      <c r="B915" s="1" t="n">
        <v>44414</v>
      </c>
      <c r="C915" s="1" t="n">
        <v>45895</v>
      </c>
      <c r="D915" t="inlineStr">
        <is>
          <t>NORRBOTTENS LÄN</t>
        </is>
      </c>
      <c r="E915" t="inlineStr">
        <is>
          <t>BODEN</t>
        </is>
      </c>
      <c r="G915" t="n">
        <v>1.5</v>
      </c>
      <c r="H915" t="n">
        <v>0</v>
      </c>
      <c r="I915" t="n">
        <v>0</v>
      </c>
      <c r="J915" t="n">
        <v>0</v>
      </c>
      <c r="K915" t="n">
        <v>0</v>
      </c>
      <c r="L915" t="n">
        <v>0</v>
      </c>
      <c r="M915" t="n">
        <v>0</v>
      </c>
      <c r="N915" t="n">
        <v>0</v>
      </c>
      <c r="O915" t="n">
        <v>0</v>
      </c>
      <c r="P915" t="n">
        <v>0</v>
      </c>
      <c r="Q915" t="n">
        <v>0</v>
      </c>
      <c r="R915" s="2" t="inlineStr"/>
    </row>
    <row r="916" ht="15" customHeight="1">
      <c r="A916" t="inlineStr">
        <is>
          <t>A 38722-2022</t>
        </is>
      </c>
      <c r="B916" s="1" t="n">
        <v>44815</v>
      </c>
      <c r="C916" s="1" t="n">
        <v>45895</v>
      </c>
      <c r="D916" t="inlineStr">
        <is>
          <t>NORRBOTTENS LÄN</t>
        </is>
      </c>
      <c r="E916" t="inlineStr">
        <is>
          <t>BODEN</t>
        </is>
      </c>
      <c r="F916" t="inlineStr">
        <is>
          <t>Övriga statliga verk och myndigheter</t>
        </is>
      </c>
      <c r="G916" t="n">
        <v>8.5</v>
      </c>
      <c r="H916" t="n">
        <v>0</v>
      </c>
      <c r="I916" t="n">
        <v>0</v>
      </c>
      <c r="J916" t="n">
        <v>0</v>
      </c>
      <c r="K916" t="n">
        <v>0</v>
      </c>
      <c r="L916" t="n">
        <v>0</v>
      </c>
      <c r="M916" t="n">
        <v>0</v>
      </c>
      <c r="N916" t="n">
        <v>0</v>
      </c>
      <c r="O916" t="n">
        <v>0</v>
      </c>
      <c r="P916" t="n">
        <v>0</v>
      </c>
      <c r="Q916" t="n">
        <v>0</v>
      </c>
      <c r="R916" s="2" t="inlineStr"/>
    </row>
    <row r="917" ht="15" customHeight="1">
      <c r="A917" t="inlineStr">
        <is>
          <t>A 51706-2020</t>
        </is>
      </c>
      <c r="B917" s="1" t="n">
        <v>44113</v>
      </c>
      <c r="C917" s="1" t="n">
        <v>45895</v>
      </c>
      <c r="D917" t="inlineStr">
        <is>
          <t>NORRBOTTENS LÄN</t>
        </is>
      </c>
      <c r="E917" t="inlineStr">
        <is>
          <t>GÄLLIVARE</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49869-2022</t>
        </is>
      </c>
      <c r="B918" s="1" t="n">
        <v>44862</v>
      </c>
      <c r="C918" s="1" t="n">
        <v>45895</v>
      </c>
      <c r="D918" t="inlineStr">
        <is>
          <t>NORRBOTTENS LÄN</t>
        </is>
      </c>
      <c r="E918" t="inlineStr">
        <is>
          <t>GÄLLIVARE</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49870-2022</t>
        </is>
      </c>
      <c r="B919" s="1" t="n">
        <v>44862</v>
      </c>
      <c r="C919" s="1" t="n">
        <v>45895</v>
      </c>
      <c r="D919" t="inlineStr">
        <is>
          <t>NORRBOTTENS LÄN</t>
        </is>
      </c>
      <c r="E919" t="inlineStr">
        <is>
          <t>GÄLLIVARE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51713-2020</t>
        </is>
      </c>
      <c r="B920" s="1" t="n">
        <v>44113</v>
      </c>
      <c r="C920" s="1" t="n">
        <v>45895</v>
      </c>
      <c r="D920" t="inlineStr">
        <is>
          <t>NORRBOTTENS LÄN</t>
        </is>
      </c>
      <c r="E920" t="inlineStr">
        <is>
          <t>GÄLLIVARE</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56093-2020</t>
        </is>
      </c>
      <c r="B921" s="1" t="n">
        <v>44132</v>
      </c>
      <c r="C921" s="1" t="n">
        <v>45895</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53105-2020</t>
        </is>
      </c>
      <c r="B922" s="1" t="n">
        <v>44120</v>
      </c>
      <c r="C922" s="1" t="n">
        <v>45895</v>
      </c>
      <c r="D922" t="inlineStr">
        <is>
          <t>NORRBOTTENS LÄN</t>
        </is>
      </c>
      <c r="E922" t="inlineStr">
        <is>
          <t>LULEÅ</t>
        </is>
      </c>
      <c r="G922" t="n">
        <v>0.5</v>
      </c>
      <c r="H922" t="n">
        <v>0</v>
      </c>
      <c r="I922" t="n">
        <v>0</v>
      </c>
      <c r="J922" t="n">
        <v>0</v>
      </c>
      <c r="K922" t="n">
        <v>0</v>
      </c>
      <c r="L922" t="n">
        <v>0</v>
      </c>
      <c r="M922" t="n">
        <v>0</v>
      </c>
      <c r="N922" t="n">
        <v>0</v>
      </c>
      <c r="O922" t="n">
        <v>0</v>
      </c>
      <c r="P922" t="n">
        <v>0</v>
      </c>
      <c r="Q922" t="n">
        <v>0</v>
      </c>
      <c r="R922" s="2" t="inlineStr"/>
    </row>
    <row r="923" ht="15" customHeight="1">
      <c r="A923" t="inlineStr">
        <is>
          <t>A 41787-2020</t>
        </is>
      </c>
      <c r="B923" s="1" t="n">
        <v>44074</v>
      </c>
      <c r="C923" s="1" t="n">
        <v>45895</v>
      </c>
      <c r="D923" t="inlineStr">
        <is>
          <t>NORRBOTTENS LÄN</t>
        </is>
      </c>
      <c r="E923" t="inlineStr">
        <is>
          <t>PAJALA</t>
        </is>
      </c>
      <c r="F923" t="inlineStr">
        <is>
          <t>Sveaskog</t>
        </is>
      </c>
      <c r="G923" t="n">
        <v>0.4</v>
      </c>
      <c r="H923" t="n">
        <v>0</v>
      </c>
      <c r="I923" t="n">
        <v>0</v>
      </c>
      <c r="J923" t="n">
        <v>0</v>
      </c>
      <c r="K923" t="n">
        <v>0</v>
      </c>
      <c r="L923" t="n">
        <v>0</v>
      </c>
      <c r="M923" t="n">
        <v>0</v>
      </c>
      <c r="N923" t="n">
        <v>0</v>
      </c>
      <c r="O923" t="n">
        <v>0</v>
      </c>
      <c r="P923" t="n">
        <v>0</v>
      </c>
      <c r="Q923" t="n">
        <v>0</v>
      </c>
      <c r="R923" s="2" t="inlineStr"/>
    </row>
    <row r="924" ht="15" customHeight="1">
      <c r="A924" t="inlineStr">
        <is>
          <t>A 42684-2020</t>
        </is>
      </c>
      <c r="B924" s="1" t="n">
        <v>44075</v>
      </c>
      <c r="C924" s="1" t="n">
        <v>45895</v>
      </c>
      <c r="D924" t="inlineStr">
        <is>
          <t>NORRBOTTENS LÄN</t>
        </is>
      </c>
      <c r="E924" t="inlineStr">
        <is>
          <t>ARVIDSJAUR</t>
        </is>
      </c>
      <c r="G924" t="n">
        <v>3.1</v>
      </c>
      <c r="H924" t="n">
        <v>0</v>
      </c>
      <c r="I924" t="n">
        <v>0</v>
      </c>
      <c r="J924" t="n">
        <v>0</v>
      </c>
      <c r="K924" t="n">
        <v>0</v>
      </c>
      <c r="L924" t="n">
        <v>0</v>
      </c>
      <c r="M924" t="n">
        <v>0</v>
      </c>
      <c r="N924" t="n">
        <v>0</v>
      </c>
      <c r="O924" t="n">
        <v>0</v>
      </c>
      <c r="P924" t="n">
        <v>0</v>
      </c>
      <c r="Q924" t="n">
        <v>0</v>
      </c>
      <c r="R924" s="2" t="inlineStr"/>
    </row>
    <row r="925" ht="15" customHeight="1">
      <c r="A925" t="inlineStr">
        <is>
          <t>A 38183-2021</t>
        </is>
      </c>
      <c r="B925" s="1" t="n">
        <v>44405</v>
      </c>
      <c r="C925" s="1" t="n">
        <v>45895</v>
      </c>
      <c r="D925" t="inlineStr">
        <is>
          <t>NORRBOTTENS LÄN</t>
        </is>
      </c>
      <c r="E925" t="inlineStr">
        <is>
          <t>GÄLLIVARE</t>
        </is>
      </c>
      <c r="G925" t="n">
        <v>6</v>
      </c>
      <c r="H925" t="n">
        <v>0</v>
      </c>
      <c r="I925" t="n">
        <v>0</v>
      </c>
      <c r="J925" t="n">
        <v>0</v>
      </c>
      <c r="K925" t="n">
        <v>0</v>
      </c>
      <c r="L925" t="n">
        <v>0</v>
      </c>
      <c r="M925" t="n">
        <v>0</v>
      </c>
      <c r="N925" t="n">
        <v>0</v>
      </c>
      <c r="O925" t="n">
        <v>0</v>
      </c>
      <c r="P925" t="n">
        <v>0</v>
      </c>
      <c r="Q925" t="n">
        <v>0</v>
      </c>
      <c r="R925" s="2" t="inlineStr"/>
    </row>
    <row r="926" ht="15" customHeight="1">
      <c r="A926" t="inlineStr">
        <is>
          <t>A 38186-2021</t>
        </is>
      </c>
      <c r="B926" s="1" t="n">
        <v>44405</v>
      </c>
      <c r="C926" s="1" t="n">
        <v>45895</v>
      </c>
      <c r="D926" t="inlineStr">
        <is>
          <t>NORRBOTTENS LÄN</t>
        </is>
      </c>
      <c r="E926" t="inlineStr">
        <is>
          <t>GÄLLIVARE</t>
        </is>
      </c>
      <c r="G926" t="n">
        <v>2</v>
      </c>
      <c r="H926" t="n">
        <v>0</v>
      </c>
      <c r="I926" t="n">
        <v>0</v>
      </c>
      <c r="J926" t="n">
        <v>0</v>
      </c>
      <c r="K926" t="n">
        <v>0</v>
      </c>
      <c r="L926" t="n">
        <v>0</v>
      </c>
      <c r="M926" t="n">
        <v>0</v>
      </c>
      <c r="N926" t="n">
        <v>0</v>
      </c>
      <c r="O926" t="n">
        <v>0</v>
      </c>
      <c r="P926" t="n">
        <v>0</v>
      </c>
      <c r="Q926" t="n">
        <v>0</v>
      </c>
      <c r="R926" s="2" t="inlineStr"/>
    </row>
    <row r="927" ht="15" customHeight="1">
      <c r="A927" t="inlineStr">
        <is>
          <t>A 63802-2020</t>
        </is>
      </c>
      <c r="B927" s="1" t="n">
        <v>44165</v>
      </c>
      <c r="C927" s="1" t="n">
        <v>45895</v>
      </c>
      <c r="D927" t="inlineStr">
        <is>
          <t>NORRBOTTENS LÄN</t>
        </is>
      </c>
      <c r="E927" t="inlineStr">
        <is>
          <t>HAPARANDA</t>
        </is>
      </c>
      <c r="G927" t="n">
        <v>1.3</v>
      </c>
      <c r="H927" t="n">
        <v>0</v>
      </c>
      <c r="I927" t="n">
        <v>0</v>
      </c>
      <c r="J927" t="n">
        <v>0</v>
      </c>
      <c r="K927" t="n">
        <v>0</v>
      </c>
      <c r="L927" t="n">
        <v>0</v>
      </c>
      <c r="M927" t="n">
        <v>0</v>
      </c>
      <c r="N927" t="n">
        <v>0</v>
      </c>
      <c r="O927" t="n">
        <v>0</v>
      </c>
      <c r="P927" t="n">
        <v>0</v>
      </c>
      <c r="Q927" t="n">
        <v>0</v>
      </c>
      <c r="R927" s="2" t="inlineStr"/>
    </row>
    <row r="928" ht="15" customHeight="1">
      <c r="A928" t="inlineStr">
        <is>
          <t>A 48501-2022</t>
        </is>
      </c>
      <c r="B928" s="1" t="n">
        <v>44858.92932870371</v>
      </c>
      <c r="C928" s="1" t="n">
        <v>45895</v>
      </c>
      <c r="D928" t="inlineStr">
        <is>
          <t>NORRBOTTENS LÄN</t>
        </is>
      </c>
      <c r="E928" t="inlineStr">
        <is>
          <t>ÖVERKALIX</t>
        </is>
      </c>
      <c r="G928" t="n">
        <v>1.2</v>
      </c>
      <c r="H928" t="n">
        <v>0</v>
      </c>
      <c r="I928" t="n">
        <v>0</v>
      </c>
      <c r="J928" t="n">
        <v>0</v>
      </c>
      <c r="K928" t="n">
        <v>0</v>
      </c>
      <c r="L928" t="n">
        <v>0</v>
      </c>
      <c r="M928" t="n">
        <v>0</v>
      </c>
      <c r="N928" t="n">
        <v>0</v>
      </c>
      <c r="O928" t="n">
        <v>0</v>
      </c>
      <c r="P928" t="n">
        <v>0</v>
      </c>
      <c r="Q928" t="n">
        <v>0</v>
      </c>
      <c r="R928" s="2" t="inlineStr"/>
    </row>
    <row r="929" ht="15" customHeight="1">
      <c r="A929" t="inlineStr">
        <is>
          <t>A 13463-2022</t>
        </is>
      </c>
      <c r="B929" s="1" t="n">
        <v>44645</v>
      </c>
      <c r="C929" s="1" t="n">
        <v>45895</v>
      </c>
      <c r="D929" t="inlineStr">
        <is>
          <t>NORRBOTTENS LÄN</t>
        </is>
      </c>
      <c r="E929" t="inlineStr">
        <is>
          <t>ÖVERKALIX</t>
        </is>
      </c>
      <c r="G929" t="n">
        <v>2.7</v>
      </c>
      <c r="H929" t="n">
        <v>0</v>
      </c>
      <c r="I929" t="n">
        <v>0</v>
      </c>
      <c r="J929" t="n">
        <v>0</v>
      </c>
      <c r="K929" t="n">
        <v>0</v>
      </c>
      <c r="L929" t="n">
        <v>0</v>
      </c>
      <c r="M929" t="n">
        <v>0</v>
      </c>
      <c r="N929" t="n">
        <v>0</v>
      </c>
      <c r="O929" t="n">
        <v>0</v>
      </c>
      <c r="P929" t="n">
        <v>0</v>
      </c>
      <c r="Q929" t="n">
        <v>0</v>
      </c>
      <c r="R929" s="2" t="inlineStr"/>
    </row>
    <row r="930" ht="15" customHeight="1">
      <c r="A930" t="inlineStr">
        <is>
          <t>A 49843-2021</t>
        </is>
      </c>
      <c r="B930" s="1" t="n">
        <v>44455</v>
      </c>
      <c r="C930" s="1" t="n">
        <v>45895</v>
      </c>
      <c r="D930" t="inlineStr">
        <is>
          <t>NORRBOTTENS LÄN</t>
        </is>
      </c>
      <c r="E930" t="inlineStr">
        <is>
          <t>ÄLVSBYN</t>
        </is>
      </c>
      <c r="F930" t="inlineStr">
        <is>
          <t>Sveaskog</t>
        </is>
      </c>
      <c r="G930" t="n">
        <v>7.8</v>
      </c>
      <c r="H930" t="n">
        <v>0</v>
      </c>
      <c r="I930" t="n">
        <v>0</v>
      </c>
      <c r="J930" t="n">
        <v>0</v>
      </c>
      <c r="K930" t="n">
        <v>0</v>
      </c>
      <c r="L930" t="n">
        <v>0</v>
      </c>
      <c r="M930" t="n">
        <v>0</v>
      </c>
      <c r="N930" t="n">
        <v>0</v>
      </c>
      <c r="O930" t="n">
        <v>0</v>
      </c>
      <c r="P930" t="n">
        <v>0</v>
      </c>
      <c r="Q930" t="n">
        <v>0</v>
      </c>
      <c r="R930" s="2" t="inlineStr"/>
    </row>
    <row r="931" ht="15" customHeight="1">
      <c r="A931" t="inlineStr">
        <is>
          <t>A 49949-2021</t>
        </is>
      </c>
      <c r="B931" s="1" t="n">
        <v>44456.41886574074</v>
      </c>
      <c r="C931" s="1" t="n">
        <v>45895</v>
      </c>
      <c r="D931" t="inlineStr">
        <is>
          <t>NORRBOTTENS LÄN</t>
        </is>
      </c>
      <c r="E931" t="inlineStr">
        <is>
          <t>KALIX</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13577-2022</t>
        </is>
      </c>
      <c r="B932" s="1" t="n">
        <v>44648</v>
      </c>
      <c r="C932" s="1" t="n">
        <v>45895</v>
      </c>
      <c r="D932" t="inlineStr">
        <is>
          <t>NORRBOTTENS LÄN</t>
        </is>
      </c>
      <c r="E932" t="inlineStr">
        <is>
          <t>BODEN</t>
        </is>
      </c>
      <c r="F932" t="inlineStr">
        <is>
          <t>Sveaskog</t>
        </is>
      </c>
      <c r="G932" t="n">
        <v>6</v>
      </c>
      <c r="H932" t="n">
        <v>0</v>
      </c>
      <c r="I932" t="n">
        <v>0</v>
      </c>
      <c r="J932" t="n">
        <v>0</v>
      </c>
      <c r="K932" t="n">
        <v>0</v>
      </c>
      <c r="L932" t="n">
        <v>0</v>
      </c>
      <c r="M932" t="n">
        <v>0</v>
      </c>
      <c r="N932" t="n">
        <v>0</v>
      </c>
      <c r="O932" t="n">
        <v>0</v>
      </c>
      <c r="P932" t="n">
        <v>0</v>
      </c>
      <c r="Q932" t="n">
        <v>0</v>
      </c>
      <c r="R932" s="2" t="inlineStr"/>
    </row>
    <row r="933" ht="15" customHeight="1">
      <c r="A933" t="inlineStr">
        <is>
          <t>A 48770-2020</t>
        </is>
      </c>
      <c r="B933" s="1" t="n">
        <v>44099</v>
      </c>
      <c r="C933" s="1" t="n">
        <v>45895</v>
      </c>
      <c r="D933" t="inlineStr">
        <is>
          <t>NORRBOTTENS LÄN</t>
        </is>
      </c>
      <c r="E933" t="inlineStr">
        <is>
          <t>PITEÅ</t>
        </is>
      </c>
      <c r="G933" t="n">
        <v>0.3</v>
      </c>
      <c r="H933" t="n">
        <v>0</v>
      </c>
      <c r="I933" t="n">
        <v>0</v>
      </c>
      <c r="J933" t="n">
        <v>0</v>
      </c>
      <c r="K933" t="n">
        <v>0</v>
      </c>
      <c r="L933" t="n">
        <v>0</v>
      </c>
      <c r="M933" t="n">
        <v>0</v>
      </c>
      <c r="N933" t="n">
        <v>0</v>
      </c>
      <c r="O933" t="n">
        <v>0</v>
      </c>
      <c r="P933" t="n">
        <v>0</v>
      </c>
      <c r="Q933" t="n">
        <v>0</v>
      </c>
      <c r="R933" s="2" t="inlineStr"/>
    </row>
    <row r="934" ht="15" customHeight="1">
      <c r="A934" t="inlineStr">
        <is>
          <t>A 36459-2022</t>
        </is>
      </c>
      <c r="B934" s="1" t="n">
        <v>44804</v>
      </c>
      <c r="C934" s="1" t="n">
        <v>45895</v>
      </c>
      <c r="D934" t="inlineStr">
        <is>
          <t>NORRBOTTENS LÄN</t>
        </is>
      </c>
      <c r="E934" t="inlineStr">
        <is>
          <t>ARVIDSJAUR</t>
        </is>
      </c>
      <c r="G934" t="n">
        <v>3.5</v>
      </c>
      <c r="H934" t="n">
        <v>0</v>
      </c>
      <c r="I934" t="n">
        <v>0</v>
      </c>
      <c r="J934" t="n">
        <v>0</v>
      </c>
      <c r="K934" t="n">
        <v>0</v>
      </c>
      <c r="L934" t="n">
        <v>0</v>
      </c>
      <c r="M934" t="n">
        <v>0</v>
      </c>
      <c r="N934" t="n">
        <v>0</v>
      </c>
      <c r="O934" t="n">
        <v>0</v>
      </c>
      <c r="P934" t="n">
        <v>0</v>
      </c>
      <c r="Q934" t="n">
        <v>0</v>
      </c>
      <c r="R934" s="2" t="inlineStr"/>
    </row>
    <row r="935" ht="15" customHeight="1">
      <c r="A935" t="inlineStr">
        <is>
          <t>A 47252-2020</t>
        </is>
      </c>
      <c r="B935" s="1" t="n">
        <v>44096</v>
      </c>
      <c r="C935" s="1" t="n">
        <v>45895</v>
      </c>
      <c r="D935" t="inlineStr">
        <is>
          <t>NORRBOTTENS LÄN</t>
        </is>
      </c>
      <c r="E935" t="inlineStr">
        <is>
          <t>JOKKMOKK</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54991-2020</t>
        </is>
      </c>
      <c r="B936" s="1" t="n">
        <v>44130</v>
      </c>
      <c r="C936" s="1" t="n">
        <v>45895</v>
      </c>
      <c r="D936" t="inlineStr">
        <is>
          <t>NORRBOTTENS LÄN</t>
        </is>
      </c>
      <c r="E936" t="inlineStr">
        <is>
          <t>HAPARANDA</t>
        </is>
      </c>
      <c r="G936" t="n">
        <v>12.3</v>
      </c>
      <c r="H936" t="n">
        <v>0</v>
      </c>
      <c r="I936" t="n">
        <v>0</v>
      </c>
      <c r="J936" t="n">
        <v>0</v>
      </c>
      <c r="K936" t="n">
        <v>0</v>
      </c>
      <c r="L936" t="n">
        <v>0</v>
      </c>
      <c r="M936" t="n">
        <v>0</v>
      </c>
      <c r="N936" t="n">
        <v>0</v>
      </c>
      <c r="O936" t="n">
        <v>0</v>
      </c>
      <c r="P936" t="n">
        <v>0</v>
      </c>
      <c r="Q936" t="n">
        <v>0</v>
      </c>
      <c r="R936" s="2" t="inlineStr"/>
    </row>
    <row r="937" ht="15" customHeight="1">
      <c r="A937" t="inlineStr">
        <is>
          <t>A 57089-2020</t>
        </is>
      </c>
      <c r="B937" s="1" t="n">
        <v>44138</v>
      </c>
      <c r="C937" s="1" t="n">
        <v>45895</v>
      </c>
      <c r="D937" t="inlineStr">
        <is>
          <t>NORRBOTTENS LÄN</t>
        </is>
      </c>
      <c r="E937" t="inlineStr">
        <is>
          <t>BODEN</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57090-2020</t>
        </is>
      </c>
      <c r="B938" s="1" t="n">
        <v>44138</v>
      </c>
      <c r="C938" s="1" t="n">
        <v>45895</v>
      </c>
      <c r="D938" t="inlineStr">
        <is>
          <t>NORRBOTTENS LÄN</t>
        </is>
      </c>
      <c r="E938" t="inlineStr">
        <is>
          <t>KALIX</t>
        </is>
      </c>
      <c r="F938" t="inlineStr">
        <is>
          <t>SCA</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48771-2020</t>
        </is>
      </c>
      <c r="B939" s="1" t="n">
        <v>44099</v>
      </c>
      <c r="C939" s="1" t="n">
        <v>45895</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58384-2020</t>
        </is>
      </c>
      <c r="B940" s="1" t="n">
        <v>44144</v>
      </c>
      <c r="C940" s="1" t="n">
        <v>45895</v>
      </c>
      <c r="D940" t="inlineStr">
        <is>
          <t>NORRBOTTENS LÄN</t>
        </is>
      </c>
      <c r="E940" t="inlineStr">
        <is>
          <t>GÄLLIVARE</t>
        </is>
      </c>
      <c r="F940" t="inlineStr">
        <is>
          <t>Allmännings- och besparingsskogar</t>
        </is>
      </c>
      <c r="G940" t="n">
        <v>7.1</v>
      </c>
      <c r="H940" t="n">
        <v>0</v>
      </c>
      <c r="I940" t="n">
        <v>0</v>
      </c>
      <c r="J940" t="n">
        <v>0</v>
      </c>
      <c r="K940" t="n">
        <v>0</v>
      </c>
      <c r="L940" t="n">
        <v>0</v>
      </c>
      <c r="M940" t="n">
        <v>0</v>
      </c>
      <c r="N940" t="n">
        <v>0</v>
      </c>
      <c r="O940" t="n">
        <v>0</v>
      </c>
      <c r="P940" t="n">
        <v>0</v>
      </c>
      <c r="Q940" t="n">
        <v>0</v>
      </c>
      <c r="R940" s="2" t="inlineStr"/>
    </row>
    <row r="941" ht="15" customHeight="1">
      <c r="A941" t="inlineStr">
        <is>
          <t>A 67325-2020</t>
        </is>
      </c>
      <c r="B941" s="1" t="n">
        <v>44181</v>
      </c>
      <c r="C941" s="1" t="n">
        <v>45895</v>
      </c>
      <c r="D941" t="inlineStr">
        <is>
          <t>NORRBOTTENS LÄN</t>
        </is>
      </c>
      <c r="E941" t="inlineStr">
        <is>
          <t>KALIX</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55059-2020</t>
        </is>
      </c>
      <c r="B942" s="1" t="n">
        <v>44130</v>
      </c>
      <c r="C942" s="1" t="n">
        <v>45895</v>
      </c>
      <c r="D942" t="inlineStr">
        <is>
          <t>NORRBOTTENS LÄN</t>
        </is>
      </c>
      <c r="E942" t="inlineStr">
        <is>
          <t>BODEN</t>
        </is>
      </c>
      <c r="G942" t="n">
        <v>1.1</v>
      </c>
      <c r="H942" t="n">
        <v>0</v>
      </c>
      <c r="I942" t="n">
        <v>0</v>
      </c>
      <c r="J942" t="n">
        <v>0</v>
      </c>
      <c r="K942" t="n">
        <v>0</v>
      </c>
      <c r="L942" t="n">
        <v>0</v>
      </c>
      <c r="M942" t="n">
        <v>0</v>
      </c>
      <c r="N942" t="n">
        <v>0</v>
      </c>
      <c r="O942" t="n">
        <v>0</v>
      </c>
      <c r="P942" t="n">
        <v>0</v>
      </c>
      <c r="Q942" t="n">
        <v>0</v>
      </c>
      <c r="R942" s="2" t="inlineStr"/>
    </row>
    <row r="943" ht="15" customHeight="1">
      <c r="A943" t="inlineStr">
        <is>
          <t>A 46368-2020</t>
        </is>
      </c>
      <c r="B943" s="1" t="n">
        <v>44092</v>
      </c>
      <c r="C943" s="1" t="n">
        <v>45895</v>
      </c>
      <c r="D943" t="inlineStr">
        <is>
          <t>NORRBOTTENS LÄN</t>
        </is>
      </c>
      <c r="E943" t="inlineStr">
        <is>
          <t>GÄLLIVARE</t>
        </is>
      </c>
      <c r="F943" t="inlineStr">
        <is>
          <t>SCA</t>
        </is>
      </c>
      <c r="G943" t="n">
        <v>45.9</v>
      </c>
      <c r="H943" t="n">
        <v>0</v>
      </c>
      <c r="I943" t="n">
        <v>0</v>
      </c>
      <c r="J943" t="n">
        <v>0</v>
      </c>
      <c r="K943" t="n">
        <v>0</v>
      </c>
      <c r="L943" t="n">
        <v>0</v>
      </c>
      <c r="M943" t="n">
        <v>0</v>
      </c>
      <c r="N943" t="n">
        <v>0</v>
      </c>
      <c r="O943" t="n">
        <v>0</v>
      </c>
      <c r="P943" t="n">
        <v>0</v>
      </c>
      <c r="Q943" t="n">
        <v>0</v>
      </c>
      <c r="R943" s="2" t="inlineStr"/>
    </row>
    <row r="944" ht="15" customHeight="1">
      <c r="A944" t="inlineStr">
        <is>
          <t>A 62038-2020</t>
        </is>
      </c>
      <c r="B944" s="1" t="n">
        <v>44158</v>
      </c>
      <c r="C944" s="1" t="n">
        <v>45895</v>
      </c>
      <c r="D944" t="inlineStr">
        <is>
          <t>NORRBOTTENS LÄN</t>
        </is>
      </c>
      <c r="E944" t="inlineStr">
        <is>
          <t>JOKKMOKK</t>
        </is>
      </c>
      <c r="F944" t="inlineStr">
        <is>
          <t>Övriga Aktiebolag</t>
        </is>
      </c>
      <c r="G944" t="n">
        <v>7.3</v>
      </c>
      <c r="H944" t="n">
        <v>0</v>
      </c>
      <c r="I944" t="n">
        <v>0</v>
      </c>
      <c r="J944" t="n">
        <v>0</v>
      </c>
      <c r="K944" t="n">
        <v>0</v>
      </c>
      <c r="L944" t="n">
        <v>0</v>
      </c>
      <c r="M944" t="n">
        <v>0</v>
      </c>
      <c r="N944" t="n">
        <v>0</v>
      </c>
      <c r="O944" t="n">
        <v>0</v>
      </c>
      <c r="P944" t="n">
        <v>0</v>
      </c>
      <c r="Q944" t="n">
        <v>0</v>
      </c>
      <c r="R944" s="2" t="inlineStr"/>
    </row>
    <row r="945" ht="15" customHeight="1">
      <c r="A945" t="inlineStr">
        <is>
          <t>A 65315-2020</t>
        </is>
      </c>
      <c r="B945" s="1" t="n">
        <v>44169</v>
      </c>
      <c r="C945" s="1" t="n">
        <v>45895</v>
      </c>
      <c r="D945" t="inlineStr">
        <is>
          <t>NORRBOTTENS LÄN</t>
        </is>
      </c>
      <c r="E945" t="inlineStr">
        <is>
          <t>HAPARANDA</t>
        </is>
      </c>
      <c r="G945" t="n">
        <v>1.7</v>
      </c>
      <c r="H945" t="n">
        <v>0</v>
      </c>
      <c r="I945" t="n">
        <v>0</v>
      </c>
      <c r="J945" t="n">
        <v>0</v>
      </c>
      <c r="K945" t="n">
        <v>0</v>
      </c>
      <c r="L945" t="n">
        <v>0</v>
      </c>
      <c r="M945" t="n">
        <v>0</v>
      </c>
      <c r="N945" t="n">
        <v>0</v>
      </c>
      <c r="O945" t="n">
        <v>0</v>
      </c>
      <c r="P945" t="n">
        <v>0</v>
      </c>
      <c r="Q945" t="n">
        <v>0</v>
      </c>
      <c r="R945" s="2" t="inlineStr"/>
    </row>
    <row r="946" ht="15" customHeight="1">
      <c r="A946" t="inlineStr">
        <is>
          <t>A 68189-2020</t>
        </is>
      </c>
      <c r="B946" s="1" t="n">
        <v>44182</v>
      </c>
      <c r="C946" s="1" t="n">
        <v>45895</v>
      </c>
      <c r="D946" t="inlineStr">
        <is>
          <t>NORRBOTTENS LÄN</t>
        </is>
      </c>
      <c r="E946" t="inlineStr">
        <is>
          <t>ÖVERKALIX</t>
        </is>
      </c>
      <c r="G946" t="n">
        <v>8.9</v>
      </c>
      <c r="H946" t="n">
        <v>0</v>
      </c>
      <c r="I946" t="n">
        <v>0</v>
      </c>
      <c r="J946" t="n">
        <v>0</v>
      </c>
      <c r="K946" t="n">
        <v>0</v>
      </c>
      <c r="L946" t="n">
        <v>0</v>
      </c>
      <c r="M946" t="n">
        <v>0</v>
      </c>
      <c r="N946" t="n">
        <v>0</v>
      </c>
      <c r="O946" t="n">
        <v>0</v>
      </c>
      <c r="P946" t="n">
        <v>0</v>
      </c>
      <c r="Q946" t="n">
        <v>0</v>
      </c>
      <c r="R946" s="2" t="inlineStr"/>
    </row>
    <row r="947" ht="15" customHeight="1">
      <c r="A947" t="inlineStr">
        <is>
          <t>A 58468-2020</t>
        </is>
      </c>
      <c r="B947" s="1" t="n">
        <v>44144</v>
      </c>
      <c r="C947" s="1" t="n">
        <v>45895</v>
      </c>
      <c r="D947" t="inlineStr">
        <is>
          <t>NORRBOTTENS LÄN</t>
        </is>
      </c>
      <c r="E947" t="inlineStr">
        <is>
          <t>HAPARANDA</t>
        </is>
      </c>
      <c r="G947" t="n">
        <v>5.3</v>
      </c>
      <c r="H947" t="n">
        <v>0</v>
      </c>
      <c r="I947" t="n">
        <v>0</v>
      </c>
      <c r="J947" t="n">
        <v>0</v>
      </c>
      <c r="K947" t="n">
        <v>0</v>
      </c>
      <c r="L947" t="n">
        <v>0</v>
      </c>
      <c r="M947" t="n">
        <v>0</v>
      </c>
      <c r="N947" t="n">
        <v>0</v>
      </c>
      <c r="O947" t="n">
        <v>0</v>
      </c>
      <c r="P947" t="n">
        <v>0</v>
      </c>
      <c r="Q947" t="n">
        <v>0</v>
      </c>
      <c r="R947" s="2" t="inlineStr"/>
    </row>
    <row r="948" ht="15" customHeight="1">
      <c r="A948" t="inlineStr">
        <is>
          <t>A 34085-2021</t>
        </is>
      </c>
      <c r="B948" s="1" t="n">
        <v>44379</v>
      </c>
      <c r="C948" s="1" t="n">
        <v>45895</v>
      </c>
      <c r="D948" t="inlineStr">
        <is>
          <t>NORRBOTTENS LÄN</t>
        </is>
      </c>
      <c r="E948" t="inlineStr">
        <is>
          <t>PAJALA</t>
        </is>
      </c>
      <c r="G948" t="n">
        <v>3.2</v>
      </c>
      <c r="H948" t="n">
        <v>0</v>
      </c>
      <c r="I948" t="n">
        <v>0</v>
      </c>
      <c r="J948" t="n">
        <v>0</v>
      </c>
      <c r="K948" t="n">
        <v>0</v>
      </c>
      <c r="L948" t="n">
        <v>0</v>
      </c>
      <c r="M948" t="n">
        <v>0</v>
      </c>
      <c r="N948" t="n">
        <v>0</v>
      </c>
      <c r="O948" t="n">
        <v>0</v>
      </c>
      <c r="P948" t="n">
        <v>0</v>
      </c>
      <c r="Q948" t="n">
        <v>0</v>
      </c>
      <c r="R948" s="2" t="inlineStr"/>
    </row>
    <row r="949" ht="15" customHeight="1">
      <c r="A949" t="inlineStr">
        <is>
          <t>A 9978-2022</t>
        </is>
      </c>
      <c r="B949" s="1" t="n">
        <v>44621</v>
      </c>
      <c r="C949" s="1" t="n">
        <v>45895</v>
      </c>
      <c r="D949" t="inlineStr">
        <is>
          <t>NORRBOTTENS LÄN</t>
        </is>
      </c>
      <c r="E949" t="inlineStr">
        <is>
          <t>ARVIDSJAUR</t>
        </is>
      </c>
      <c r="F949" t="inlineStr">
        <is>
          <t>Sveaskog</t>
        </is>
      </c>
      <c r="G949" t="n">
        <v>0.4</v>
      </c>
      <c r="H949" t="n">
        <v>0</v>
      </c>
      <c r="I949" t="n">
        <v>0</v>
      </c>
      <c r="J949" t="n">
        <v>0</v>
      </c>
      <c r="K949" t="n">
        <v>0</v>
      </c>
      <c r="L949" t="n">
        <v>0</v>
      </c>
      <c r="M949" t="n">
        <v>0</v>
      </c>
      <c r="N949" t="n">
        <v>0</v>
      </c>
      <c r="O949" t="n">
        <v>0</v>
      </c>
      <c r="P949" t="n">
        <v>0</v>
      </c>
      <c r="Q949" t="n">
        <v>0</v>
      </c>
      <c r="R949" s="2" t="inlineStr"/>
    </row>
    <row r="950" ht="15" customHeight="1">
      <c r="A950" t="inlineStr">
        <is>
          <t>A 58337-2020</t>
        </is>
      </c>
      <c r="B950" s="1" t="n">
        <v>44141</v>
      </c>
      <c r="C950" s="1" t="n">
        <v>45895</v>
      </c>
      <c r="D950" t="inlineStr">
        <is>
          <t>NORRBOTTENS LÄN</t>
        </is>
      </c>
      <c r="E950" t="inlineStr">
        <is>
          <t>PITEÅ</t>
        </is>
      </c>
      <c r="G950" t="n">
        <v>6.8</v>
      </c>
      <c r="H950" t="n">
        <v>0</v>
      </c>
      <c r="I950" t="n">
        <v>0</v>
      </c>
      <c r="J950" t="n">
        <v>0</v>
      </c>
      <c r="K950" t="n">
        <v>0</v>
      </c>
      <c r="L950" t="n">
        <v>0</v>
      </c>
      <c r="M950" t="n">
        <v>0</v>
      </c>
      <c r="N950" t="n">
        <v>0</v>
      </c>
      <c r="O950" t="n">
        <v>0</v>
      </c>
      <c r="P950" t="n">
        <v>0</v>
      </c>
      <c r="Q950" t="n">
        <v>0</v>
      </c>
      <c r="R950" s="2" t="inlineStr"/>
    </row>
    <row r="951" ht="15" customHeight="1">
      <c r="A951" t="inlineStr">
        <is>
          <t>A 29955-2021</t>
        </is>
      </c>
      <c r="B951" s="1" t="n">
        <v>44362</v>
      </c>
      <c r="C951" s="1" t="n">
        <v>45895</v>
      </c>
      <c r="D951" t="inlineStr">
        <is>
          <t>NORRBOTTENS LÄN</t>
        </is>
      </c>
      <c r="E951" t="inlineStr">
        <is>
          <t>JOKKMOKK</t>
        </is>
      </c>
      <c r="G951" t="n">
        <v>14.1</v>
      </c>
      <c r="H951" t="n">
        <v>0</v>
      </c>
      <c r="I951" t="n">
        <v>0</v>
      </c>
      <c r="J951" t="n">
        <v>0</v>
      </c>
      <c r="K951" t="n">
        <v>0</v>
      </c>
      <c r="L951" t="n">
        <v>0</v>
      </c>
      <c r="M951" t="n">
        <v>0</v>
      </c>
      <c r="N951" t="n">
        <v>0</v>
      </c>
      <c r="O951" t="n">
        <v>0</v>
      </c>
      <c r="P951" t="n">
        <v>0</v>
      </c>
      <c r="Q951" t="n">
        <v>0</v>
      </c>
      <c r="R951" s="2" t="inlineStr"/>
    </row>
    <row r="952" ht="15" customHeight="1">
      <c r="A952" t="inlineStr">
        <is>
          <t>A 31573-2021</t>
        </is>
      </c>
      <c r="B952" s="1" t="n">
        <v>44369</v>
      </c>
      <c r="C952" s="1" t="n">
        <v>45895</v>
      </c>
      <c r="D952" t="inlineStr">
        <is>
          <t>NORRBOTTENS LÄN</t>
        </is>
      </c>
      <c r="E952" t="inlineStr">
        <is>
          <t>ARVIDSJAUR</t>
        </is>
      </c>
      <c r="F952" t="inlineStr">
        <is>
          <t>Sveaskog</t>
        </is>
      </c>
      <c r="G952" t="n">
        <v>3.2</v>
      </c>
      <c r="H952" t="n">
        <v>0</v>
      </c>
      <c r="I952" t="n">
        <v>0</v>
      </c>
      <c r="J952" t="n">
        <v>0</v>
      </c>
      <c r="K952" t="n">
        <v>0</v>
      </c>
      <c r="L952" t="n">
        <v>0</v>
      </c>
      <c r="M952" t="n">
        <v>0</v>
      </c>
      <c r="N952" t="n">
        <v>0</v>
      </c>
      <c r="O952" t="n">
        <v>0</v>
      </c>
      <c r="P952" t="n">
        <v>0</v>
      </c>
      <c r="Q952" t="n">
        <v>0</v>
      </c>
      <c r="R952" s="2" t="inlineStr"/>
    </row>
    <row r="953" ht="15" customHeight="1">
      <c r="A953" t="inlineStr">
        <is>
          <t>A 32808-2021</t>
        </is>
      </c>
      <c r="B953" s="1" t="n">
        <v>44375</v>
      </c>
      <c r="C953" s="1" t="n">
        <v>45895</v>
      </c>
      <c r="D953" t="inlineStr">
        <is>
          <t>NORRBOTTENS LÄN</t>
        </is>
      </c>
      <c r="E953" t="inlineStr">
        <is>
          <t>KIRUNA</t>
        </is>
      </c>
      <c r="G953" t="n">
        <v>6.7</v>
      </c>
      <c r="H953" t="n">
        <v>0</v>
      </c>
      <c r="I953" t="n">
        <v>0</v>
      </c>
      <c r="J953" t="n">
        <v>0</v>
      </c>
      <c r="K953" t="n">
        <v>0</v>
      </c>
      <c r="L953" t="n">
        <v>0</v>
      </c>
      <c r="M953" t="n">
        <v>0</v>
      </c>
      <c r="N953" t="n">
        <v>0</v>
      </c>
      <c r="O953" t="n">
        <v>0</v>
      </c>
      <c r="P953" t="n">
        <v>0</v>
      </c>
      <c r="Q953" t="n">
        <v>0</v>
      </c>
      <c r="R953" s="2" t="inlineStr"/>
    </row>
    <row r="954" ht="15" customHeight="1">
      <c r="A954" t="inlineStr">
        <is>
          <t>A 42177-2020</t>
        </is>
      </c>
      <c r="B954" s="1" t="n">
        <v>44075</v>
      </c>
      <c r="C954" s="1" t="n">
        <v>45895</v>
      </c>
      <c r="D954" t="inlineStr">
        <is>
          <t>NORRBOTTENS LÄN</t>
        </is>
      </c>
      <c r="E954" t="inlineStr">
        <is>
          <t>LULEÅ</t>
        </is>
      </c>
      <c r="G954" t="n">
        <v>0.6</v>
      </c>
      <c r="H954" t="n">
        <v>0</v>
      </c>
      <c r="I954" t="n">
        <v>0</v>
      </c>
      <c r="J954" t="n">
        <v>0</v>
      </c>
      <c r="K954" t="n">
        <v>0</v>
      </c>
      <c r="L954" t="n">
        <v>0</v>
      </c>
      <c r="M954" t="n">
        <v>0</v>
      </c>
      <c r="N954" t="n">
        <v>0</v>
      </c>
      <c r="O954" t="n">
        <v>0</v>
      </c>
      <c r="P954" t="n">
        <v>0</v>
      </c>
      <c r="Q954" t="n">
        <v>0</v>
      </c>
      <c r="R954" s="2" t="inlineStr"/>
    </row>
    <row r="955" ht="15" customHeight="1">
      <c r="A955" t="inlineStr">
        <is>
          <t>A 40026-2021</t>
        </is>
      </c>
      <c r="B955" s="1" t="n">
        <v>44417</v>
      </c>
      <c r="C955" s="1" t="n">
        <v>45895</v>
      </c>
      <c r="D955" t="inlineStr">
        <is>
          <t>NORRBOTTENS LÄN</t>
        </is>
      </c>
      <c r="E955" t="inlineStr">
        <is>
          <t>ÖVERKALIX</t>
        </is>
      </c>
      <c r="G955" t="n">
        <v>5.2</v>
      </c>
      <c r="H955" t="n">
        <v>0</v>
      </c>
      <c r="I955" t="n">
        <v>0</v>
      </c>
      <c r="J955" t="n">
        <v>0</v>
      </c>
      <c r="K955" t="n">
        <v>0</v>
      </c>
      <c r="L955" t="n">
        <v>0</v>
      </c>
      <c r="M955" t="n">
        <v>0</v>
      </c>
      <c r="N955" t="n">
        <v>0</v>
      </c>
      <c r="O955" t="n">
        <v>0</v>
      </c>
      <c r="P955" t="n">
        <v>0</v>
      </c>
      <c r="Q955" t="n">
        <v>0</v>
      </c>
      <c r="R955" s="2" t="inlineStr"/>
    </row>
    <row r="956" ht="15" customHeight="1">
      <c r="A956" t="inlineStr">
        <is>
          <t>A 55518-2020</t>
        </is>
      </c>
      <c r="B956" s="1" t="n">
        <v>44130</v>
      </c>
      <c r="C956" s="1" t="n">
        <v>45895</v>
      </c>
      <c r="D956" t="inlineStr">
        <is>
          <t>NORRBOTTENS LÄN</t>
        </is>
      </c>
      <c r="E956" t="inlineStr">
        <is>
          <t>ÖVERTORNEÅ</t>
        </is>
      </c>
      <c r="G956" t="n">
        <v>1.2</v>
      </c>
      <c r="H956" t="n">
        <v>0</v>
      </c>
      <c r="I956" t="n">
        <v>0</v>
      </c>
      <c r="J956" t="n">
        <v>0</v>
      </c>
      <c r="K956" t="n">
        <v>0</v>
      </c>
      <c r="L956" t="n">
        <v>0</v>
      </c>
      <c r="M956" t="n">
        <v>0</v>
      </c>
      <c r="N956" t="n">
        <v>0</v>
      </c>
      <c r="O956" t="n">
        <v>0</v>
      </c>
      <c r="P956" t="n">
        <v>0</v>
      </c>
      <c r="Q956" t="n">
        <v>0</v>
      </c>
      <c r="R956" s="2" t="inlineStr"/>
    </row>
    <row r="957" ht="15" customHeight="1">
      <c r="A957" t="inlineStr">
        <is>
          <t>A 2544-2021</t>
        </is>
      </c>
      <c r="B957" s="1" t="n">
        <v>44214</v>
      </c>
      <c r="C957" s="1" t="n">
        <v>45895</v>
      </c>
      <c r="D957" t="inlineStr">
        <is>
          <t>NORRBOTTENS LÄN</t>
        </is>
      </c>
      <c r="E957" t="inlineStr">
        <is>
          <t>ÖVERTORNEÅ</t>
        </is>
      </c>
      <c r="G957" t="n">
        <v>18.4</v>
      </c>
      <c r="H957" t="n">
        <v>0</v>
      </c>
      <c r="I957" t="n">
        <v>0</v>
      </c>
      <c r="J957" t="n">
        <v>0</v>
      </c>
      <c r="K957" t="n">
        <v>0</v>
      </c>
      <c r="L957" t="n">
        <v>0</v>
      </c>
      <c r="M957" t="n">
        <v>0</v>
      </c>
      <c r="N957" t="n">
        <v>0</v>
      </c>
      <c r="O957" t="n">
        <v>0</v>
      </c>
      <c r="P957" t="n">
        <v>0</v>
      </c>
      <c r="Q957" t="n">
        <v>0</v>
      </c>
      <c r="R957" s="2" t="inlineStr"/>
    </row>
    <row r="958" ht="15" customHeight="1">
      <c r="A958" t="inlineStr">
        <is>
          <t>A 46375-2020</t>
        </is>
      </c>
      <c r="B958" s="1" t="n">
        <v>44092</v>
      </c>
      <c r="C958" s="1" t="n">
        <v>45895</v>
      </c>
      <c r="D958" t="inlineStr">
        <is>
          <t>NORRBOTTENS LÄN</t>
        </is>
      </c>
      <c r="E958" t="inlineStr">
        <is>
          <t>JOKKMOKK</t>
        </is>
      </c>
      <c r="F958" t="inlineStr">
        <is>
          <t>SCA</t>
        </is>
      </c>
      <c r="G958" t="n">
        <v>25.4</v>
      </c>
      <c r="H958" t="n">
        <v>0</v>
      </c>
      <c r="I958" t="n">
        <v>0</v>
      </c>
      <c r="J958" t="n">
        <v>0</v>
      </c>
      <c r="K958" t="n">
        <v>0</v>
      </c>
      <c r="L958" t="n">
        <v>0</v>
      </c>
      <c r="M958" t="n">
        <v>0</v>
      </c>
      <c r="N958" t="n">
        <v>0</v>
      </c>
      <c r="O958" t="n">
        <v>0</v>
      </c>
      <c r="P958" t="n">
        <v>0</v>
      </c>
      <c r="Q958" t="n">
        <v>0</v>
      </c>
      <c r="R958" s="2" t="inlineStr"/>
    </row>
    <row r="959" ht="15" customHeight="1">
      <c r="A959" t="inlineStr">
        <is>
          <t>A 2369-2021</t>
        </is>
      </c>
      <c r="B959" s="1" t="n">
        <v>44211</v>
      </c>
      <c r="C959" s="1" t="n">
        <v>45895</v>
      </c>
      <c r="D959" t="inlineStr">
        <is>
          <t>NORRBOTTENS LÄN</t>
        </is>
      </c>
      <c r="E959" t="inlineStr">
        <is>
          <t>LULEÅ</t>
        </is>
      </c>
      <c r="G959" t="n">
        <v>0.9</v>
      </c>
      <c r="H959" t="n">
        <v>0</v>
      </c>
      <c r="I959" t="n">
        <v>0</v>
      </c>
      <c r="J959" t="n">
        <v>0</v>
      </c>
      <c r="K959" t="n">
        <v>0</v>
      </c>
      <c r="L959" t="n">
        <v>0</v>
      </c>
      <c r="M959" t="n">
        <v>0</v>
      </c>
      <c r="N959" t="n">
        <v>0</v>
      </c>
      <c r="O959" t="n">
        <v>0</v>
      </c>
      <c r="P959" t="n">
        <v>0</v>
      </c>
      <c r="Q959" t="n">
        <v>0</v>
      </c>
      <c r="R959" s="2" t="inlineStr"/>
    </row>
    <row r="960" ht="15" customHeight="1">
      <c r="A960" t="inlineStr">
        <is>
          <t>A 38696-2021</t>
        </is>
      </c>
      <c r="B960" s="1" t="n">
        <v>44406</v>
      </c>
      <c r="C960" s="1" t="n">
        <v>45895</v>
      </c>
      <c r="D960" t="inlineStr">
        <is>
          <t>NORRBOTTENS LÄN</t>
        </is>
      </c>
      <c r="E960" t="inlineStr">
        <is>
          <t>ÖVERTORNEÅ</t>
        </is>
      </c>
      <c r="G960" t="n">
        <v>6</v>
      </c>
      <c r="H960" t="n">
        <v>0</v>
      </c>
      <c r="I960" t="n">
        <v>0</v>
      </c>
      <c r="J960" t="n">
        <v>0</v>
      </c>
      <c r="K960" t="n">
        <v>0</v>
      </c>
      <c r="L960" t="n">
        <v>0</v>
      </c>
      <c r="M960" t="n">
        <v>0</v>
      </c>
      <c r="N960" t="n">
        <v>0</v>
      </c>
      <c r="O960" t="n">
        <v>0</v>
      </c>
      <c r="P960" t="n">
        <v>0</v>
      </c>
      <c r="Q960" t="n">
        <v>0</v>
      </c>
      <c r="R960" s="2" t="inlineStr"/>
    </row>
    <row r="961" ht="15" customHeight="1">
      <c r="A961" t="inlineStr">
        <is>
          <t>A 54177-2020</t>
        </is>
      </c>
      <c r="B961" s="1" t="n">
        <v>44125</v>
      </c>
      <c r="C961" s="1" t="n">
        <v>45895</v>
      </c>
      <c r="D961" t="inlineStr">
        <is>
          <t>NORRBOTTENS LÄN</t>
        </is>
      </c>
      <c r="E961" t="inlineStr">
        <is>
          <t>PAJALA</t>
        </is>
      </c>
      <c r="G961" t="n">
        <v>5.9</v>
      </c>
      <c r="H961" t="n">
        <v>0</v>
      </c>
      <c r="I961" t="n">
        <v>0</v>
      </c>
      <c r="J961" t="n">
        <v>0</v>
      </c>
      <c r="K961" t="n">
        <v>0</v>
      </c>
      <c r="L961" t="n">
        <v>0</v>
      </c>
      <c r="M961" t="n">
        <v>0</v>
      </c>
      <c r="N961" t="n">
        <v>0</v>
      </c>
      <c r="O961" t="n">
        <v>0</v>
      </c>
      <c r="P961" t="n">
        <v>0</v>
      </c>
      <c r="Q961" t="n">
        <v>0</v>
      </c>
      <c r="R961" s="2" t="inlineStr"/>
    </row>
    <row r="962" ht="15" customHeight="1">
      <c r="A962" t="inlineStr">
        <is>
          <t>A 48370-2021</t>
        </is>
      </c>
      <c r="B962" s="1" t="n">
        <v>44451</v>
      </c>
      <c r="C962" s="1" t="n">
        <v>45895</v>
      </c>
      <c r="D962" t="inlineStr">
        <is>
          <t>NORRBOTTENS LÄN</t>
        </is>
      </c>
      <c r="E962" t="inlineStr">
        <is>
          <t>PAJALA</t>
        </is>
      </c>
      <c r="G962" t="n">
        <v>26.6</v>
      </c>
      <c r="H962" t="n">
        <v>0</v>
      </c>
      <c r="I962" t="n">
        <v>0</v>
      </c>
      <c r="J962" t="n">
        <v>0</v>
      </c>
      <c r="K962" t="n">
        <v>0</v>
      </c>
      <c r="L962" t="n">
        <v>0</v>
      </c>
      <c r="M962" t="n">
        <v>0</v>
      </c>
      <c r="N962" t="n">
        <v>0</v>
      </c>
      <c r="O962" t="n">
        <v>0</v>
      </c>
      <c r="P962" t="n">
        <v>0</v>
      </c>
      <c r="Q962" t="n">
        <v>0</v>
      </c>
      <c r="R962" s="2" t="inlineStr"/>
    </row>
    <row r="963" ht="15" customHeight="1">
      <c r="A963" t="inlineStr">
        <is>
          <t>A 54312-2020</t>
        </is>
      </c>
      <c r="B963" s="1" t="n">
        <v>44125</v>
      </c>
      <c r="C963" s="1" t="n">
        <v>45895</v>
      </c>
      <c r="D963" t="inlineStr">
        <is>
          <t>NORRBOTTENS LÄN</t>
        </is>
      </c>
      <c r="E963" t="inlineStr">
        <is>
          <t>HAPARANDA</t>
        </is>
      </c>
      <c r="G963" t="n">
        <v>2.1</v>
      </c>
      <c r="H963" t="n">
        <v>0</v>
      </c>
      <c r="I963" t="n">
        <v>0</v>
      </c>
      <c r="J963" t="n">
        <v>0</v>
      </c>
      <c r="K963" t="n">
        <v>0</v>
      </c>
      <c r="L963" t="n">
        <v>0</v>
      </c>
      <c r="M963" t="n">
        <v>0</v>
      </c>
      <c r="N963" t="n">
        <v>0</v>
      </c>
      <c r="O963" t="n">
        <v>0</v>
      </c>
      <c r="P963" t="n">
        <v>0</v>
      </c>
      <c r="Q963" t="n">
        <v>0</v>
      </c>
      <c r="R963" s="2" t="inlineStr"/>
    </row>
    <row r="964" ht="15" customHeight="1">
      <c r="A964" t="inlineStr">
        <is>
          <t>A 44758-2020</t>
        </is>
      </c>
      <c r="B964" s="1" t="n">
        <v>44085</v>
      </c>
      <c r="C964" s="1" t="n">
        <v>45895</v>
      </c>
      <c r="D964" t="inlineStr">
        <is>
          <t>NORRBOTTENS LÄN</t>
        </is>
      </c>
      <c r="E964" t="inlineStr">
        <is>
          <t>ÄLVSBYN</t>
        </is>
      </c>
      <c r="F964" t="inlineStr">
        <is>
          <t>Sveaskog</t>
        </is>
      </c>
      <c r="G964" t="n">
        <v>4.2</v>
      </c>
      <c r="H964" t="n">
        <v>0</v>
      </c>
      <c r="I964" t="n">
        <v>0</v>
      </c>
      <c r="J964" t="n">
        <v>0</v>
      </c>
      <c r="K964" t="n">
        <v>0</v>
      </c>
      <c r="L964" t="n">
        <v>0</v>
      </c>
      <c r="M964" t="n">
        <v>0</v>
      </c>
      <c r="N964" t="n">
        <v>0</v>
      </c>
      <c r="O964" t="n">
        <v>0</v>
      </c>
      <c r="P964" t="n">
        <v>0</v>
      </c>
      <c r="Q964" t="n">
        <v>0</v>
      </c>
      <c r="R964" s="2" t="inlineStr"/>
    </row>
    <row r="965" ht="15" customHeight="1">
      <c r="A965" t="inlineStr">
        <is>
          <t>A 57816-2021</t>
        </is>
      </c>
      <c r="B965" s="1" t="n">
        <v>44484</v>
      </c>
      <c r="C965" s="1" t="n">
        <v>45895</v>
      </c>
      <c r="D965" t="inlineStr">
        <is>
          <t>NORRBOTTENS LÄN</t>
        </is>
      </c>
      <c r="E965" t="inlineStr">
        <is>
          <t>ÄLVSBYN</t>
        </is>
      </c>
      <c r="G965" t="n">
        <v>1.2</v>
      </c>
      <c r="H965" t="n">
        <v>0</v>
      </c>
      <c r="I965" t="n">
        <v>0</v>
      </c>
      <c r="J965" t="n">
        <v>0</v>
      </c>
      <c r="K965" t="n">
        <v>0</v>
      </c>
      <c r="L965" t="n">
        <v>0</v>
      </c>
      <c r="M965" t="n">
        <v>0</v>
      </c>
      <c r="N965" t="n">
        <v>0</v>
      </c>
      <c r="O965" t="n">
        <v>0</v>
      </c>
      <c r="P965" t="n">
        <v>0</v>
      </c>
      <c r="Q965" t="n">
        <v>0</v>
      </c>
      <c r="R965" s="2" t="inlineStr"/>
    </row>
    <row r="966" ht="15" customHeight="1">
      <c r="A966" t="inlineStr">
        <is>
          <t>A 74437-2021</t>
        </is>
      </c>
      <c r="B966" s="1" t="n">
        <v>44558</v>
      </c>
      <c r="C966" s="1" t="n">
        <v>45895</v>
      </c>
      <c r="D966" t="inlineStr">
        <is>
          <t>NORRBOTTENS LÄN</t>
        </is>
      </c>
      <c r="E966" t="inlineStr">
        <is>
          <t>LULEÅ</t>
        </is>
      </c>
      <c r="G966" t="n">
        <v>2.7</v>
      </c>
      <c r="H966" t="n">
        <v>0</v>
      </c>
      <c r="I966" t="n">
        <v>0</v>
      </c>
      <c r="J966" t="n">
        <v>0</v>
      </c>
      <c r="K966" t="n">
        <v>0</v>
      </c>
      <c r="L966" t="n">
        <v>0</v>
      </c>
      <c r="M966" t="n">
        <v>0</v>
      </c>
      <c r="N966" t="n">
        <v>0</v>
      </c>
      <c r="O966" t="n">
        <v>0</v>
      </c>
      <c r="P966" t="n">
        <v>0</v>
      </c>
      <c r="Q966" t="n">
        <v>0</v>
      </c>
      <c r="R966" s="2" t="inlineStr"/>
    </row>
    <row r="967" ht="15" customHeight="1">
      <c r="A967" t="inlineStr">
        <is>
          <t>A 55300-2020</t>
        </is>
      </c>
      <c r="B967" s="1" t="n">
        <v>44130</v>
      </c>
      <c r="C967" s="1" t="n">
        <v>45895</v>
      </c>
      <c r="D967" t="inlineStr">
        <is>
          <t>NORRBOTTENS LÄN</t>
        </is>
      </c>
      <c r="E967" t="inlineStr">
        <is>
          <t>KALIX</t>
        </is>
      </c>
      <c r="G967" t="n">
        <v>16.4</v>
      </c>
      <c r="H967" t="n">
        <v>0</v>
      </c>
      <c r="I967" t="n">
        <v>0</v>
      </c>
      <c r="J967" t="n">
        <v>0</v>
      </c>
      <c r="K967" t="n">
        <v>0</v>
      </c>
      <c r="L967" t="n">
        <v>0</v>
      </c>
      <c r="M967" t="n">
        <v>0</v>
      </c>
      <c r="N967" t="n">
        <v>0</v>
      </c>
      <c r="O967" t="n">
        <v>0</v>
      </c>
      <c r="P967" t="n">
        <v>0</v>
      </c>
      <c r="Q967" t="n">
        <v>0</v>
      </c>
      <c r="R967" s="2" t="inlineStr"/>
    </row>
    <row r="968" ht="15" customHeight="1">
      <c r="A968" t="inlineStr">
        <is>
          <t>A 64083-2021</t>
        </is>
      </c>
      <c r="B968" s="1" t="n">
        <v>44509</v>
      </c>
      <c r="C968" s="1" t="n">
        <v>45895</v>
      </c>
      <c r="D968" t="inlineStr">
        <is>
          <t>NORRBOTTENS LÄN</t>
        </is>
      </c>
      <c r="E968" t="inlineStr">
        <is>
          <t>HAPARANDA</t>
        </is>
      </c>
      <c r="G968" t="n">
        <v>8.1</v>
      </c>
      <c r="H968" t="n">
        <v>0</v>
      </c>
      <c r="I968" t="n">
        <v>0</v>
      </c>
      <c r="J968" t="n">
        <v>0</v>
      </c>
      <c r="K968" t="n">
        <v>0</v>
      </c>
      <c r="L968" t="n">
        <v>0</v>
      </c>
      <c r="M968" t="n">
        <v>0</v>
      </c>
      <c r="N968" t="n">
        <v>0</v>
      </c>
      <c r="O968" t="n">
        <v>0</v>
      </c>
      <c r="P968" t="n">
        <v>0</v>
      </c>
      <c r="Q968" t="n">
        <v>0</v>
      </c>
      <c r="R968" s="2" t="inlineStr"/>
    </row>
    <row r="969" ht="15" customHeight="1">
      <c r="A969" t="inlineStr">
        <is>
          <t>A 43124-2020</t>
        </is>
      </c>
      <c r="B969" s="1" t="n">
        <v>44079</v>
      </c>
      <c r="C969" s="1" t="n">
        <v>45895</v>
      </c>
      <c r="D969" t="inlineStr">
        <is>
          <t>NORRBOTTENS LÄN</t>
        </is>
      </c>
      <c r="E969" t="inlineStr">
        <is>
          <t>PAJALA</t>
        </is>
      </c>
      <c r="G969" t="n">
        <v>9.5</v>
      </c>
      <c r="H969" t="n">
        <v>0</v>
      </c>
      <c r="I969" t="n">
        <v>0</v>
      </c>
      <c r="J969" t="n">
        <v>0</v>
      </c>
      <c r="K969" t="n">
        <v>0</v>
      </c>
      <c r="L969" t="n">
        <v>0</v>
      </c>
      <c r="M969" t="n">
        <v>0</v>
      </c>
      <c r="N969" t="n">
        <v>0</v>
      </c>
      <c r="O969" t="n">
        <v>0</v>
      </c>
      <c r="P969" t="n">
        <v>0</v>
      </c>
      <c r="Q969" t="n">
        <v>0</v>
      </c>
      <c r="R969" s="2" t="inlineStr"/>
    </row>
    <row r="970" ht="15" customHeight="1">
      <c r="A970" t="inlineStr">
        <is>
          <t>A 46790-2021</t>
        </is>
      </c>
      <c r="B970" s="1" t="n">
        <v>44445</v>
      </c>
      <c r="C970" s="1" t="n">
        <v>45895</v>
      </c>
      <c r="D970" t="inlineStr">
        <is>
          <t>NORRBOTTENS LÄN</t>
        </is>
      </c>
      <c r="E970" t="inlineStr">
        <is>
          <t>ÖVERKALIX</t>
        </is>
      </c>
      <c r="G970" t="n">
        <v>6.4</v>
      </c>
      <c r="H970" t="n">
        <v>0</v>
      </c>
      <c r="I970" t="n">
        <v>0</v>
      </c>
      <c r="J970" t="n">
        <v>0</v>
      </c>
      <c r="K970" t="n">
        <v>0</v>
      </c>
      <c r="L970" t="n">
        <v>0</v>
      </c>
      <c r="M970" t="n">
        <v>0</v>
      </c>
      <c r="N970" t="n">
        <v>0</v>
      </c>
      <c r="O970" t="n">
        <v>0</v>
      </c>
      <c r="P970" t="n">
        <v>0</v>
      </c>
      <c r="Q970" t="n">
        <v>0</v>
      </c>
      <c r="R970" s="2" t="inlineStr"/>
    </row>
    <row r="971" ht="15" customHeight="1">
      <c r="A971" t="inlineStr">
        <is>
          <t>A 43661-2020</t>
        </is>
      </c>
      <c r="B971" s="1" t="n">
        <v>44082</v>
      </c>
      <c r="C971" s="1" t="n">
        <v>45895</v>
      </c>
      <c r="D971" t="inlineStr">
        <is>
          <t>NORRBOTTENS LÄN</t>
        </is>
      </c>
      <c r="E971" t="inlineStr">
        <is>
          <t>ÖVERKALIX</t>
        </is>
      </c>
      <c r="G971" t="n">
        <v>1.7</v>
      </c>
      <c r="H971" t="n">
        <v>0</v>
      </c>
      <c r="I971" t="n">
        <v>0</v>
      </c>
      <c r="J971" t="n">
        <v>0</v>
      </c>
      <c r="K971" t="n">
        <v>0</v>
      </c>
      <c r="L971" t="n">
        <v>0</v>
      </c>
      <c r="M971" t="n">
        <v>0</v>
      </c>
      <c r="N971" t="n">
        <v>0</v>
      </c>
      <c r="O971" t="n">
        <v>0</v>
      </c>
      <c r="P971" t="n">
        <v>0</v>
      </c>
      <c r="Q971" t="n">
        <v>0</v>
      </c>
      <c r="R971" s="2" t="inlineStr"/>
    </row>
    <row r="972" ht="15" customHeight="1">
      <c r="A972" t="inlineStr">
        <is>
          <t>A 54863-2020</t>
        </is>
      </c>
      <c r="B972" s="1" t="n">
        <v>44126</v>
      </c>
      <c r="C972" s="1" t="n">
        <v>45895</v>
      </c>
      <c r="D972" t="inlineStr">
        <is>
          <t>NORRBOTTENS LÄN</t>
        </is>
      </c>
      <c r="E972" t="inlineStr">
        <is>
          <t>JOKKMOKK</t>
        </is>
      </c>
      <c r="F972" t="inlineStr">
        <is>
          <t>Allmännings- och besparingsskogar</t>
        </is>
      </c>
      <c r="G972" t="n">
        <v>43.3</v>
      </c>
      <c r="H972" t="n">
        <v>0</v>
      </c>
      <c r="I972" t="n">
        <v>0</v>
      </c>
      <c r="J972" t="n">
        <v>0</v>
      </c>
      <c r="K972" t="n">
        <v>0</v>
      </c>
      <c r="L972" t="n">
        <v>0</v>
      </c>
      <c r="M972" t="n">
        <v>0</v>
      </c>
      <c r="N972" t="n">
        <v>0</v>
      </c>
      <c r="O972" t="n">
        <v>0</v>
      </c>
      <c r="P972" t="n">
        <v>0</v>
      </c>
      <c r="Q972" t="n">
        <v>0</v>
      </c>
      <c r="R972" s="2" t="inlineStr"/>
    </row>
    <row r="973" ht="15" customHeight="1">
      <c r="A973" t="inlineStr">
        <is>
          <t>A 15714-2022</t>
        </is>
      </c>
      <c r="B973" s="1" t="n">
        <v>44663</v>
      </c>
      <c r="C973" s="1" t="n">
        <v>45895</v>
      </c>
      <c r="D973" t="inlineStr">
        <is>
          <t>NORRBOTTENS LÄN</t>
        </is>
      </c>
      <c r="E973" t="inlineStr">
        <is>
          <t>JOKKMOKK</t>
        </is>
      </c>
      <c r="G973" t="n">
        <v>1.6</v>
      </c>
      <c r="H973" t="n">
        <v>0</v>
      </c>
      <c r="I973" t="n">
        <v>0</v>
      </c>
      <c r="J973" t="n">
        <v>0</v>
      </c>
      <c r="K973" t="n">
        <v>0</v>
      </c>
      <c r="L973" t="n">
        <v>0</v>
      </c>
      <c r="M973" t="n">
        <v>0</v>
      </c>
      <c r="N973" t="n">
        <v>0</v>
      </c>
      <c r="O973" t="n">
        <v>0</v>
      </c>
      <c r="P973" t="n">
        <v>0</v>
      </c>
      <c r="Q973" t="n">
        <v>0</v>
      </c>
      <c r="R973" s="2" t="inlineStr"/>
    </row>
    <row r="974" ht="15" customHeight="1">
      <c r="A974" t="inlineStr">
        <is>
          <t>A 54726-2020</t>
        </is>
      </c>
      <c r="B974" s="1" t="n">
        <v>44127</v>
      </c>
      <c r="C974" s="1" t="n">
        <v>45895</v>
      </c>
      <c r="D974" t="inlineStr">
        <is>
          <t>NORRBOTTENS LÄN</t>
        </is>
      </c>
      <c r="E974" t="inlineStr">
        <is>
          <t>PITEÅ</t>
        </is>
      </c>
      <c r="G974" t="n">
        <v>0.7</v>
      </c>
      <c r="H974" t="n">
        <v>0</v>
      </c>
      <c r="I974" t="n">
        <v>0</v>
      </c>
      <c r="J974" t="n">
        <v>0</v>
      </c>
      <c r="K974" t="n">
        <v>0</v>
      </c>
      <c r="L974" t="n">
        <v>0</v>
      </c>
      <c r="M974" t="n">
        <v>0</v>
      </c>
      <c r="N974" t="n">
        <v>0</v>
      </c>
      <c r="O974" t="n">
        <v>0</v>
      </c>
      <c r="P974" t="n">
        <v>0</v>
      </c>
      <c r="Q974" t="n">
        <v>0</v>
      </c>
      <c r="R974" s="2" t="inlineStr"/>
    </row>
    <row r="975" ht="15" customHeight="1">
      <c r="A975" t="inlineStr">
        <is>
          <t>A 7692-2022</t>
        </is>
      </c>
      <c r="B975" s="1" t="n">
        <v>44607</v>
      </c>
      <c r="C975" s="1" t="n">
        <v>45895</v>
      </c>
      <c r="D975" t="inlineStr">
        <is>
          <t>NORRBOTTENS LÄN</t>
        </is>
      </c>
      <c r="E975" t="inlineStr">
        <is>
          <t>ÖVERKALIX</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43861-2022</t>
        </is>
      </c>
      <c r="B976" s="1" t="n">
        <v>44838.42710648148</v>
      </c>
      <c r="C976" s="1" t="n">
        <v>45895</v>
      </c>
      <c r="D976" t="inlineStr">
        <is>
          <t>NORRBOTTENS LÄN</t>
        </is>
      </c>
      <c r="E976" t="inlineStr">
        <is>
          <t>PITEÅ</t>
        </is>
      </c>
      <c r="F976" t="inlineStr">
        <is>
          <t>Sveaskog</t>
        </is>
      </c>
      <c r="G976" t="n">
        <v>3.9</v>
      </c>
      <c r="H976" t="n">
        <v>0</v>
      </c>
      <c r="I976" t="n">
        <v>0</v>
      </c>
      <c r="J976" t="n">
        <v>0</v>
      </c>
      <c r="K976" t="n">
        <v>0</v>
      </c>
      <c r="L976" t="n">
        <v>0</v>
      </c>
      <c r="M976" t="n">
        <v>0</v>
      </c>
      <c r="N976" t="n">
        <v>0</v>
      </c>
      <c r="O976" t="n">
        <v>0</v>
      </c>
      <c r="P976" t="n">
        <v>0</v>
      </c>
      <c r="Q976" t="n">
        <v>0</v>
      </c>
      <c r="R976" s="2" t="inlineStr"/>
    </row>
    <row r="977" ht="15" customHeight="1">
      <c r="A977" t="inlineStr">
        <is>
          <t>A 23272-2022</t>
        </is>
      </c>
      <c r="B977" s="1" t="n">
        <v>44720</v>
      </c>
      <c r="C977" s="1" t="n">
        <v>45895</v>
      </c>
      <c r="D977" t="inlineStr">
        <is>
          <t>NORRBOTTENS LÄN</t>
        </is>
      </c>
      <c r="E977" t="inlineStr">
        <is>
          <t>KALIX</t>
        </is>
      </c>
      <c r="G977" t="n">
        <v>3.8</v>
      </c>
      <c r="H977" t="n">
        <v>0</v>
      </c>
      <c r="I977" t="n">
        <v>0</v>
      </c>
      <c r="J977" t="n">
        <v>0</v>
      </c>
      <c r="K977" t="n">
        <v>0</v>
      </c>
      <c r="L977" t="n">
        <v>0</v>
      </c>
      <c r="M977" t="n">
        <v>0</v>
      </c>
      <c r="N977" t="n">
        <v>0</v>
      </c>
      <c r="O977" t="n">
        <v>0</v>
      </c>
      <c r="P977" t="n">
        <v>0</v>
      </c>
      <c r="Q977" t="n">
        <v>0</v>
      </c>
      <c r="R977" s="2" t="inlineStr"/>
    </row>
    <row r="978" ht="15" customHeight="1">
      <c r="A978" t="inlineStr">
        <is>
          <t>A 44304-2022</t>
        </is>
      </c>
      <c r="B978" s="1" t="n">
        <v>44839.62422453704</v>
      </c>
      <c r="C978" s="1" t="n">
        <v>45895</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43750-2022</t>
        </is>
      </c>
      <c r="B979" s="1" t="n">
        <v>44837</v>
      </c>
      <c r="C979" s="1" t="n">
        <v>45895</v>
      </c>
      <c r="D979" t="inlineStr">
        <is>
          <t>NORRBOTTENS LÄN</t>
        </is>
      </c>
      <c r="E979" t="inlineStr">
        <is>
          <t>PAJALA</t>
        </is>
      </c>
      <c r="G979" t="n">
        <v>0.7</v>
      </c>
      <c r="H979" t="n">
        <v>0</v>
      </c>
      <c r="I979" t="n">
        <v>0</v>
      </c>
      <c r="J979" t="n">
        <v>0</v>
      </c>
      <c r="K979" t="n">
        <v>0</v>
      </c>
      <c r="L979" t="n">
        <v>0</v>
      </c>
      <c r="M979" t="n">
        <v>0</v>
      </c>
      <c r="N979" t="n">
        <v>0</v>
      </c>
      <c r="O979" t="n">
        <v>0</v>
      </c>
      <c r="P979" t="n">
        <v>0</v>
      </c>
      <c r="Q979" t="n">
        <v>0</v>
      </c>
      <c r="R979" s="2" t="inlineStr"/>
    </row>
    <row r="980" ht="15" customHeight="1">
      <c r="A980" t="inlineStr">
        <is>
          <t>A 47247-2022</t>
        </is>
      </c>
      <c r="B980" s="1" t="n">
        <v>44852</v>
      </c>
      <c r="C980" s="1" t="n">
        <v>45895</v>
      </c>
      <c r="D980" t="inlineStr">
        <is>
          <t>NORRBOTTENS LÄN</t>
        </is>
      </c>
      <c r="E980" t="inlineStr">
        <is>
          <t>LULEÅ</t>
        </is>
      </c>
      <c r="G980" t="n">
        <v>1.2</v>
      </c>
      <c r="H980" t="n">
        <v>0</v>
      </c>
      <c r="I980" t="n">
        <v>0</v>
      </c>
      <c r="J980" t="n">
        <v>0</v>
      </c>
      <c r="K980" t="n">
        <v>0</v>
      </c>
      <c r="L980" t="n">
        <v>0</v>
      </c>
      <c r="M980" t="n">
        <v>0</v>
      </c>
      <c r="N980" t="n">
        <v>0</v>
      </c>
      <c r="O980" t="n">
        <v>0</v>
      </c>
      <c r="P980" t="n">
        <v>0</v>
      </c>
      <c r="Q980" t="n">
        <v>0</v>
      </c>
      <c r="R980" s="2" t="inlineStr"/>
    </row>
    <row r="981" ht="15" customHeight="1">
      <c r="A981" t="inlineStr">
        <is>
          <t>A 65636-2020</t>
        </is>
      </c>
      <c r="B981" s="1" t="n">
        <v>44173</v>
      </c>
      <c r="C981" s="1" t="n">
        <v>45895</v>
      </c>
      <c r="D981" t="inlineStr">
        <is>
          <t>NORRBOTTENS LÄN</t>
        </is>
      </c>
      <c r="E981" t="inlineStr">
        <is>
          <t>PAJALA</t>
        </is>
      </c>
      <c r="G981" t="n">
        <v>12.3</v>
      </c>
      <c r="H981" t="n">
        <v>0</v>
      </c>
      <c r="I981" t="n">
        <v>0</v>
      </c>
      <c r="J981" t="n">
        <v>0</v>
      </c>
      <c r="K981" t="n">
        <v>0</v>
      </c>
      <c r="L981" t="n">
        <v>0</v>
      </c>
      <c r="M981" t="n">
        <v>0</v>
      </c>
      <c r="N981" t="n">
        <v>0</v>
      </c>
      <c r="O981" t="n">
        <v>0</v>
      </c>
      <c r="P981" t="n">
        <v>0</v>
      </c>
      <c r="Q981" t="n">
        <v>0</v>
      </c>
      <c r="R981" s="2" t="inlineStr"/>
    </row>
    <row r="982" ht="15" customHeight="1">
      <c r="A982" t="inlineStr">
        <is>
          <t>A 54359-2022</t>
        </is>
      </c>
      <c r="B982" s="1" t="n">
        <v>44879</v>
      </c>
      <c r="C982" s="1" t="n">
        <v>45895</v>
      </c>
      <c r="D982" t="inlineStr">
        <is>
          <t>NORRBOTTENS LÄN</t>
        </is>
      </c>
      <c r="E982" t="inlineStr">
        <is>
          <t>PAJALA</t>
        </is>
      </c>
      <c r="G982" t="n">
        <v>40.7</v>
      </c>
      <c r="H982" t="n">
        <v>0</v>
      </c>
      <c r="I982" t="n">
        <v>0</v>
      </c>
      <c r="J982" t="n">
        <v>0</v>
      </c>
      <c r="K982" t="n">
        <v>0</v>
      </c>
      <c r="L982" t="n">
        <v>0</v>
      </c>
      <c r="M982" t="n">
        <v>0</v>
      </c>
      <c r="N982" t="n">
        <v>0</v>
      </c>
      <c r="O982" t="n">
        <v>0</v>
      </c>
      <c r="P982" t="n">
        <v>0</v>
      </c>
      <c r="Q982" t="n">
        <v>0</v>
      </c>
      <c r="R982" s="2" t="inlineStr"/>
    </row>
    <row r="983" ht="15" customHeight="1">
      <c r="A983" t="inlineStr">
        <is>
          <t>A 28274-2022</t>
        </is>
      </c>
      <c r="B983" s="1" t="n">
        <v>44746.92638888889</v>
      </c>
      <c r="C983" s="1" t="n">
        <v>45895</v>
      </c>
      <c r="D983" t="inlineStr">
        <is>
          <t>NORRBOTTENS LÄN</t>
        </is>
      </c>
      <c r="E983" t="inlineStr">
        <is>
          <t>LULEÅ</t>
        </is>
      </c>
      <c r="G983" t="n">
        <v>6.4</v>
      </c>
      <c r="H983" t="n">
        <v>0</v>
      </c>
      <c r="I983" t="n">
        <v>0</v>
      </c>
      <c r="J983" t="n">
        <v>0</v>
      </c>
      <c r="K983" t="n">
        <v>0</v>
      </c>
      <c r="L983" t="n">
        <v>0</v>
      </c>
      <c r="M983" t="n">
        <v>0</v>
      </c>
      <c r="N983" t="n">
        <v>0</v>
      </c>
      <c r="O983" t="n">
        <v>0</v>
      </c>
      <c r="P983" t="n">
        <v>0</v>
      </c>
      <c r="Q983" t="n">
        <v>0</v>
      </c>
      <c r="R983" s="2" t="inlineStr"/>
    </row>
    <row r="984" ht="15" customHeight="1">
      <c r="A984" t="inlineStr">
        <is>
          <t>A 54418-2022</t>
        </is>
      </c>
      <c r="B984" s="1" t="n">
        <v>44879</v>
      </c>
      <c r="C984" s="1" t="n">
        <v>45895</v>
      </c>
      <c r="D984" t="inlineStr">
        <is>
          <t>NORRBOTTENS LÄN</t>
        </is>
      </c>
      <c r="E984" t="inlineStr">
        <is>
          <t>KALIX</t>
        </is>
      </c>
      <c r="G984" t="n">
        <v>2</v>
      </c>
      <c r="H984" t="n">
        <v>0</v>
      </c>
      <c r="I984" t="n">
        <v>0</v>
      </c>
      <c r="J984" t="n">
        <v>0</v>
      </c>
      <c r="K984" t="n">
        <v>0</v>
      </c>
      <c r="L984" t="n">
        <v>0</v>
      </c>
      <c r="M984" t="n">
        <v>0</v>
      </c>
      <c r="N984" t="n">
        <v>0</v>
      </c>
      <c r="O984" t="n">
        <v>0</v>
      </c>
      <c r="P984" t="n">
        <v>0</v>
      </c>
      <c r="Q984" t="n">
        <v>0</v>
      </c>
      <c r="R984" s="2" t="inlineStr"/>
    </row>
    <row r="985" ht="15" customHeight="1">
      <c r="A985" t="inlineStr">
        <is>
          <t>A 46605-2022</t>
        </is>
      </c>
      <c r="B985" s="1" t="n">
        <v>44848</v>
      </c>
      <c r="C985" s="1" t="n">
        <v>45895</v>
      </c>
      <c r="D985" t="inlineStr">
        <is>
          <t>NORRBOTTENS LÄN</t>
        </is>
      </c>
      <c r="E985" t="inlineStr">
        <is>
          <t>PITEÅ</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3089-2022</t>
        </is>
      </c>
      <c r="B986" s="1" t="n">
        <v>44582</v>
      </c>
      <c r="C986" s="1" t="n">
        <v>45895</v>
      </c>
      <c r="D986" t="inlineStr">
        <is>
          <t>NORRBOTTENS LÄN</t>
        </is>
      </c>
      <c r="E986" t="inlineStr">
        <is>
          <t>PITEÅ</t>
        </is>
      </c>
      <c r="G986" t="n">
        <v>43.8</v>
      </c>
      <c r="H986" t="n">
        <v>0</v>
      </c>
      <c r="I986" t="n">
        <v>0</v>
      </c>
      <c r="J986" t="n">
        <v>0</v>
      </c>
      <c r="K986" t="n">
        <v>0</v>
      </c>
      <c r="L986" t="n">
        <v>0</v>
      </c>
      <c r="M986" t="n">
        <v>0</v>
      </c>
      <c r="N986" t="n">
        <v>0</v>
      </c>
      <c r="O986" t="n">
        <v>0</v>
      </c>
      <c r="P986" t="n">
        <v>0</v>
      </c>
      <c r="Q986" t="n">
        <v>0</v>
      </c>
      <c r="R986" s="2" t="inlineStr"/>
    </row>
    <row r="987" ht="15" customHeight="1">
      <c r="A987" t="inlineStr">
        <is>
          <t>A 3093-2022</t>
        </is>
      </c>
      <c r="B987" s="1" t="n">
        <v>44582</v>
      </c>
      <c r="C987" s="1" t="n">
        <v>45895</v>
      </c>
      <c r="D987" t="inlineStr">
        <is>
          <t>NORRBOTTENS LÄN</t>
        </is>
      </c>
      <c r="E987" t="inlineStr">
        <is>
          <t>PITEÅ</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54862-2022</t>
        </is>
      </c>
      <c r="B988" s="1" t="n">
        <v>44884.77400462963</v>
      </c>
      <c r="C988" s="1" t="n">
        <v>45895</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53752-2022</t>
        </is>
      </c>
      <c r="B989" s="1" t="n">
        <v>44875</v>
      </c>
      <c r="C989" s="1" t="n">
        <v>45895</v>
      </c>
      <c r="D989" t="inlineStr">
        <is>
          <t>NORRBOTTENS LÄN</t>
        </is>
      </c>
      <c r="E989" t="inlineStr">
        <is>
          <t>KIRUNA</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63772-2020</t>
        </is>
      </c>
      <c r="B990" s="1" t="n">
        <v>44165</v>
      </c>
      <c r="C990" s="1" t="n">
        <v>45895</v>
      </c>
      <c r="D990" t="inlineStr">
        <is>
          <t>NORRBOTTENS LÄN</t>
        </is>
      </c>
      <c r="E990" t="inlineStr">
        <is>
          <t>BODEN</t>
        </is>
      </c>
      <c r="G990" t="n">
        <v>1.8</v>
      </c>
      <c r="H990" t="n">
        <v>0</v>
      </c>
      <c r="I990" t="n">
        <v>0</v>
      </c>
      <c r="J990" t="n">
        <v>0</v>
      </c>
      <c r="K990" t="n">
        <v>0</v>
      </c>
      <c r="L990" t="n">
        <v>0</v>
      </c>
      <c r="M990" t="n">
        <v>0</v>
      </c>
      <c r="N990" t="n">
        <v>0</v>
      </c>
      <c r="O990" t="n">
        <v>0</v>
      </c>
      <c r="P990" t="n">
        <v>0</v>
      </c>
      <c r="Q990" t="n">
        <v>0</v>
      </c>
      <c r="R990" s="2" t="inlineStr"/>
    </row>
    <row r="991" ht="15" customHeight="1">
      <c r="A991" t="inlineStr">
        <is>
          <t>A 51902-2021</t>
        </is>
      </c>
      <c r="B991" s="1" t="n">
        <v>44462.92758101852</v>
      </c>
      <c r="C991" s="1" t="n">
        <v>45895</v>
      </c>
      <c r="D991" t="inlineStr">
        <is>
          <t>NORRBOTTENS LÄN</t>
        </is>
      </c>
      <c r="E991" t="inlineStr">
        <is>
          <t>BODEN</t>
        </is>
      </c>
      <c r="G991" t="n">
        <v>0.8</v>
      </c>
      <c r="H991" t="n">
        <v>0</v>
      </c>
      <c r="I991" t="n">
        <v>0</v>
      </c>
      <c r="J991" t="n">
        <v>0</v>
      </c>
      <c r="K991" t="n">
        <v>0</v>
      </c>
      <c r="L991" t="n">
        <v>0</v>
      </c>
      <c r="M991" t="n">
        <v>0</v>
      </c>
      <c r="N991" t="n">
        <v>0</v>
      </c>
      <c r="O991" t="n">
        <v>0</v>
      </c>
      <c r="P991" t="n">
        <v>0</v>
      </c>
      <c r="Q991" t="n">
        <v>0</v>
      </c>
      <c r="R991" s="2" t="inlineStr"/>
    </row>
    <row r="992" ht="15" customHeight="1">
      <c r="A992" t="inlineStr">
        <is>
          <t>A 15239-2021</t>
        </is>
      </c>
      <c r="B992" s="1" t="n">
        <v>44284.50615740741</v>
      </c>
      <c r="C992" s="1" t="n">
        <v>45895</v>
      </c>
      <c r="D992" t="inlineStr">
        <is>
          <t>NORRBOTTENS LÄN</t>
        </is>
      </c>
      <c r="E992" t="inlineStr">
        <is>
          <t>ÖVERTORNEÅ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46307-2022</t>
        </is>
      </c>
      <c r="B993" s="1" t="n">
        <v>44847</v>
      </c>
      <c r="C993" s="1" t="n">
        <v>45895</v>
      </c>
      <c r="D993" t="inlineStr">
        <is>
          <t>NORRBOTTENS LÄN</t>
        </is>
      </c>
      <c r="E993" t="inlineStr">
        <is>
          <t>ÄLVSBYN</t>
        </is>
      </c>
      <c r="G993" t="n">
        <v>2</v>
      </c>
      <c r="H993" t="n">
        <v>0</v>
      </c>
      <c r="I993" t="n">
        <v>0</v>
      </c>
      <c r="J993" t="n">
        <v>0</v>
      </c>
      <c r="K993" t="n">
        <v>0</v>
      </c>
      <c r="L993" t="n">
        <v>0</v>
      </c>
      <c r="M993" t="n">
        <v>0</v>
      </c>
      <c r="N993" t="n">
        <v>0</v>
      </c>
      <c r="O993" t="n">
        <v>0</v>
      </c>
      <c r="P993" t="n">
        <v>0</v>
      </c>
      <c r="Q993" t="n">
        <v>0</v>
      </c>
      <c r="R993" s="2" t="inlineStr"/>
    </row>
    <row r="994" ht="15" customHeight="1">
      <c r="A994" t="inlineStr">
        <is>
          <t>A 67431-2020</t>
        </is>
      </c>
      <c r="B994" s="1" t="n">
        <v>44180</v>
      </c>
      <c r="C994" s="1" t="n">
        <v>45895</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31812-2022</t>
        </is>
      </c>
      <c r="B995" s="1" t="n">
        <v>44776.66797453703</v>
      </c>
      <c r="C995" s="1" t="n">
        <v>45895</v>
      </c>
      <c r="D995" t="inlineStr">
        <is>
          <t>NORRBOTTENS LÄN</t>
        </is>
      </c>
      <c r="E995" t="inlineStr">
        <is>
          <t>KALIX</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39377-2022</t>
        </is>
      </c>
      <c r="B996" s="1" t="n">
        <v>44817</v>
      </c>
      <c r="C996" s="1" t="n">
        <v>45895</v>
      </c>
      <c r="D996" t="inlineStr">
        <is>
          <t>NORRBOTTENS LÄN</t>
        </is>
      </c>
      <c r="E996" t="inlineStr">
        <is>
          <t>GÄLLIVARE</t>
        </is>
      </c>
      <c r="F996" t="inlineStr">
        <is>
          <t>SCA</t>
        </is>
      </c>
      <c r="G996" t="n">
        <v>11.8</v>
      </c>
      <c r="H996" t="n">
        <v>0</v>
      </c>
      <c r="I996" t="n">
        <v>0</v>
      </c>
      <c r="J996" t="n">
        <v>0</v>
      </c>
      <c r="K996" t="n">
        <v>0</v>
      </c>
      <c r="L996" t="n">
        <v>0</v>
      </c>
      <c r="M996" t="n">
        <v>0</v>
      </c>
      <c r="N996" t="n">
        <v>0</v>
      </c>
      <c r="O996" t="n">
        <v>0</v>
      </c>
      <c r="P996" t="n">
        <v>0</v>
      </c>
      <c r="Q996" t="n">
        <v>0</v>
      </c>
      <c r="R996" s="2" t="inlineStr"/>
    </row>
    <row r="997" ht="15" customHeight="1">
      <c r="A997" t="inlineStr">
        <is>
          <t>A 50902-2020</t>
        </is>
      </c>
      <c r="B997" s="1" t="n">
        <v>44106</v>
      </c>
      <c r="C997" s="1" t="n">
        <v>45895</v>
      </c>
      <c r="D997" t="inlineStr">
        <is>
          <t>NORRBOTTENS LÄN</t>
        </is>
      </c>
      <c r="E997" t="inlineStr">
        <is>
          <t>PITEÅ</t>
        </is>
      </c>
      <c r="G997" t="n">
        <v>3.6</v>
      </c>
      <c r="H997" t="n">
        <v>0</v>
      </c>
      <c r="I997" t="n">
        <v>0</v>
      </c>
      <c r="J997" t="n">
        <v>0</v>
      </c>
      <c r="K997" t="n">
        <v>0</v>
      </c>
      <c r="L997" t="n">
        <v>0</v>
      </c>
      <c r="M997" t="n">
        <v>0</v>
      </c>
      <c r="N997" t="n">
        <v>0</v>
      </c>
      <c r="O997" t="n">
        <v>0</v>
      </c>
      <c r="P997" t="n">
        <v>0</v>
      </c>
      <c r="Q997" t="n">
        <v>0</v>
      </c>
      <c r="R997" s="2" t="inlineStr"/>
    </row>
    <row r="998" ht="15" customHeight="1">
      <c r="A998" t="inlineStr">
        <is>
          <t>A 39379-2022</t>
        </is>
      </c>
      <c r="B998" s="1" t="n">
        <v>44817.94689814815</v>
      </c>
      <c r="C998" s="1" t="n">
        <v>45895</v>
      </c>
      <c r="D998" t="inlineStr">
        <is>
          <t>NORRBOTTENS LÄN</t>
        </is>
      </c>
      <c r="E998" t="inlineStr">
        <is>
          <t>GÄLLIVARE</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39444-2022</t>
        </is>
      </c>
      <c r="B999" s="1" t="n">
        <v>44818</v>
      </c>
      <c r="C999" s="1" t="n">
        <v>45895</v>
      </c>
      <c r="D999" t="inlineStr">
        <is>
          <t>NORRBOTTENS LÄN</t>
        </is>
      </c>
      <c r="E999" t="inlineStr">
        <is>
          <t>ÄLVSBYN</t>
        </is>
      </c>
      <c r="G999" t="n">
        <v>0.9</v>
      </c>
      <c r="H999" t="n">
        <v>0</v>
      </c>
      <c r="I999" t="n">
        <v>0</v>
      </c>
      <c r="J999" t="n">
        <v>0</v>
      </c>
      <c r="K999" t="n">
        <v>0</v>
      </c>
      <c r="L999" t="n">
        <v>0</v>
      </c>
      <c r="M999" t="n">
        <v>0</v>
      </c>
      <c r="N999" t="n">
        <v>0</v>
      </c>
      <c r="O999" t="n">
        <v>0</v>
      </c>
      <c r="P999" t="n">
        <v>0</v>
      </c>
      <c r="Q999" t="n">
        <v>0</v>
      </c>
      <c r="R999" s="2" t="inlineStr"/>
    </row>
    <row r="1000" ht="15" customHeight="1">
      <c r="A1000" t="inlineStr">
        <is>
          <t>A 47808-2022</t>
        </is>
      </c>
      <c r="B1000" s="1" t="n">
        <v>44854</v>
      </c>
      <c r="C1000" s="1" t="n">
        <v>45895</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65543-2020</t>
        </is>
      </c>
      <c r="B1001" s="1" t="n">
        <v>44172</v>
      </c>
      <c r="C1001" s="1" t="n">
        <v>45895</v>
      </c>
      <c r="D1001" t="inlineStr">
        <is>
          <t>NORRBOTTENS LÄN</t>
        </is>
      </c>
      <c r="E1001" t="inlineStr">
        <is>
          <t>PAJALA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45895</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59926-2021</t>
        </is>
      </c>
      <c r="B1003" s="1" t="n">
        <v>44494</v>
      </c>
      <c r="C1003" s="1" t="n">
        <v>45895</v>
      </c>
      <c r="D1003" t="inlineStr">
        <is>
          <t>NORRBOTTENS LÄN</t>
        </is>
      </c>
      <c r="E1003" t="inlineStr">
        <is>
          <t>GÄLLIVARE</t>
        </is>
      </c>
      <c r="F1003" t="inlineStr">
        <is>
          <t>Allmännings- och besparingsskogar</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2757-2021</t>
        </is>
      </c>
      <c r="B1004" s="1" t="n">
        <v>44215</v>
      </c>
      <c r="C1004" s="1" t="n">
        <v>45895</v>
      </c>
      <c r="D1004" t="inlineStr">
        <is>
          <t>NORRBOTTENS LÄN</t>
        </is>
      </c>
      <c r="E1004" t="inlineStr">
        <is>
          <t>KALIX</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37119-2022</t>
        </is>
      </c>
      <c r="B1005" s="1" t="n">
        <v>44806</v>
      </c>
      <c r="C1005" s="1" t="n">
        <v>45895</v>
      </c>
      <c r="D1005" t="inlineStr">
        <is>
          <t>NORRBOTTENS LÄN</t>
        </is>
      </c>
      <c r="E1005" t="inlineStr">
        <is>
          <t>ARVIDSJAUR</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4005-2021</t>
        </is>
      </c>
      <c r="B1006" s="1" t="n">
        <v>44218</v>
      </c>
      <c r="C1006" s="1" t="n">
        <v>45895</v>
      </c>
      <c r="D1006" t="inlineStr">
        <is>
          <t>NORRBOTTENS LÄN</t>
        </is>
      </c>
      <c r="E1006" t="inlineStr">
        <is>
          <t>KALIX</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53769-2022</t>
        </is>
      </c>
      <c r="B1007" s="1" t="n">
        <v>44880</v>
      </c>
      <c r="C1007" s="1" t="n">
        <v>45895</v>
      </c>
      <c r="D1007" t="inlineStr">
        <is>
          <t>NORRBOTTENS LÄN</t>
        </is>
      </c>
      <c r="E1007" t="inlineStr">
        <is>
          <t>KALIX</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45895</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24453-2021</t>
        </is>
      </c>
      <c r="B1009" s="1" t="n">
        <v>44337</v>
      </c>
      <c r="C1009" s="1" t="n">
        <v>45895</v>
      </c>
      <c r="D1009" t="inlineStr">
        <is>
          <t>NORRBOTTENS LÄN</t>
        </is>
      </c>
      <c r="E1009" t="inlineStr">
        <is>
          <t>LULEÅ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30690-2021</t>
        </is>
      </c>
      <c r="B1010" s="1" t="n">
        <v>44365</v>
      </c>
      <c r="C1010" s="1" t="n">
        <v>45895</v>
      </c>
      <c r="D1010" t="inlineStr">
        <is>
          <t>NORRBOTTENS LÄN</t>
        </is>
      </c>
      <c r="E1010" t="inlineStr">
        <is>
          <t>HAPARANDA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64527-2020</t>
        </is>
      </c>
      <c r="B1011" s="1" t="n">
        <v>44166</v>
      </c>
      <c r="C1011" s="1" t="n">
        <v>45895</v>
      </c>
      <c r="D1011" t="inlineStr">
        <is>
          <t>NORRBOTTENS LÄN</t>
        </is>
      </c>
      <c r="E1011" t="inlineStr">
        <is>
          <t>LULEÅ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3843-2022</t>
        </is>
      </c>
      <c r="B1012" s="1" t="n">
        <v>44586</v>
      </c>
      <c r="C1012" s="1" t="n">
        <v>45895</v>
      </c>
      <c r="D1012" t="inlineStr">
        <is>
          <t>NORRBOTTENS LÄN</t>
        </is>
      </c>
      <c r="E1012" t="inlineStr">
        <is>
          <t>LULEÅ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69039-2020</t>
        </is>
      </c>
      <c r="B1013" s="1" t="n">
        <v>44187</v>
      </c>
      <c r="C1013" s="1" t="n">
        <v>45895</v>
      </c>
      <c r="D1013" t="inlineStr">
        <is>
          <t>NORRBOTTENS LÄN</t>
        </is>
      </c>
      <c r="E1013" t="inlineStr">
        <is>
          <t>BODEN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7468-2021</t>
        </is>
      </c>
      <c r="B1014" s="1" t="n">
        <v>44239</v>
      </c>
      <c r="C1014" s="1" t="n">
        <v>45895</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22278-2021</t>
        </is>
      </c>
      <c r="B1015" s="1" t="n">
        <v>44326.44082175926</v>
      </c>
      <c r="C1015" s="1" t="n">
        <v>45895</v>
      </c>
      <c r="D1015" t="inlineStr">
        <is>
          <t>NORRBOTTENS LÄN</t>
        </is>
      </c>
      <c r="E1015" t="inlineStr">
        <is>
          <t>PITEÅ</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65378-2020</t>
        </is>
      </c>
      <c r="B1016" s="1" t="n">
        <v>44168</v>
      </c>
      <c r="C1016" s="1" t="n">
        <v>45895</v>
      </c>
      <c r="D1016" t="inlineStr">
        <is>
          <t>NORRBOTTENS LÄN</t>
        </is>
      </c>
      <c r="E1016" t="inlineStr">
        <is>
          <t>BODEN</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4792-2021</t>
        </is>
      </c>
      <c r="B1017" s="1" t="n">
        <v>44225</v>
      </c>
      <c r="C1017" s="1" t="n">
        <v>45895</v>
      </c>
      <c r="D1017" t="inlineStr">
        <is>
          <t>NORRBOTTENS LÄN</t>
        </is>
      </c>
      <c r="E1017" t="inlineStr">
        <is>
          <t>ÖVERTORNEÅ</t>
        </is>
      </c>
      <c r="G1017" t="n">
        <v>48.7</v>
      </c>
      <c r="H1017" t="n">
        <v>0</v>
      </c>
      <c r="I1017" t="n">
        <v>0</v>
      </c>
      <c r="J1017" t="n">
        <v>0</v>
      </c>
      <c r="K1017" t="n">
        <v>0</v>
      </c>
      <c r="L1017" t="n">
        <v>0</v>
      </c>
      <c r="M1017" t="n">
        <v>0</v>
      </c>
      <c r="N1017" t="n">
        <v>0</v>
      </c>
      <c r="O1017" t="n">
        <v>0</v>
      </c>
      <c r="P1017" t="n">
        <v>0</v>
      </c>
      <c r="Q1017" t="n">
        <v>0</v>
      </c>
      <c r="R1017" s="2" t="inlineStr"/>
    </row>
    <row r="1018" ht="15" customHeight="1">
      <c r="A1018" t="inlineStr">
        <is>
          <t>A 56024-2020</t>
        </is>
      </c>
      <c r="B1018" s="1" t="n">
        <v>44132</v>
      </c>
      <c r="C1018" s="1" t="n">
        <v>45895</v>
      </c>
      <c r="D1018" t="inlineStr">
        <is>
          <t>NORRBOTTENS LÄN</t>
        </is>
      </c>
      <c r="E1018" t="inlineStr">
        <is>
          <t>ÖVERTORNEÅ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13740-2021</t>
        </is>
      </c>
      <c r="B1019" s="1" t="n">
        <v>44274</v>
      </c>
      <c r="C1019" s="1" t="n">
        <v>45895</v>
      </c>
      <c r="D1019" t="inlineStr">
        <is>
          <t>NORRBOTTENS LÄN</t>
        </is>
      </c>
      <c r="E1019" t="inlineStr">
        <is>
          <t>BODEN</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52205-2022</t>
        </is>
      </c>
      <c r="B1020" s="1" t="n">
        <v>44868</v>
      </c>
      <c r="C1020" s="1" t="n">
        <v>45895</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58578-2020</t>
        </is>
      </c>
      <c r="B1021" s="1" t="n">
        <v>44144</v>
      </c>
      <c r="C1021" s="1" t="n">
        <v>45895</v>
      </c>
      <c r="D1021" t="inlineStr">
        <is>
          <t>NORRBOTTENS LÄN</t>
        </is>
      </c>
      <c r="E1021" t="inlineStr">
        <is>
          <t>JOKKMOKK</t>
        </is>
      </c>
      <c r="F1021" t="inlineStr">
        <is>
          <t>Övriga statliga verk och myndigheter</t>
        </is>
      </c>
      <c r="G1021" t="n">
        <v>20.4</v>
      </c>
      <c r="H1021" t="n">
        <v>0</v>
      </c>
      <c r="I1021" t="n">
        <v>0</v>
      </c>
      <c r="J1021" t="n">
        <v>0</v>
      </c>
      <c r="K1021" t="n">
        <v>0</v>
      </c>
      <c r="L1021" t="n">
        <v>0</v>
      </c>
      <c r="M1021" t="n">
        <v>0</v>
      </c>
      <c r="N1021" t="n">
        <v>0</v>
      </c>
      <c r="O1021" t="n">
        <v>0</v>
      </c>
      <c r="P1021" t="n">
        <v>0</v>
      </c>
      <c r="Q1021" t="n">
        <v>0</v>
      </c>
      <c r="R1021" s="2" t="inlineStr"/>
    </row>
    <row r="1022" ht="15" customHeight="1">
      <c r="A1022" t="inlineStr">
        <is>
          <t>A 10619-2021</t>
        </is>
      </c>
      <c r="B1022" s="1" t="n">
        <v>44258</v>
      </c>
      <c r="C1022" s="1" t="n">
        <v>45895</v>
      </c>
      <c r="D1022" t="inlineStr">
        <is>
          <t>NORRBOTTENS LÄN</t>
        </is>
      </c>
      <c r="E1022" t="inlineStr">
        <is>
          <t>ÖVERTORNEÅ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29811-2021</t>
        </is>
      </c>
      <c r="B1023" s="1" t="n">
        <v>44362</v>
      </c>
      <c r="C1023" s="1" t="n">
        <v>45895</v>
      </c>
      <c r="D1023" t="inlineStr">
        <is>
          <t>NORRBOTTENS LÄN</t>
        </is>
      </c>
      <c r="E1023" t="inlineStr">
        <is>
          <t>PITEÅ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1052-2022</t>
        </is>
      </c>
      <c r="B1024" s="1" t="n">
        <v>44571.69283564815</v>
      </c>
      <c r="C1024" s="1" t="n">
        <v>45895</v>
      </c>
      <c r="D1024" t="inlineStr">
        <is>
          <t>NORRBOTTENS LÄN</t>
        </is>
      </c>
      <c r="E1024" t="inlineStr">
        <is>
          <t>HAPARANDA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8721-2021</t>
        </is>
      </c>
      <c r="B1025" s="1" t="n">
        <v>44246</v>
      </c>
      <c r="C1025" s="1" t="n">
        <v>45895</v>
      </c>
      <c r="D1025" t="inlineStr">
        <is>
          <t>NORRBOTTENS LÄN</t>
        </is>
      </c>
      <c r="E1025" t="inlineStr">
        <is>
          <t>ARJEPLOG</t>
        </is>
      </c>
      <c r="F1025" t="inlineStr">
        <is>
          <t>Sveaskog</t>
        </is>
      </c>
      <c r="G1025" t="n">
        <v>48.3</v>
      </c>
      <c r="H1025" t="n">
        <v>0</v>
      </c>
      <c r="I1025" t="n">
        <v>0</v>
      </c>
      <c r="J1025" t="n">
        <v>0</v>
      </c>
      <c r="K1025" t="n">
        <v>0</v>
      </c>
      <c r="L1025" t="n">
        <v>0</v>
      </c>
      <c r="M1025" t="n">
        <v>0</v>
      </c>
      <c r="N1025" t="n">
        <v>0</v>
      </c>
      <c r="O1025" t="n">
        <v>0</v>
      </c>
      <c r="P1025" t="n">
        <v>0</v>
      </c>
      <c r="Q1025" t="n">
        <v>0</v>
      </c>
      <c r="R1025" s="2" t="inlineStr"/>
    </row>
    <row r="1026" ht="15" customHeight="1">
      <c r="A1026" t="inlineStr">
        <is>
          <t>A 6110-2022</t>
        </is>
      </c>
      <c r="B1026" s="1" t="n">
        <v>44599</v>
      </c>
      <c r="C1026" s="1" t="n">
        <v>45895</v>
      </c>
      <c r="D1026" t="inlineStr">
        <is>
          <t>NORRBOTTENS LÄN</t>
        </is>
      </c>
      <c r="E1026" t="inlineStr">
        <is>
          <t>PITEÅ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45895</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15884-2021</t>
        </is>
      </c>
      <c r="B1028" s="1" t="n">
        <v>44286</v>
      </c>
      <c r="C1028" s="1" t="n">
        <v>45895</v>
      </c>
      <c r="D1028" t="inlineStr">
        <is>
          <t>NORRBOTTENS LÄN</t>
        </is>
      </c>
      <c r="E1028" t="inlineStr">
        <is>
          <t>BODEN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15956-2021</t>
        </is>
      </c>
      <c r="B1029" s="1" t="n">
        <v>44286</v>
      </c>
      <c r="C1029" s="1" t="n">
        <v>45895</v>
      </c>
      <c r="D1029" t="inlineStr">
        <is>
          <t>NORRBOTTENS LÄN</t>
        </is>
      </c>
      <c r="E1029" t="inlineStr">
        <is>
          <t>KALIX</t>
        </is>
      </c>
      <c r="G1029" t="n">
        <v>16.8</v>
      </c>
      <c r="H1029" t="n">
        <v>0</v>
      </c>
      <c r="I1029" t="n">
        <v>0</v>
      </c>
      <c r="J1029" t="n">
        <v>0</v>
      </c>
      <c r="K1029" t="n">
        <v>0</v>
      </c>
      <c r="L1029" t="n">
        <v>0</v>
      </c>
      <c r="M1029" t="n">
        <v>0</v>
      </c>
      <c r="N1029" t="n">
        <v>0</v>
      </c>
      <c r="O1029" t="n">
        <v>0</v>
      </c>
      <c r="P1029" t="n">
        <v>0</v>
      </c>
      <c r="Q1029" t="n">
        <v>0</v>
      </c>
      <c r="R1029" s="2" t="inlineStr"/>
    </row>
    <row r="1030" ht="15" customHeight="1">
      <c r="A1030" t="inlineStr">
        <is>
          <t>A 48778-2020</t>
        </is>
      </c>
      <c r="B1030" s="1" t="n">
        <v>44099</v>
      </c>
      <c r="C1030" s="1" t="n">
        <v>45895</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13859-2021</t>
        </is>
      </c>
      <c r="B1031" s="1" t="n">
        <v>44277</v>
      </c>
      <c r="C1031" s="1" t="n">
        <v>45895</v>
      </c>
      <c r="D1031" t="inlineStr">
        <is>
          <t>NORRBOTTENS LÄN</t>
        </is>
      </c>
      <c r="E1031" t="inlineStr">
        <is>
          <t>ÖVERTORNEÅ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13866-2021</t>
        </is>
      </c>
      <c r="B1032" s="1" t="n">
        <v>44277</v>
      </c>
      <c r="C1032" s="1" t="n">
        <v>45895</v>
      </c>
      <c r="D1032" t="inlineStr">
        <is>
          <t>NORRBOTTENS LÄN</t>
        </is>
      </c>
      <c r="E1032" t="inlineStr">
        <is>
          <t>ÖVERTORNEÅ</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54842-2022</t>
        </is>
      </c>
      <c r="B1033" s="1" t="n">
        <v>44883</v>
      </c>
      <c r="C1033" s="1" t="n">
        <v>45895</v>
      </c>
      <c r="D1033" t="inlineStr">
        <is>
          <t>NORRBOTTENS LÄN</t>
        </is>
      </c>
      <c r="E1033" t="inlineStr">
        <is>
          <t>GÄLLIVARE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9527-2022</t>
        </is>
      </c>
      <c r="B1034" s="1" t="n">
        <v>44617</v>
      </c>
      <c r="C1034" s="1" t="n">
        <v>45895</v>
      </c>
      <c r="D1034" t="inlineStr">
        <is>
          <t>NORRBOTTENS LÄN</t>
        </is>
      </c>
      <c r="E1034" t="inlineStr">
        <is>
          <t>BODEN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10778-2022</t>
        </is>
      </c>
      <c r="B1035" s="1" t="n">
        <v>44627</v>
      </c>
      <c r="C1035" s="1" t="n">
        <v>45895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13592-2022</t>
        </is>
      </c>
      <c r="B1036" s="1" t="n">
        <v>44648</v>
      </c>
      <c r="C1036" s="1" t="n">
        <v>45895</v>
      </c>
      <c r="D1036" t="inlineStr">
        <is>
          <t>NORRBOTTENS LÄN</t>
        </is>
      </c>
      <c r="E1036" t="inlineStr">
        <is>
          <t>BODEN</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13744-2021</t>
        </is>
      </c>
      <c r="B1037" s="1" t="n">
        <v>44274</v>
      </c>
      <c r="C1037" s="1" t="n">
        <v>45895</v>
      </c>
      <c r="D1037" t="inlineStr">
        <is>
          <t>NORRBOTTENS LÄN</t>
        </is>
      </c>
      <c r="E1037" t="inlineStr">
        <is>
          <t>BODEN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11793-2022</t>
        </is>
      </c>
      <c r="B1038" s="1" t="n">
        <v>44634</v>
      </c>
      <c r="C1038" s="1" t="n">
        <v>45895</v>
      </c>
      <c r="D1038" t="inlineStr">
        <is>
          <t>NORRBOTTENS LÄN</t>
        </is>
      </c>
      <c r="E1038" t="inlineStr">
        <is>
          <t>LULEÅ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45185-2021</t>
        </is>
      </c>
      <c r="B1039" s="1" t="n">
        <v>44439</v>
      </c>
      <c r="C1039" s="1" t="n">
        <v>45895</v>
      </c>
      <c r="D1039" t="inlineStr">
        <is>
          <t>NORRBOTTENS LÄN</t>
        </is>
      </c>
      <c r="E1039" t="inlineStr">
        <is>
          <t>BODEN</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15159-2021</t>
        </is>
      </c>
      <c r="B1040" s="1" t="n">
        <v>44284</v>
      </c>
      <c r="C1040" s="1" t="n">
        <v>45895</v>
      </c>
      <c r="D1040" t="inlineStr">
        <is>
          <t>NORRBOTTENS LÄN</t>
        </is>
      </c>
      <c r="E1040" t="inlineStr">
        <is>
          <t>BODEN</t>
        </is>
      </c>
      <c r="F1040" t="inlineStr">
        <is>
          <t>Övriga statliga verk och myndigheter</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17781-2021</t>
        </is>
      </c>
      <c r="B1041" s="1" t="n">
        <v>44300</v>
      </c>
      <c r="C1041" s="1" t="n">
        <v>45895</v>
      </c>
      <c r="D1041" t="inlineStr">
        <is>
          <t>NORRBOTTENS LÄN</t>
        </is>
      </c>
      <c r="E1041" t="inlineStr">
        <is>
          <t>KALIX</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68269-2020</t>
        </is>
      </c>
      <c r="B1042" s="1" t="n">
        <v>44183</v>
      </c>
      <c r="C1042" s="1" t="n">
        <v>45895</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55785-2020</t>
        </is>
      </c>
      <c r="B1043" s="1" t="n">
        <v>44131</v>
      </c>
      <c r="C1043" s="1" t="n">
        <v>45895</v>
      </c>
      <c r="D1043" t="inlineStr">
        <is>
          <t>NORRBOTTENS LÄN</t>
        </is>
      </c>
      <c r="E1043" t="inlineStr">
        <is>
          <t>PAJALA</t>
        </is>
      </c>
      <c r="G1043" t="n">
        <v>22.2</v>
      </c>
      <c r="H1043" t="n">
        <v>0</v>
      </c>
      <c r="I1043" t="n">
        <v>0</v>
      </c>
      <c r="J1043" t="n">
        <v>0</v>
      </c>
      <c r="K1043" t="n">
        <v>0</v>
      </c>
      <c r="L1043" t="n">
        <v>0</v>
      </c>
      <c r="M1043" t="n">
        <v>0</v>
      </c>
      <c r="N1043" t="n">
        <v>0</v>
      </c>
      <c r="O1043" t="n">
        <v>0</v>
      </c>
      <c r="P1043" t="n">
        <v>0</v>
      </c>
      <c r="Q1043" t="n">
        <v>0</v>
      </c>
      <c r="R1043" s="2" t="inlineStr"/>
    </row>
    <row r="1044" ht="15" customHeight="1">
      <c r="A1044" t="inlineStr">
        <is>
          <t>A 15075-2021</t>
        </is>
      </c>
      <c r="B1044" s="1" t="n">
        <v>44281</v>
      </c>
      <c r="C1044" s="1" t="n">
        <v>45895</v>
      </c>
      <c r="D1044" t="inlineStr">
        <is>
          <t>NORRBOTTENS LÄN</t>
        </is>
      </c>
      <c r="E1044" t="inlineStr">
        <is>
          <t>ÖVERKALIX</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21748-2021</t>
        </is>
      </c>
      <c r="B1045" s="1" t="n">
        <v>44322.55153935185</v>
      </c>
      <c r="C1045" s="1" t="n">
        <v>45895</v>
      </c>
      <c r="D1045" t="inlineStr">
        <is>
          <t>NORRBOTTENS LÄN</t>
        </is>
      </c>
      <c r="E1045" t="inlineStr">
        <is>
          <t>HAPARANDA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21787-2021</t>
        </is>
      </c>
      <c r="B1046" s="1" t="n">
        <v>44319</v>
      </c>
      <c r="C1046" s="1" t="n">
        <v>45895</v>
      </c>
      <c r="D1046" t="inlineStr">
        <is>
          <t>NORRBOTTENS LÄN</t>
        </is>
      </c>
      <c r="E1046" t="inlineStr">
        <is>
          <t>KALIX</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21790-2021</t>
        </is>
      </c>
      <c r="B1047" s="1" t="n">
        <v>44319</v>
      </c>
      <c r="C1047" s="1" t="n">
        <v>45895</v>
      </c>
      <c r="D1047" t="inlineStr">
        <is>
          <t>NORRBOTTENS LÄN</t>
        </is>
      </c>
      <c r="E1047" t="inlineStr">
        <is>
          <t>KALIX</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21792-2021</t>
        </is>
      </c>
      <c r="B1048" s="1" t="n">
        <v>44319</v>
      </c>
      <c r="C1048" s="1" t="n">
        <v>45895</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45002-2020</t>
        </is>
      </c>
      <c r="B1049" s="1" t="n">
        <v>44083</v>
      </c>
      <c r="C1049" s="1" t="n">
        <v>45895</v>
      </c>
      <c r="D1049" t="inlineStr">
        <is>
          <t>NORRBOTTENS LÄN</t>
        </is>
      </c>
      <c r="E1049" t="inlineStr">
        <is>
          <t>PAJALA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47189-2020</t>
        </is>
      </c>
      <c r="B1050" s="1" t="n">
        <v>44092</v>
      </c>
      <c r="C1050" s="1" t="n">
        <v>45895</v>
      </c>
      <c r="D1050" t="inlineStr">
        <is>
          <t>NORRBOTTENS LÄN</t>
        </is>
      </c>
      <c r="E1050" t="inlineStr">
        <is>
          <t>ARVIDSJAUR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46032-2021</t>
        </is>
      </c>
      <c r="B1051" s="1" t="n">
        <v>44441</v>
      </c>
      <c r="C1051" s="1" t="n">
        <v>45895</v>
      </c>
      <c r="D1051" t="inlineStr">
        <is>
          <t>NORRBOTTENS LÄN</t>
        </is>
      </c>
      <c r="E1051" t="inlineStr">
        <is>
          <t>ÖVERTORNEÅ</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59558-2021</t>
        </is>
      </c>
      <c r="B1052" s="1" t="n">
        <v>44491.60335648148</v>
      </c>
      <c r="C1052" s="1" t="n">
        <v>45895</v>
      </c>
      <c r="D1052" t="inlineStr">
        <is>
          <t>NORRBOTTENS LÄN</t>
        </is>
      </c>
      <c r="E1052" t="inlineStr">
        <is>
          <t>LULEÅ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34962-2021</t>
        </is>
      </c>
      <c r="B1053" s="1" t="n">
        <v>44382</v>
      </c>
      <c r="C1053" s="1" t="n">
        <v>45895</v>
      </c>
      <c r="D1053" t="inlineStr">
        <is>
          <t>NORRBOTTENS LÄN</t>
        </is>
      </c>
      <c r="E1053" t="inlineStr">
        <is>
          <t>ARVIDSJAUR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56888-2021</t>
        </is>
      </c>
      <c r="B1054" s="1" t="n">
        <v>44481</v>
      </c>
      <c r="C1054" s="1" t="n">
        <v>45895</v>
      </c>
      <c r="D1054" t="inlineStr">
        <is>
          <t>NORRBOTTENS LÄN</t>
        </is>
      </c>
      <c r="E1054" t="inlineStr">
        <is>
          <t>PITEÅ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12834-2022</t>
        </is>
      </c>
      <c r="B1055" s="1" t="n">
        <v>44642</v>
      </c>
      <c r="C1055" s="1" t="n">
        <v>45895</v>
      </c>
      <c r="D1055" t="inlineStr">
        <is>
          <t>NORRBOTTENS LÄN</t>
        </is>
      </c>
      <c r="E1055" t="inlineStr">
        <is>
          <t>PAJALA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45895</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13576-2021</t>
        </is>
      </c>
      <c r="B1057" s="1" t="n">
        <v>44273.94385416667</v>
      </c>
      <c r="C1057" s="1" t="n">
        <v>45895</v>
      </c>
      <c r="D1057" t="inlineStr">
        <is>
          <t>NORRBOTTENS LÄN</t>
        </is>
      </c>
      <c r="E1057" t="inlineStr">
        <is>
          <t>ÖVERTORNEÅ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18578-2021</t>
        </is>
      </c>
      <c r="B1058" s="1" t="n">
        <v>44305</v>
      </c>
      <c r="C1058" s="1" t="n">
        <v>45895</v>
      </c>
      <c r="D1058" t="inlineStr">
        <is>
          <t>NORRBOTTENS LÄN</t>
        </is>
      </c>
      <c r="E1058" t="inlineStr">
        <is>
          <t>ÖVERTORNEÅ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18248-2022</t>
        </is>
      </c>
      <c r="B1059" s="1" t="n">
        <v>44685</v>
      </c>
      <c r="C1059" s="1" t="n">
        <v>45895</v>
      </c>
      <c r="D1059" t="inlineStr">
        <is>
          <t>NORRBOTTENS LÄN</t>
        </is>
      </c>
      <c r="E1059" t="inlineStr">
        <is>
          <t>JOKKMOKK</t>
        </is>
      </c>
      <c r="F1059" t="inlineStr">
        <is>
          <t>Övriga statliga verk och myndigheter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57984-2021</t>
        </is>
      </c>
      <c r="B1060" s="1" t="n">
        <v>44487</v>
      </c>
      <c r="C1060" s="1" t="n">
        <v>45895</v>
      </c>
      <c r="D1060" t="inlineStr">
        <is>
          <t>NORRBOTTENS LÄN</t>
        </is>
      </c>
      <c r="E1060" t="inlineStr">
        <is>
          <t>ARVIDSJAUR</t>
        </is>
      </c>
      <c r="F1060" t="inlineStr">
        <is>
          <t>Sveaskog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21797-2021</t>
        </is>
      </c>
      <c r="B1061" s="1" t="n">
        <v>44322</v>
      </c>
      <c r="C1061" s="1" t="n">
        <v>45895</v>
      </c>
      <c r="D1061" t="inlineStr">
        <is>
          <t>NORRBOTTENS LÄN</t>
        </is>
      </c>
      <c r="E1061" t="inlineStr">
        <is>
          <t>ARVIDSJAUR</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25070-2021</t>
        </is>
      </c>
      <c r="B1062" s="1" t="n">
        <v>44341.63340277778</v>
      </c>
      <c r="C1062" s="1" t="n">
        <v>45895</v>
      </c>
      <c r="D1062" t="inlineStr">
        <is>
          <t>NORRBOTTENS LÄN</t>
        </is>
      </c>
      <c r="E1062" t="inlineStr">
        <is>
          <t>ÖVERKALIX</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24789-2021</t>
        </is>
      </c>
      <c r="B1063" s="1" t="n">
        <v>44340</v>
      </c>
      <c r="C1063" s="1" t="n">
        <v>45895</v>
      </c>
      <c r="D1063" t="inlineStr">
        <is>
          <t>NORRBOTTENS LÄN</t>
        </is>
      </c>
      <c r="E1063" t="inlineStr">
        <is>
          <t>KIRUNA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29557-2021</t>
        </is>
      </c>
      <c r="B1064" s="1" t="n">
        <v>44361</v>
      </c>
      <c r="C1064" s="1" t="n">
        <v>45895</v>
      </c>
      <c r="D1064" t="inlineStr">
        <is>
          <t>NORRBOTTENS LÄN</t>
        </is>
      </c>
      <c r="E1064" t="inlineStr">
        <is>
          <t>PITEÅ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50087-2021</t>
        </is>
      </c>
      <c r="B1065" s="1" t="n">
        <v>44456.59774305556</v>
      </c>
      <c r="C1065" s="1" t="n">
        <v>45895</v>
      </c>
      <c r="D1065" t="inlineStr">
        <is>
          <t>NORRBOTTENS LÄN</t>
        </is>
      </c>
      <c r="E1065" t="inlineStr">
        <is>
          <t>LULEÅ</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58346-2020</t>
        </is>
      </c>
      <c r="B1066" s="1" t="n">
        <v>44141</v>
      </c>
      <c r="C1066" s="1" t="n">
        <v>45895</v>
      </c>
      <c r="D1066" t="inlineStr">
        <is>
          <t>NORRBOTTENS LÄN</t>
        </is>
      </c>
      <c r="E1066" t="inlineStr">
        <is>
          <t>PITEÅ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62115-2021</t>
        </is>
      </c>
      <c r="B1067" s="1" t="n">
        <v>44502</v>
      </c>
      <c r="C1067" s="1" t="n">
        <v>45895</v>
      </c>
      <c r="D1067" t="inlineStr">
        <is>
          <t>NORRBOTTENS LÄN</t>
        </is>
      </c>
      <c r="E1067" t="inlineStr">
        <is>
          <t>PITEÅ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53747-2020</t>
        </is>
      </c>
      <c r="B1068" s="1" t="n">
        <v>44124</v>
      </c>
      <c r="C1068" s="1" t="n">
        <v>45895</v>
      </c>
      <c r="D1068" t="inlineStr">
        <is>
          <t>NORRBOTTENS LÄN</t>
        </is>
      </c>
      <c r="E1068" t="inlineStr">
        <is>
          <t>ÖVERKALIX</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35908-2021</t>
        </is>
      </c>
      <c r="B1069" s="1" t="n">
        <v>44387</v>
      </c>
      <c r="C1069" s="1" t="n">
        <v>45895</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35994-2021</t>
        </is>
      </c>
      <c r="B1070" s="1" t="n">
        <v>44386</v>
      </c>
      <c r="C1070" s="1" t="n">
        <v>45895</v>
      </c>
      <c r="D1070" t="inlineStr">
        <is>
          <t>NORRBOTTENS LÄN</t>
        </is>
      </c>
      <c r="E1070" t="inlineStr">
        <is>
          <t>PITEÅ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36538-2021</t>
        </is>
      </c>
      <c r="B1071" s="1" t="n">
        <v>44391</v>
      </c>
      <c r="C1071" s="1" t="n">
        <v>45895</v>
      </c>
      <c r="D1071" t="inlineStr">
        <is>
          <t>NORRBOTTENS LÄN</t>
        </is>
      </c>
      <c r="E1071" t="inlineStr">
        <is>
          <t>KALIX</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64889-2021</t>
        </is>
      </c>
      <c r="B1072" s="1" t="n">
        <v>44512</v>
      </c>
      <c r="C1072" s="1" t="n">
        <v>45895</v>
      </c>
      <c r="D1072" t="inlineStr">
        <is>
          <t>NORRBOTTENS LÄN</t>
        </is>
      </c>
      <c r="E1072" t="inlineStr">
        <is>
          <t>KALIX</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52751-2022</t>
        </is>
      </c>
      <c r="B1073" s="1" t="n">
        <v>44875</v>
      </c>
      <c r="C1073" s="1" t="n">
        <v>45895</v>
      </c>
      <c r="D1073" t="inlineStr">
        <is>
          <t>NORRBOTTENS LÄN</t>
        </is>
      </c>
      <c r="E1073" t="inlineStr">
        <is>
          <t>PAJALA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49210-2020</t>
        </is>
      </c>
      <c r="B1074" s="1" t="n">
        <v>44099</v>
      </c>
      <c r="C1074" s="1" t="n">
        <v>45895</v>
      </c>
      <c r="D1074" t="inlineStr">
        <is>
          <t>NORRBOTTENS LÄN</t>
        </is>
      </c>
      <c r="E1074" t="inlineStr">
        <is>
          <t>KALIX</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58944-2021</t>
        </is>
      </c>
      <c r="B1075" s="1" t="n">
        <v>44489.92234953704</v>
      </c>
      <c r="C1075" s="1" t="n">
        <v>45895</v>
      </c>
      <c r="D1075" t="inlineStr">
        <is>
          <t>NORRBOTTENS LÄN</t>
        </is>
      </c>
      <c r="E1075" t="inlineStr">
        <is>
          <t>PITEÅ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47062-2022</t>
        </is>
      </c>
      <c r="B1076" s="1" t="n">
        <v>44851</v>
      </c>
      <c r="C1076" s="1" t="n">
        <v>45895</v>
      </c>
      <c r="D1076" t="inlineStr">
        <is>
          <t>NORRBOTTENS LÄN</t>
        </is>
      </c>
      <c r="E1076" t="inlineStr">
        <is>
          <t>KALIX</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44751-2022</t>
        </is>
      </c>
      <c r="B1077" s="1" t="n">
        <v>44840</v>
      </c>
      <c r="C1077" s="1" t="n">
        <v>45895</v>
      </c>
      <c r="D1077" t="inlineStr">
        <is>
          <t>NORRBOTTENS LÄN</t>
        </is>
      </c>
      <c r="E1077" t="inlineStr">
        <is>
          <t>ARJEPLOG</t>
        </is>
      </c>
      <c r="F1077" t="inlineStr">
        <is>
          <t>SCA</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29775-2021</t>
        </is>
      </c>
      <c r="B1078" s="1" t="n">
        <v>44362</v>
      </c>
      <c r="C1078" s="1" t="n">
        <v>45895</v>
      </c>
      <c r="D1078" t="inlineStr">
        <is>
          <t>NORRBOTTENS LÄN</t>
        </is>
      </c>
      <c r="E1078" t="inlineStr">
        <is>
          <t>ÖVERKALIX</t>
        </is>
      </c>
      <c r="F1078" t="inlineStr">
        <is>
          <t>Sveaskog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23063-2021</t>
        </is>
      </c>
      <c r="B1079" s="1" t="n">
        <v>44329.85693287037</v>
      </c>
      <c r="C1079" s="1" t="n">
        <v>45895</v>
      </c>
      <c r="D1079" t="inlineStr">
        <is>
          <t>NORRBOTTENS LÄN</t>
        </is>
      </c>
      <c r="E1079" t="inlineStr">
        <is>
          <t>ÄLVSBYN</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50322-2022</t>
        </is>
      </c>
      <c r="B1080" s="1" t="n">
        <v>44865</v>
      </c>
      <c r="C1080" s="1" t="n">
        <v>45895</v>
      </c>
      <c r="D1080" t="inlineStr">
        <is>
          <t>NORRBOTTENS LÄN</t>
        </is>
      </c>
      <c r="E1080" t="inlineStr">
        <is>
          <t>BODEN</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27108-2022</t>
        </is>
      </c>
      <c r="B1081" s="1" t="n">
        <v>44741</v>
      </c>
      <c r="C1081" s="1" t="n">
        <v>45895</v>
      </c>
      <c r="D1081" t="inlineStr">
        <is>
          <t>NORRBOTTENS LÄN</t>
        </is>
      </c>
      <c r="E1081" t="inlineStr">
        <is>
          <t>LULEÅ</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44525-2021</t>
        </is>
      </c>
      <c r="B1082" s="1" t="n">
        <v>44435</v>
      </c>
      <c r="C1082" s="1" t="n">
        <v>45895</v>
      </c>
      <c r="D1082" t="inlineStr">
        <is>
          <t>NORRBOTTENS LÄN</t>
        </is>
      </c>
      <c r="E1082" t="inlineStr">
        <is>
          <t>KALIX</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34444-2021</t>
        </is>
      </c>
      <c r="B1083" s="1" t="n">
        <v>44381</v>
      </c>
      <c r="C1083" s="1" t="n">
        <v>45895</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45895</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45895</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45895</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45895</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49761-2021</t>
        </is>
      </c>
      <c r="B1088" s="1" t="n">
        <v>44455</v>
      </c>
      <c r="C1088" s="1" t="n">
        <v>45895</v>
      </c>
      <c r="D1088" t="inlineStr">
        <is>
          <t>NORRBOTTENS LÄN</t>
        </is>
      </c>
      <c r="E1088" t="inlineStr">
        <is>
          <t>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49773-2021</t>
        </is>
      </c>
      <c r="B1089" s="1" t="n">
        <v>44455</v>
      </c>
      <c r="C1089" s="1" t="n">
        <v>45895</v>
      </c>
      <c r="D1089" t="inlineStr">
        <is>
          <t>NORRBOTTENS LÄN</t>
        </is>
      </c>
      <c r="E1089" t="inlineStr">
        <is>
          <t>ÄLVSBYN</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45895</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45895</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45895</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45895</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45895</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45895</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45895</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2248-2021</t>
        </is>
      </c>
      <c r="B1097" s="1" t="n">
        <v>44211</v>
      </c>
      <c r="C1097" s="1" t="n">
        <v>45895</v>
      </c>
      <c r="D1097" t="inlineStr">
        <is>
          <t>NORRBOTTENS LÄN</t>
        </is>
      </c>
      <c r="E1097" t="inlineStr">
        <is>
          <t>PITEÅ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45895</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45895</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45895</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3783-2022</t>
        </is>
      </c>
      <c r="B1101" s="1" t="n">
        <v>44586.93534722222</v>
      </c>
      <c r="C1101" s="1" t="n">
        <v>45895</v>
      </c>
      <c r="D1101" t="inlineStr">
        <is>
          <t>NORRBOTTENS LÄN</t>
        </is>
      </c>
      <c r="E1101" t="inlineStr">
        <is>
          <t>JOKKMOKK</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44413.64061342592</v>
      </c>
      <c r="C1102" s="1" t="n">
        <v>45895</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45895</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48368-2021</t>
        </is>
      </c>
      <c r="B1104" s="1" t="n">
        <v>44451</v>
      </c>
      <c r="C1104" s="1" t="n">
        <v>45895</v>
      </c>
      <c r="D1104" t="inlineStr">
        <is>
          <t>NORRBOTTENS LÄN</t>
        </is>
      </c>
      <c r="E1104" t="inlineStr">
        <is>
          <t>PAJALA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45895</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45895</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45895</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15194-2022</t>
        </is>
      </c>
      <c r="B1108" s="1" t="n">
        <v>44658.62795138889</v>
      </c>
      <c r="C1108" s="1" t="n">
        <v>45895</v>
      </c>
      <c r="D1108" t="inlineStr">
        <is>
          <t>NORRBOTTENS LÄN</t>
        </is>
      </c>
      <c r="E1108" t="inlineStr">
        <is>
          <t>LULEÅ</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49013-2020</t>
        </is>
      </c>
      <c r="B1109" s="1" t="n">
        <v>44104</v>
      </c>
      <c r="C1109" s="1" t="n">
        <v>45895</v>
      </c>
      <c r="D1109" t="inlineStr">
        <is>
          <t>NORRBOTTENS LÄN</t>
        </is>
      </c>
      <c r="E1109" t="inlineStr">
        <is>
          <t>GÄLLIVARE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11847-2021</t>
        </is>
      </c>
      <c r="B1110" s="1" t="n">
        <v>44264</v>
      </c>
      <c r="C1110" s="1" t="n">
        <v>45895</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4247-2021</t>
        </is>
      </c>
      <c r="B1111" s="1" t="n">
        <v>44223</v>
      </c>
      <c r="C1111" s="1" t="n">
        <v>45895</v>
      </c>
      <c r="D1111" t="inlineStr">
        <is>
          <t>NORRBOTTENS LÄN</t>
        </is>
      </c>
      <c r="E1111" t="inlineStr">
        <is>
          <t>BODEN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45895</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45895</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45895</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42176-2020</t>
        </is>
      </c>
      <c r="B1115" s="1" t="n">
        <v>44075</v>
      </c>
      <c r="C1115" s="1" t="n">
        <v>45895</v>
      </c>
      <c r="D1115" t="inlineStr">
        <is>
          <t>NORRBOTTENS LÄN</t>
        </is>
      </c>
      <c r="E1115" t="inlineStr">
        <is>
          <t>LULEÅ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53640-2021</t>
        </is>
      </c>
      <c r="B1116" s="1" t="n">
        <v>44469.40788194445</v>
      </c>
      <c r="C1116" s="1" t="n">
        <v>45895</v>
      </c>
      <c r="D1116" t="inlineStr">
        <is>
          <t>NORRBOTTENS LÄN</t>
        </is>
      </c>
      <c r="E1116" t="inlineStr">
        <is>
          <t>KALIX</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49030-2021</t>
        </is>
      </c>
      <c r="B1117" s="1" t="n">
        <v>44453</v>
      </c>
      <c r="C1117" s="1" t="n">
        <v>45895</v>
      </c>
      <c r="D1117" t="inlineStr">
        <is>
          <t>NORRBOTTENS LÄN</t>
        </is>
      </c>
      <c r="E1117" t="inlineStr">
        <is>
          <t>PITEÅ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50744-2021</t>
        </is>
      </c>
      <c r="B1118" s="1" t="n">
        <v>44460</v>
      </c>
      <c r="C1118" s="1" t="n">
        <v>45895</v>
      </c>
      <c r="D1118" t="inlineStr">
        <is>
          <t>NORRBOTTENS LÄN</t>
        </is>
      </c>
      <c r="E1118" t="inlineStr">
        <is>
          <t>ÄLVSBYN</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45895</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49742-2020</t>
        </is>
      </c>
      <c r="B1120" s="1" t="n">
        <v>44103</v>
      </c>
      <c r="C1120" s="1" t="n">
        <v>45895</v>
      </c>
      <c r="D1120" t="inlineStr">
        <is>
          <t>NORRBOTTENS LÄN</t>
        </is>
      </c>
      <c r="E1120" t="inlineStr">
        <is>
          <t>PITEÅ</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45895</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50617-2020</t>
        </is>
      </c>
      <c r="B1122" s="1" t="n">
        <v>44110</v>
      </c>
      <c r="C1122" s="1" t="n">
        <v>45895</v>
      </c>
      <c r="D1122" t="inlineStr">
        <is>
          <t>NORRBOTTENS LÄN</t>
        </is>
      </c>
      <c r="E1122" t="inlineStr">
        <is>
          <t>BODEN</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71683-2021</t>
        </is>
      </c>
      <c r="B1123" s="1" t="n">
        <v>44543</v>
      </c>
      <c r="C1123" s="1" t="n">
        <v>45895</v>
      </c>
      <c r="D1123" t="inlineStr">
        <is>
          <t>NORRBOTTENS LÄN</t>
        </is>
      </c>
      <c r="E1123" t="inlineStr">
        <is>
          <t>ARVIDSJAUR</t>
        </is>
      </c>
      <c r="F1123" t="inlineStr">
        <is>
          <t>Sveaskog</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45895</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57485-2020</t>
        </is>
      </c>
      <c r="B1125" s="1" t="n">
        <v>44139</v>
      </c>
      <c r="C1125" s="1" t="n">
        <v>45895</v>
      </c>
      <c r="D1125" t="inlineStr">
        <is>
          <t>NORRBOTTENS LÄN</t>
        </is>
      </c>
      <c r="E1125" t="inlineStr">
        <is>
          <t>PITEÅ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45895</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56073-2021</t>
        </is>
      </c>
      <c r="B1127" s="1" t="n">
        <v>44477</v>
      </c>
      <c r="C1127" s="1" t="n">
        <v>45895</v>
      </c>
      <c r="D1127" t="inlineStr">
        <is>
          <t>NORRBOTTENS LÄN</t>
        </is>
      </c>
      <c r="E1127" t="inlineStr">
        <is>
          <t>LULEÅ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55545-2020</t>
        </is>
      </c>
      <c r="B1128" s="1" t="n">
        <v>44131</v>
      </c>
      <c r="C1128" s="1" t="n">
        <v>45895</v>
      </c>
      <c r="D1128" t="inlineStr">
        <is>
          <t>NORRBOTTENS LÄN</t>
        </is>
      </c>
      <c r="E1128" t="inlineStr">
        <is>
          <t>PAJALA</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45895</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21023-2021</t>
        </is>
      </c>
      <c r="B1130" s="1" t="n">
        <v>44319</v>
      </c>
      <c r="C1130" s="1" t="n">
        <v>45895</v>
      </c>
      <c r="D1130" t="inlineStr">
        <is>
          <t>NORRBOTTENS LÄN</t>
        </is>
      </c>
      <c r="E1130" t="inlineStr">
        <is>
          <t>HAPARANDA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34183-2021</t>
        </is>
      </c>
      <c r="B1131" s="1" t="n">
        <v>44379.49668981481</v>
      </c>
      <c r="C1131" s="1" t="n">
        <v>45895</v>
      </c>
      <c r="D1131" t="inlineStr">
        <is>
          <t>NORRBOTTENS LÄN</t>
        </is>
      </c>
      <c r="E1131" t="inlineStr">
        <is>
          <t>HAPARANDA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34199-2021</t>
        </is>
      </c>
      <c r="B1132" s="1" t="n">
        <v>44379</v>
      </c>
      <c r="C1132" s="1" t="n">
        <v>45895</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68804-2021</t>
        </is>
      </c>
      <c r="B1133" s="1" t="n">
        <v>44529</v>
      </c>
      <c r="C1133" s="1" t="n">
        <v>45895</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22098-2022</t>
        </is>
      </c>
      <c r="B1134" s="1" t="n">
        <v>44711</v>
      </c>
      <c r="C1134" s="1" t="n">
        <v>45895</v>
      </c>
      <c r="D1134" t="inlineStr">
        <is>
          <t>NORRBOTTENS LÄN</t>
        </is>
      </c>
      <c r="E1134" t="inlineStr">
        <is>
          <t>ÄLVSBYN</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65343-2020</t>
        </is>
      </c>
      <c r="B1135" s="1" t="n">
        <v>44173.38601851852</v>
      </c>
      <c r="C1135" s="1" t="n">
        <v>45895</v>
      </c>
      <c r="D1135" t="inlineStr">
        <is>
          <t>NORRBOTTENS LÄN</t>
        </is>
      </c>
      <c r="E1135" t="inlineStr">
        <is>
          <t>JOKKMOKK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45895</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27277-2022</t>
        </is>
      </c>
      <c r="B1137" s="1" t="n">
        <v>44741.92667824074</v>
      </c>
      <c r="C1137" s="1" t="n">
        <v>45895</v>
      </c>
      <c r="D1137" t="inlineStr">
        <is>
          <t>NORRBOTTENS LÄN</t>
        </is>
      </c>
      <c r="E1137" t="inlineStr">
        <is>
          <t>ÄLVSBYN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45895</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64678-2020</t>
        </is>
      </c>
      <c r="B1139" s="1" t="n">
        <v>44166</v>
      </c>
      <c r="C1139" s="1" t="n">
        <v>45895</v>
      </c>
      <c r="D1139" t="inlineStr">
        <is>
          <t>NORRBOTTENS LÄN</t>
        </is>
      </c>
      <c r="E1139" t="inlineStr">
        <is>
          <t>LULEÅ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21425-2021</t>
        </is>
      </c>
      <c r="B1140" s="1" t="n">
        <v>44321</v>
      </c>
      <c r="C1140" s="1" t="n">
        <v>45895</v>
      </c>
      <c r="D1140" t="inlineStr">
        <is>
          <t>NORRBOTTENS LÄN</t>
        </is>
      </c>
      <c r="E1140" t="inlineStr">
        <is>
          <t>GÄLLIVARE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45895</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45895</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58855-2021</t>
        </is>
      </c>
      <c r="B1143" s="1" t="n">
        <v>44489</v>
      </c>
      <c r="C1143" s="1" t="n">
        <v>45895</v>
      </c>
      <c r="D1143" t="inlineStr">
        <is>
          <t>NORRBOTTENS LÄN</t>
        </is>
      </c>
      <c r="E1143" t="inlineStr">
        <is>
          <t>ARVIDSJAUR</t>
        </is>
      </c>
      <c r="F1143" t="inlineStr">
        <is>
          <t>Sveaskog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62068-2020</t>
        </is>
      </c>
      <c r="B1144" s="1" t="n">
        <v>44158</v>
      </c>
      <c r="C1144" s="1" t="n">
        <v>45895</v>
      </c>
      <c r="D1144" t="inlineStr">
        <is>
          <t>NORRBOTTENS LÄN</t>
        </is>
      </c>
      <c r="E1144" t="inlineStr">
        <is>
          <t>BODEN</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36017-2021</t>
        </is>
      </c>
      <c r="B1145" s="1" t="n">
        <v>44389.38752314815</v>
      </c>
      <c r="C1145" s="1" t="n">
        <v>45895</v>
      </c>
      <c r="D1145" t="inlineStr">
        <is>
          <t>NORRBOTTENS LÄN</t>
        </is>
      </c>
      <c r="E1145" t="inlineStr">
        <is>
          <t>BODEN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36026-2021</t>
        </is>
      </c>
      <c r="B1146" s="1" t="n">
        <v>44386</v>
      </c>
      <c r="C1146" s="1" t="n">
        <v>45895</v>
      </c>
      <c r="D1146" t="inlineStr">
        <is>
          <t>NORRBOTTENS LÄN</t>
        </is>
      </c>
      <c r="E1146" t="inlineStr">
        <is>
          <t>KALIX</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45895</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45895</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45895</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45895</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45895</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45895</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45895</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45895</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64639-2020</t>
        </is>
      </c>
      <c r="B1155" s="1" t="n">
        <v>44169</v>
      </c>
      <c r="C1155" s="1" t="n">
        <v>45895</v>
      </c>
      <c r="D1155" t="inlineStr">
        <is>
          <t>NORRBOTTENS LÄN</t>
        </is>
      </c>
      <c r="E1155" t="inlineStr">
        <is>
          <t>PAJALA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35050-2021</t>
        </is>
      </c>
      <c r="B1156" s="1" t="n">
        <v>44383</v>
      </c>
      <c r="C1156" s="1" t="n">
        <v>45895</v>
      </c>
      <c r="D1156" t="inlineStr">
        <is>
          <t>NORRBOTTENS LÄN</t>
        </is>
      </c>
      <c r="E1156" t="inlineStr">
        <is>
          <t>PITEÅ</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35051-2021</t>
        </is>
      </c>
      <c r="B1157" s="1" t="n">
        <v>44383</v>
      </c>
      <c r="C1157" s="1" t="n">
        <v>45895</v>
      </c>
      <c r="D1157" t="inlineStr">
        <is>
          <t>NORRBOTTENS LÄN</t>
        </is>
      </c>
      <c r="E1157" t="inlineStr">
        <is>
          <t>PITEÅ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35056-2021</t>
        </is>
      </c>
      <c r="B1158" s="1" t="n">
        <v>44383</v>
      </c>
      <c r="C1158" s="1" t="n">
        <v>45895</v>
      </c>
      <c r="D1158" t="inlineStr">
        <is>
          <t>NORRBOTTENS LÄN</t>
        </is>
      </c>
      <c r="E1158" t="inlineStr">
        <is>
          <t>PITEÅ</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68205-2020</t>
        </is>
      </c>
      <c r="B1159" s="1" t="n">
        <v>44182</v>
      </c>
      <c r="C1159" s="1" t="n">
        <v>45895</v>
      </c>
      <c r="D1159" t="inlineStr">
        <is>
          <t>NORRBOTTENS LÄN</t>
        </is>
      </c>
      <c r="E1159" t="inlineStr">
        <is>
          <t>BODEN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45895</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45895</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42288-2021</t>
        </is>
      </c>
      <c r="B1162" s="1" t="n">
        <v>44427.35393518519</v>
      </c>
      <c r="C1162" s="1" t="n">
        <v>45895</v>
      </c>
      <c r="D1162" t="inlineStr">
        <is>
          <t>NORRBOTTENS LÄN</t>
        </is>
      </c>
      <c r="E1162" t="inlineStr">
        <is>
          <t>PAJALA</t>
        </is>
      </c>
      <c r="F1162" t="inlineStr">
        <is>
          <t>Sveaskog</t>
        </is>
      </c>
      <c r="G1162" t="n">
        <v>37.3</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45895</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59122-2020</t>
        </is>
      </c>
      <c r="B1164" s="1" t="n">
        <v>44147</v>
      </c>
      <c r="C1164" s="1" t="n">
        <v>45895</v>
      </c>
      <c r="D1164" t="inlineStr">
        <is>
          <t>NORRBOTTENS LÄN</t>
        </is>
      </c>
      <c r="E1164" t="inlineStr">
        <is>
          <t>PAJALA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59126-2020</t>
        </is>
      </c>
      <c r="B1165" s="1" t="n">
        <v>44147</v>
      </c>
      <c r="C1165" s="1" t="n">
        <v>45895</v>
      </c>
      <c r="D1165" t="inlineStr">
        <is>
          <t>NORRBOTTENS LÄN</t>
        </is>
      </c>
      <c r="E1165" t="inlineStr">
        <is>
          <t>PAJALA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59153-2020</t>
        </is>
      </c>
      <c r="B1166" s="1" t="n">
        <v>44147</v>
      </c>
      <c r="C1166" s="1" t="n">
        <v>45895</v>
      </c>
      <c r="D1166" t="inlineStr">
        <is>
          <t>NORRBOTTENS LÄN</t>
        </is>
      </c>
      <c r="E1166" t="inlineStr">
        <is>
          <t>ÄLVSBYN</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71922-2021</t>
        </is>
      </c>
      <c r="B1167" s="1" t="n">
        <v>44543</v>
      </c>
      <c r="C1167" s="1" t="n">
        <v>45895</v>
      </c>
      <c r="D1167" t="inlineStr">
        <is>
          <t>NORRBOTTENS LÄN</t>
        </is>
      </c>
      <c r="E1167" t="inlineStr">
        <is>
          <t>JOKKMOKK</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5290-2022</t>
        </is>
      </c>
      <c r="B1168" s="1" t="n">
        <v>44592</v>
      </c>
      <c r="C1168" s="1" t="n">
        <v>45895</v>
      </c>
      <c r="D1168" t="inlineStr">
        <is>
          <t>NORRBOTTENS LÄN</t>
        </is>
      </c>
      <c r="E1168" t="inlineStr">
        <is>
          <t>PITEÅ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45895</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15047-2022</t>
        </is>
      </c>
      <c r="B1170" s="1" t="n">
        <v>44657</v>
      </c>
      <c r="C1170" s="1" t="n">
        <v>45895</v>
      </c>
      <c r="D1170" t="inlineStr">
        <is>
          <t>NORRBOTTENS LÄN</t>
        </is>
      </c>
      <c r="E1170" t="inlineStr">
        <is>
          <t>LULEÅ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45398-2021</t>
        </is>
      </c>
      <c r="B1171" s="1" t="n">
        <v>44440</v>
      </c>
      <c r="C1171" s="1" t="n">
        <v>45895</v>
      </c>
      <c r="D1171" t="inlineStr">
        <is>
          <t>NORRBOTTENS LÄN</t>
        </is>
      </c>
      <c r="E1171" t="inlineStr">
        <is>
          <t>ARVIDSJAUR</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45895</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23067-2021</t>
        </is>
      </c>
      <c r="B1173" s="1" t="n">
        <v>44329.94148148148</v>
      </c>
      <c r="C1173" s="1" t="n">
        <v>45895</v>
      </c>
      <c r="D1173" t="inlineStr">
        <is>
          <t>NORRBOTTENS LÄN</t>
        </is>
      </c>
      <c r="E1173" t="inlineStr">
        <is>
          <t>ÖVERKALIX</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8855-2021</t>
        </is>
      </c>
      <c r="B1174" s="1" t="n">
        <v>44246</v>
      </c>
      <c r="C1174" s="1" t="n">
        <v>45895</v>
      </c>
      <c r="D1174" t="inlineStr">
        <is>
          <t>NORRBOTTENS LÄN</t>
        </is>
      </c>
      <c r="E1174" t="inlineStr">
        <is>
          <t>JOKKMOKK</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43433-2021</t>
        </is>
      </c>
      <c r="B1175" s="1" t="n">
        <v>44432.654375</v>
      </c>
      <c r="C1175" s="1" t="n">
        <v>45895</v>
      </c>
      <c r="D1175" t="inlineStr">
        <is>
          <t>NORRBOTTENS LÄN</t>
        </is>
      </c>
      <c r="E1175" t="inlineStr">
        <is>
          <t>ÖVERKALIX</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18449-2021</t>
        </is>
      </c>
      <c r="B1176" s="1" t="n">
        <v>44305</v>
      </c>
      <c r="C1176" s="1" t="n">
        <v>45895</v>
      </c>
      <c r="D1176" t="inlineStr">
        <is>
          <t>NORRBOTTENS LÄN</t>
        </is>
      </c>
      <c r="E1176" t="inlineStr">
        <is>
          <t>ÖVERTORNEÅ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65771-2020</t>
        </is>
      </c>
      <c r="B1177" s="1" t="n">
        <v>44172</v>
      </c>
      <c r="C1177" s="1" t="n">
        <v>45895</v>
      </c>
      <c r="D1177" t="inlineStr">
        <is>
          <t>NORRBOTTENS LÄN</t>
        </is>
      </c>
      <c r="E1177" t="inlineStr">
        <is>
          <t>ÖVERTORNEÅ</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72031-2021</t>
        </is>
      </c>
      <c r="B1178" s="1" t="n">
        <v>44544</v>
      </c>
      <c r="C1178" s="1" t="n">
        <v>45895</v>
      </c>
      <c r="D1178" t="inlineStr">
        <is>
          <t>NORRBOTTENS LÄN</t>
        </is>
      </c>
      <c r="E1178" t="inlineStr">
        <is>
          <t>KALIX</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21856-2022</t>
        </is>
      </c>
      <c r="B1179" s="1" t="n">
        <v>44708</v>
      </c>
      <c r="C1179" s="1" t="n">
        <v>45895</v>
      </c>
      <c r="D1179" t="inlineStr">
        <is>
          <t>NORRBOTTENS LÄN</t>
        </is>
      </c>
      <c r="E1179" t="inlineStr">
        <is>
          <t>PITEÅ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46973-2021</t>
        </is>
      </c>
      <c r="B1180" s="1" t="n">
        <v>44446</v>
      </c>
      <c r="C1180" s="1" t="n">
        <v>45895</v>
      </c>
      <c r="D1180" t="inlineStr">
        <is>
          <t>NORRBOTTENS LÄN</t>
        </is>
      </c>
      <c r="E1180" t="inlineStr">
        <is>
          <t>ÖVERTORNEÅ</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67524-2020</t>
        </is>
      </c>
      <c r="B1181" s="1" t="n">
        <v>44180</v>
      </c>
      <c r="C1181" s="1" t="n">
        <v>45895</v>
      </c>
      <c r="D1181" t="inlineStr">
        <is>
          <t>NORRBOTTENS LÄN</t>
        </is>
      </c>
      <c r="E1181" t="inlineStr">
        <is>
          <t>PAJALA</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16987-2022</t>
        </is>
      </c>
      <c r="B1182" s="1" t="n">
        <v>44676.60796296296</v>
      </c>
      <c r="C1182" s="1" t="n">
        <v>45895</v>
      </c>
      <c r="D1182" t="inlineStr">
        <is>
          <t>NORRBOTTENS LÄN</t>
        </is>
      </c>
      <c r="E1182" t="inlineStr">
        <is>
          <t>LULEÅ</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27571-2022</t>
        </is>
      </c>
      <c r="B1183" s="1" t="n">
        <v>44742.94322916667</v>
      </c>
      <c r="C1183" s="1" t="n">
        <v>45895</v>
      </c>
      <c r="D1183" t="inlineStr">
        <is>
          <t>NORRBOTTENS LÄN</t>
        </is>
      </c>
      <c r="E1183" t="inlineStr">
        <is>
          <t>PITEÅ</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49245-2022</t>
        </is>
      </c>
      <c r="B1184" s="1" t="n">
        <v>44861</v>
      </c>
      <c r="C1184" s="1" t="n">
        <v>45895</v>
      </c>
      <c r="D1184" t="inlineStr">
        <is>
          <t>NORRBOTTENS LÄN</t>
        </is>
      </c>
      <c r="E1184" t="inlineStr">
        <is>
          <t>HAPARANDA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71945-2021</t>
        </is>
      </c>
      <c r="B1185" s="1" t="n">
        <v>44543</v>
      </c>
      <c r="C1185" s="1" t="n">
        <v>45895</v>
      </c>
      <c r="D1185" t="inlineStr">
        <is>
          <t>NORRBOTTENS LÄN</t>
        </is>
      </c>
      <c r="E1185" t="inlineStr">
        <is>
          <t>PITEÅ</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71947-2021</t>
        </is>
      </c>
      <c r="B1186" s="1" t="n">
        <v>44543</v>
      </c>
      <c r="C1186" s="1" t="n">
        <v>45895</v>
      </c>
      <c r="D1186" t="inlineStr">
        <is>
          <t>NORRBOTTENS LÄN</t>
        </is>
      </c>
      <c r="E1186" t="inlineStr">
        <is>
          <t>JOKKMOKK</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71954-2021</t>
        </is>
      </c>
      <c r="B1187" s="1" t="n">
        <v>44543</v>
      </c>
      <c r="C1187" s="1" t="n">
        <v>45895</v>
      </c>
      <c r="D1187" t="inlineStr">
        <is>
          <t>NORRBOTTENS LÄN</t>
        </is>
      </c>
      <c r="E1187" t="inlineStr">
        <is>
          <t>JOKKMOKK</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53859-2020</t>
        </is>
      </c>
      <c r="B1188" s="1" t="n">
        <v>44125</v>
      </c>
      <c r="C1188" s="1" t="n">
        <v>45895</v>
      </c>
      <c r="D1188" t="inlineStr">
        <is>
          <t>NORRBOTTENS LÄN</t>
        </is>
      </c>
      <c r="E1188" t="inlineStr">
        <is>
          <t>BODEN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51210-2020</t>
        </is>
      </c>
      <c r="B1189" s="1" t="n">
        <v>44112</v>
      </c>
      <c r="C1189" s="1" t="n">
        <v>45895</v>
      </c>
      <c r="D1189" t="inlineStr">
        <is>
          <t>NORRBOTTENS LÄN</t>
        </is>
      </c>
      <c r="E1189" t="inlineStr">
        <is>
          <t>LULEÅ</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6820-2022</t>
        </is>
      </c>
      <c r="B1190" s="1" t="n">
        <v>44602</v>
      </c>
      <c r="C1190" s="1" t="n">
        <v>45895</v>
      </c>
      <c r="D1190" t="inlineStr">
        <is>
          <t>NORRBOTTENS LÄN</t>
        </is>
      </c>
      <c r="E1190" t="inlineStr">
        <is>
          <t>ÄLVSBYN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38112-2022</t>
        </is>
      </c>
      <c r="B1191" s="1" t="n">
        <v>44811</v>
      </c>
      <c r="C1191" s="1" t="n">
        <v>45895</v>
      </c>
      <c r="D1191" t="inlineStr">
        <is>
          <t>NORRBOTTENS LÄN</t>
        </is>
      </c>
      <c r="E1191" t="inlineStr">
        <is>
          <t>PITEÅ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37837-2022</t>
        </is>
      </c>
      <c r="B1192" s="1" t="n">
        <v>44810</v>
      </c>
      <c r="C1192" s="1" t="n">
        <v>45895</v>
      </c>
      <c r="D1192" t="inlineStr">
        <is>
          <t>NORRBOTTENS LÄN</t>
        </is>
      </c>
      <c r="E1192" t="inlineStr">
        <is>
          <t>ÖVERTORNEÅ</t>
        </is>
      </c>
      <c r="F1192" t="inlineStr">
        <is>
          <t>Sveaskog</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45895</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52181-2021</t>
        </is>
      </c>
      <c r="B1194" s="1" t="n">
        <v>44463</v>
      </c>
      <c r="C1194" s="1" t="n">
        <v>45895</v>
      </c>
      <c r="D1194" t="inlineStr">
        <is>
          <t>NORRBOTTENS LÄN</t>
        </is>
      </c>
      <c r="E1194" t="inlineStr">
        <is>
          <t>GÄLLIVARE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63112-2020</t>
        </is>
      </c>
      <c r="B1195" s="1" t="n">
        <v>44162</v>
      </c>
      <c r="C1195" s="1" t="n">
        <v>45895</v>
      </c>
      <c r="D1195" t="inlineStr">
        <is>
          <t>NORRBOTTENS LÄN</t>
        </is>
      </c>
      <c r="E1195" t="inlineStr">
        <is>
          <t>PITEÅ</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43282-2022</t>
        </is>
      </c>
      <c r="B1196" s="1" t="n">
        <v>44833</v>
      </c>
      <c r="C1196" s="1" t="n">
        <v>45895</v>
      </c>
      <c r="D1196" t="inlineStr">
        <is>
          <t>NORRBOTTENS LÄN</t>
        </is>
      </c>
      <c r="E1196" t="inlineStr">
        <is>
          <t>ÖVERTORNEÅ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43316-2022</t>
        </is>
      </c>
      <c r="B1197" s="1" t="n">
        <v>44834</v>
      </c>
      <c r="C1197" s="1" t="n">
        <v>45895</v>
      </c>
      <c r="D1197" t="inlineStr">
        <is>
          <t>NORRBOTTENS LÄN</t>
        </is>
      </c>
      <c r="E1197" t="inlineStr">
        <is>
          <t>PAJALA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45895</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44205-2022</t>
        </is>
      </c>
      <c r="B1199" s="1" t="n">
        <v>44837</v>
      </c>
      <c r="C1199" s="1" t="n">
        <v>45895</v>
      </c>
      <c r="D1199" t="inlineStr">
        <is>
          <t>NORRBOTTENS LÄN</t>
        </is>
      </c>
      <c r="E1199" t="inlineStr">
        <is>
          <t>LULEÅ</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48215-2020</t>
        </is>
      </c>
      <c r="B1200" s="1" t="n">
        <v>44097</v>
      </c>
      <c r="C1200" s="1" t="n">
        <v>45895</v>
      </c>
      <c r="D1200" t="inlineStr">
        <is>
          <t>NORRBOTTENS LÄN</t>
        </is>
      </c>
      <c r="E1200" t="inlineStr">
        <is>
          <t>PAJALA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54220-2021</t>
        </is>
      </c>
      <c r="B1201" s="1" t="n">
        <v>44470</v>
      </c>
      <c r="C1201" s="1" t="n">
        <v>45895</v>
      </c>
      <c r="D1201" t="inlineStr">
        <is>
          <t>NORRBOTTENS LÄN</t>
        </is>
      </c>
      <c r="E1201" t="inlineStr">
        <is>
          <t>ÖVERKALIX</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11717-2022</t>
        </is>
      </c>
      <c r="B1202" s="1" t="n">
        <v>44634</v>
      </c>
      <c r="C1202" s="1" t="n">
        <v>45895</v>
      </c>
      <c r="D1202" t="inlineStr">
        <is>
          <t>NORRBOTTENS LÄN</t>
        </is>
      </c>
      <c r="E1202" t="inlineStr">
        <is>
          <t>PAJALA</t>
        </is>
      </c>
      <c r="F1202" t="inlineStr">
        <is>
          <t>Allmännings- och besparingsskogar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51182-2021</t>
        </is>
      </c>
      <c r="B1203" s="1" t="n">
        <v>44461</v>
      </c>
      <c r="C1203" s="1" t="n">
        <v>45895</v>
      </c>
      <c r="D1203" t="inlineStr">
        <is>
          <t>NORRBOTTENS LÄN</t>
        </is>
      </c>
      <c r="E1203" t="inlineStr">
        <is>
          <t>KALIX</t>
        </is>
      </c>
      <c r="G1203" t="n">
        <v>23.1</v>
      </c>
      <c r="H1203" t="n">
        <v>0</v>
      </c>
      <c r="I1203" t="n">
        <v>0</v>
      </c>
      <c r="J1203" t="n">
        <v>0</v>
      </c>
      <c r="K1203" t="n">
        <v>0</v>
      </c>
      <c r="L1203" t="n">
        <v>0</v>
      </c>
      <c r="M1203" t="n">
        <v>0</v>
      </c>
      <c r="N1203" t="n">
        <v>0</v>
      </c>
      <c r="O1203" t="n">
        <v>0</v>
      </c>
      <c r="P1203" t="n">
        <v>0</v>
      </c>
      <c r="Q1203" t="n">
        <v>0</v>
      </c>
      <c r="R1203" s="2" t="inlineStr"/>
    </row>
    <row r="1204" ht="15" customHeight="1">
      <c r="A1204" t="inlineStr">
        <is>
          <t>A 60121-2020</t>
        </is>
      </c>
      <c r="B1204" s="1" t="n">
        <v>44151</v>
      </c>
      <c r="C1204" s="1" t="n">
        <v>45895</v>
      </c>
      <c r="D1204" t="inlineStr">
        <is>
          <t>NORRBOTTENS LÄN</t>
        </is>
      </c>
      <c r="E1204" t="inlineStr">
        <is>
          <t>PAJALA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4848-2022</t>
        </is>
      </c>
      <c r="B1205" s="1" t="n">
        <v>44592.92069444444</v>
      </c>
      <c r="C1205" s="1" t="n">
        <v>45895</v>
      </c>
      <c r="D1205" t="inlineStr">
        <is>
          <t>NORRBOTTENS LÄN</t>
        </is>
      </c>
      <c r="E1205" t="inlineStr">
        <is>
          <t>PAJALA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38896-2022</t>
        </is>
      </c>
      <c r="B1206" s="1" t="n">
        <v>44816</v>
      </c>
      <c r="C1206" s="1" t="n">
        <v>45895</v>
      </c>
      <c r="D1206" t="inlineStr">
        <is>
          <t>NORRBOTTENS LÄN</t>
        </is>
      </c>
      <c r="E1206" t="inlineStr">
        <is>
          <t>PITEÅ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2545-2021</t>
        </is>
      </c>
      <c r="B1207" s="1" t="n">
        <v>44214</v>
      </c>
      <c r="C1207" s="1" t="n">
        <v>45895</v>
      </c>
      <c r="D1207" t="inlineStr">
        <is>
          <t>NORRBOTTENS LÄN</t>
        </is>
      </c>
      <c r="E1207" t="inlineStr">
        <is>
          <t>GÄLLIVARE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20754-2021</t>
        </is>
      </c>
      <c r="B1208" s="1" t="n">
        <v>44313</v>
      </c>
      <c r="C1208" s="1" t="n">
        <v>45895</v>
      </c>
      <c r="D1208" t="inlineStr">
        <is>
          <t>NORRBOTTENS LÄN</t>
        </is>
      </c>
      <c r="E1208" t="inlineStr">
        <is>
          <t>BODEN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18698-2022</t>
        </is>
      </c>
      <c r="B1209" s="1" t="n">
        <v>44687.60563657407</v>
      </c>
      <c r="C1209" s="1" t="n">
        <v>45895</v>
      </c>
      <c r="D1209" t="inlineStr">
        <is>
          <t>NORRBOTTENS LÄN</t>
        </is>
      </c>
      <c r="E1209" t="inlineStr">
        <is>
          <t>ÖVERTORNEÅ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19802-2021</t>
        </is>
      </c>
      <c r="B1210" s="1" t="n">
        <v>44312</v>
      </c>
      <c r="C1210" s="1" t="n">
        <v>45895</v>
      </c>
      <c r="D1210" t="inlineStr">
        <is>
          <t>NORRBOTTENS LÄN</t>
        </is>
      </c>
      <c r="E1210" t="inlineStr">
        <is>
          <t>ÖVERKALIX</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48746-2021</t>
        </is>
      </c>
      <c r="B1211" s="1" t="n">
        <v>44452</v>
      </c>
      <c r="C1211" s="1" t="n">
        <v>45895</v>
      </c>
      <c r="D1211" t="inlineStr">
        <is>
          <t>NORRBOTTENS LÄN</t>
        </is>
      </c>
      <c r="E1211" t="inlineStr">
        <is>
          <t>ÖVERTORNEÅ</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15800-2022</t>
        </is>
      </c>
      <c r="B1212" s="1" t="n">
        <v>44663.90741898148</v>
      </c>
      <c r="C1212" s="1" t="n">
        <v>45895</v>
      </c>
      <c r="D1212" t="inlineStr">
        <is>
          <t>NORRBOTTENS LÄN</t>
        </is>
      </c>
      <c r="E1212" t="inlineStr">
        <is>
          <t>PAJALA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13717-2022</t>
        </is>
      </c>
      <c r="B1213" s="1" t="n">
        <v>44648</v>
      </c>
      <c r="C1213" s="1" t="n">
        <v>45895</v>
      </c>
      <c r="D1213" t="inlineStr">
        <is>
          <t>NORRBOTTENS LÄN</t>
        </is>
      </c>
      <c r="E1213" t="inlineStr">
        <is>
          <t>ÖVERKALIX</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22394-2021</t>
        </is>
      </c>
      <c r="B1214" s="1" t="n">
        <v>44326</v>
      </c>
      <c r="C1214" s="1" t="n">
        <v>45895</v>
      </c>
      <c r="D1214" t="inlineStr">
        <is>
          <t>NORRBOTTENS LÄN</t>
        </is>
      </c>
      <c r="E1214" t="inlineStr">
        <is>
          <t>PITEÅ</t>
        </is>
      </c>
      <c r="F1214" t="inlineStr">
        <is>
          <t>Övriga Aktiebolag</t>
        </is>
      </c>
      <c r="G1214" t="n">
        <v>23.9</v>
      </c>
      <c r="H1214" t="n">
        <v>0</v>
      </c>
      <c r="I1214" t="n">
        <v>0</v>
      </c>
      <c r="J1214" t="n">
        <v>0</v>
      </c>
      <c r="K1214" t="n">
        <v>0</v>
      </c>
      <c r="L1214" t="n">
        <v>0</v>
      </c>
      <c r="M1214" t="n">
        <v>0</v>
      </c>
      <c r="N1214" t="n">
        <v>0</v>
      </c>
      <c r="O1214" t="n">
        <v>0</v>
      </c>
      <c r="P1214" t="n">
        <v>0</v>
      </c>
      <c r="Q1214" t="n">
        <v>0</v>
      </c>
      <c r="R1214" s="2" t="inlineStr"/>
    </row>
    <row r="1215" ht="15" customHeight="1">
      <c r="A1215" t="inlineStr">
        <is>
          <t>A 48544-2020</t>
        </is>
      </c>
      <c r="B1215" s="1" t="n">
        <v>44098</v>
      </c>
      <c r="C1215" s="1" t="n">
        <v>45895</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58414-2021</t>
        </is>
      </c>
      <c r="B1216" s="1" t="n">
        <v>44488</v>
      </c>
      <c r="C1216" s="1" t="n">
        <v>45895</v>
      </c>
      <c r="D1216" t="inlineStr">
        <is>
          <t>NORRBOTTENS LÄN</t>
        </is>
      </c>
      <c r="E1216" t="inlineStr">
        <is>
          <t>GÄLLIVARE</t>
        </is>
      </c>
      <c r="F1216" t="inlineStr">
        <is>
          <t>Sveaskog</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15301-2022</t>
        </is>
      </c>
      <c r="B1217" s="1" t="n">
        <v>44659</v>
      </c>
      <c r="C1217" s="1" t="n">
        <v>45895</v>
      </c>
      <c r="D1217" t="inlineStr">
        <is>
          <t>NORRBOTTENS LÄN</t>
        </is>
      </c>
      <c r="E1217" t="inlineStr">
        <is>
          <t>ÖVERKALIX</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35053-2021</t>
        </is>
      </c>
      <c r="B1218" s="1" t="n">
        <v>44383</v>
      </c>
      <c r="C1218" s="1" t="n">
        <v>45895</v>
      </c>
      <c r="D1218" t="inlineStr">
        <is>
          <t>NORRBOTTENS LÄN</t>
        </is>
      </c>
      <c r="E1218" t="inlineStr">
        <is>
          <t>PITEÅ</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46904-2020</t>
        </is>
      </c>
      <c r="B1219" s="1" t="n">
        <v>44089</v>
      </c>
      <c r="C1219" s="1" t="n">
        <v>45895</v>
      </c>
      <c r="D1219" t="inlineStr">
        <is>
          <t>NORRBOTTENS LÄN</t>
        </is>
      </c>
      <c r="E1219" t="inlineStr">
        <is>
          <t>ARVIDSJAUR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15796-2022</t>
        </is>
      </c>
      <c r="B1220" s="1" t="n">
        <v>44663.88578703703</v>
      </c>
      <c r="C1220" s="1" t="n">
        <v>45895</v>
      </c>
      <c r="D1220" t="inlineStr">
        <is>
          <t>NORRBOTTENS LÄN</t>
        </is>
      </c>
      <c r="E1220" t="inlineStr">
        <is>
          <t>PAJALA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17784-2021</t>
        </is>
      </c>
      <c r="B1221" s="1" t="n">
        <v>44300</v>
      </c>
      <c r="C1221" s="1" t="n">
        <v>45895</v>
      </c>
      <c r="D1221" t="inlineStr">
        <is>
          <t>NORRBOTTENS LÄN</t>
        </is>
      </c>
      <c r="E1221" t="inlineStr">
        <is>
          <t>ÄLVSBYN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34477-2022</t>
        </is>
      </c>
      <c r="B1222" s="1" t="n">
        <v>44792.64452546297</v>
      </c>
      <c r="C1222" s="1" t="n">
        <v>45895</v>
      </c>
      <c r="D1222" t="inlineStr">
        <is>
          <t>NORRBOTTENS LÄN</t>
        </is>
      </c>
      <c r="E1222" t="inlineStr">
        <is>
          <t>ARVIDSJAUR</t>
        </is>
      </c>
      <c r="F1222" t="inlineStr">
        <is>
          <t>Sveaskog</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6916-2022</t>
        </is>
      </c>
      <c r="B1223" s="1" t="n">
        <v>44602</v>
      </c>
      <c r="C1223" s="1" t="n">
        <v>45895</v>
      </c>
      <c r="D1223" t="inlineStr">
        <is>
          <t>NORRBOTTENS LÄN</t>
        </is>
      </c>
      <c r="E1223" t="inlineStr">
        <is>
          <t>ÖVERKALIX</t>
        </is>
      </c>
      <c r="F1223" t="inlineStr">
        <is>
          <t>SCA</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15798-2022</t>
        </is>
      </c>
      <c r="B1224" s="1" t="n">
        <v>44663.89142361111</v>
      </c>
      <c r="C1224" s="1" t="n">
        <v>45895</v>
      </c>
      <c r="D1224" t="inlineStr">
        <is>
          <t>NORRBOTTENS LÄN</t>
        </is>
      </c>
      <c r="E1224" t="inlineStr">
        <is>
          <t>PAJALA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54163-2021</t>
        </is>
      </c>
      <c r="B1225" s="1" t="n">
        <v>44470.55629629629</v>
      </c>
      <c r="C1225" s="1" t="n">
        <v>45895</v>
      </c>
      <c r="D1225" t="inlineStr">
        <is>
          <t>NORRBOTTENS LÄN</t>
        </is>
      </c>
      <c r="E1225" t="inlineStr">
        <is>
          <t>KALIX</t>
        </is>
      </c>
      <c r="F1225" t="inlineStr">
        <is>
          <t>Sveaskog</t>
        </is>
      </c>
      <c r="G1225" t="n">
        <v>7.1</v>
      </c>
      <c r="H1225" t="n">
        <v>0</v>
      </c>
      <c r="I1225" t="n">
        <v>0</v>
      </c>
      <c r="J1225" t="n">
        <v>0</v>
      </c>
      <c r="K1225" t="n">
        <v>0</v>
      </c>
      <c r="L1225" t="n">
        <v>0</v>
      </c>
      <c r="M1225" t="n">
        <v>0</v>
      </c>
      <c r="N1225" t="n">
        <v>0</v>
      </c>
      <c r="O1225" t="n">
        <v>0</v>
      </c>
      <c r="P1225" t="n">
        <v>0</v>
      </c>
      <c r="Q1225" t="n">
        <v>0</v>
      </c>
      <c r="R1225" s="2" t="inlineStr"/>
      <c r="U1225">
        <f>HYPERLINK("https://klasma.github.io/Logging_2514/knärot/A 54163-2021 karta knärot.png", "A 54163-2021")</f>
        <v/>
      </c>
      <c r="V1225">
        <f>HYPERLINK("https://klasma.github.io/Logging_2514/klagomål/A 54163-2021 FSC-klagomål.docx", "A 54163-2021")</f>
        <v/>
      </c>
      <c r="W1225">
        <f>HYPERLINK("https://klasma.github.io/Logging_2514/klagomålsmail/A 54163-2021 FSC-klagomål mail.docx", "A 54163-2021")</f>
        <v/>
      </c>
      <c r="X1225">
        <f>HYPERLINK("https://klasma.github.io/Logging_2514/tillsyn/A 54163-2021 tillsynsbegäran.docx", "A 54163-2021")</f>
        <v/>
      </c>
      <c r="Y1225">
        <f>HYPERLINK("https://klasma.github.io/Logging_2514/tillsynsmail/A 54163-2021 tillsynsbegäran mail.docx", "A 54163-2021")</f>
        <v/>
      </c>
    </row>
    <row r="1226" ht="15" customHeight="1">
      <c r="A1226" t="inlineStr">
        <is>
          <t>A 64857-2020</t>
        </is>
      </c>
      <c r="B1226" s="1" t="n">
        <v>44171</v>
      </c>
      <c r="C1226" s="1" t="n">
        <v>45895</v>
      </c>
      <c r="D1226" t="inlineStr">
        <is>
          <t>NORRBOTTENS LÄN</t>
        </is>
      </c>
      <c r="E1226" t="inlineStr">
        <is>
          <t>ARJEPLOG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31703-2021</t>
        </is>
      </c>
      <c r="B1227" s="1" t="n">
        <v>44369</v>
      </c>
      <c r="C1227" s="1" t="n">
        <v>45895</v>
      </c>
      <c r="D1227" t="inlineStr">
        <is>
          <t>NORRBOTTENS LÄN</t>
        </is>
      </c>
      <c r="E1227" t="inlineStr">
        <is>
          <t>PAJALA</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40427-2022</t>
        </is>
      </c>
      <c r="B1228" s="1" t="n">
        <v>44823</v>
      </c>
      <c r="C1228" s="1" t="n">
        <v>45895</v>
      </c>
      <c r="D1228" t="inlineStr">
        <is>
          <t>NORRBOTTENS LÄN</t>
        </is>
      </c>
      <c r="E1228" t="inlineStr">
        <is>
          <t>GÄLLIVARE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50905-2020</t>
        </is>
      </c>
      <c r="B1229" s="1" t="n">
        <v>44111</v>
      </c>
      <c r="C1229" s="1" t="n">
        <v>45895</v>
      </c>
      <c r="D1229" t="inlineStr">
        <is>
          <t>NORRBOTTENS LÄN</t>
        </is>
      </c>
      <c r="E1229" t="inlineStr">
        <is>
          <t>PITEÅ</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61072-2020</t>
        </is>
      </c>
      <c r="B1230" s="1" t="n">
        <v>44154.66923611111</v>
      </c>
      <c r="C1230" s="1" t="n">
        <v>45895</v>
      </c>
      <c r="D1230" t="inlineStr">
        <is>
          <t>NORRBOTTENS LÄN</t>
        </is>
      </c>
      <c r="E1230" t="inlineStr">
        <is>
          <t>LULEÅ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54911-2020</t>
        </is>
      </c>
      <c r="B1231" s="1" t="n">
        <v>44127</v>
      </c>
      <c r="C1231" s="1" t="n">
        <v>45895</v>
      </c>
      <c r="D1231" t="inlineStr">
        <is>
          <t>NORRBOTTENS LÄN</t>
        </is>
      </c>
      <c r="E1231" t="inlineStr">
        <is>
          <t>ÖVERTORNEÅ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61370-2021</t>
        </is>
      </c>
      <c r="B1232" s="1" t="n">
        <v>44499</v>
      </c>
      <c r="C1232" s="1" t="n">
        <v>45895</v>
      </c>
      <c r="D1232" t="inlineStr">
        <is>
          <t>NORRBOTTENS LÄN</t>
        </is>
      </c>
      <c r="E1232" t="inlineStr">
        <is>
          <t>PITEÅ</t>
        </is>
      </c>
      <c r="G1232" t="n">
        <v>18.2</v>
      </c>
      <c r="H1232" t="n">
        <v>0</v>
      </c>
      <c r="I1232" t="n">
        <v>0</v>
      </c>
      <c r="J1232" t="n">
        <v>0</v>
      </c>
      <c r="K1232" t="n">
        <v>0</v>
      </c>
      <c r="L1232" t="n">
        <v>0</v>
      </c>
      <c r="M1232" t="n">
        <v>0</v>
      </c>
      <c r="N1232" t="n">
        <v>0</v>
      </c>
      <c r="O1232" t="n">
        <v>0</v>
      </c>
      <c r="P1232" t="n">
        <v>0</v>
      </c>
      <c r="Q1232" t="n">
        <v>0</v>
      </c>
      <c r="R1232" s="2" t="inlineStr"/>
    </row>
    <row r="1233" ht="15" customHeight="1">
      <c r="A1233" t="inlineStr">
        <is>
          <t>A 29107-2021</t>
        </is>
      </c>
      <c r="B1233" s="1" t="n">
        <v>44358</v>
      </c>
      <c r="C1233" s="1" t="n">
        <v>45895</v>
      </c>
      <c r="D1233" t="inlineStr">
        <is>
          <t>NORRBOTTENS LÄN</t>
        </is>
      </c>
      <c r="E1233" t="inlineStr">
        <is>
          <t>BODEN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14380-2021</t>
        </is>
      </c>
      <c r="B1234" s="1" t="n">
        <v>44279.38570601852</v>
      </c>
      <c r="C1234" s="1" t="n">
        <v>45895</v>
      </c>
      <c r="D1234" t="inlineStr">
        <is>
          <t>NORRBOTTENS LÄN</t>
        </is>
      </c>
      <c r="E1234" t="inlineStr">
        <is>
          <t>BODEN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28276-2022</t>
        </is>
      </c>
      <c r="B1235" s="1" t="n">
        <v>44746</v>
      </c>
      <c r="C1235" s="1" t="n">
        <v>45895</v>
      </c>
      <c r="D1235" t="inlineStr">
        <is>
          <t>NORRBOTTENS LÄN</t>
        </is>
      </c>
      <c r="E1235" t="inlineStr">
        <is>
          <t>LULEÅ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65252-2020</t>
        </is>
      </c>
      <c r="B1236" s="1" t="n">
        <v>44172</v>
      </c>
      <c r="C1236" s="1" t="n">
        <v>45895</v>
      </c>
      <c r="D1236" t="inlineStr">
        <is>
          <t>NORRBOTTENS LÄN</t>
        </is>
      </c>
      <c r="E1236" t="inlineStr">
        <is>
          <t>PITEÅ</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20242-2022</t>
        </is>
      </c>
      <c r="B1237" s="1" t="n">
        <v>44698</v>
      </c>
      <c r="C1237" s="1" t="n">
        <v>45895</v>
      </c>
      <c r="D1237" t="inlineStr">
        <is>
          <t>NORRBOTTENS LÄN</t>
        </is>
      </c>
      <c r="E1237" t="inlineStr">
        <is>
          <t>ÖVERKALIX</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44688-2022</t>
        </is>
      </c>
      <c r="B1238" s="1" t="n">
        <v>44839</v>
      </c>
      <c r="C1238" s="1" t="n">
        <v>45895</v>
      </c>
      <c r="D1238" t="inlineStr">
        <is>
          <t>NORRBOTTENS LÄN</t>
        </is>
      </c>
      <c r="E1238" t="inlineStr">
        <is>
          <t>LULEÅ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40179-2021</t>
        </is>
      </c>
      <c r="B1239" s="1" t="n">
        <v>44418.70153935185</v>
      </c>
      <c r="C1239" s="1" t="n">
        <v>45895</v>
      </c>
      <c r="D1239" t="inlineStr">
        <is>
          <t>NORRBOTTENS LÄN</t>
        </is>
      </c>
      <c r="E1239" t="inlineStr">
        <is>
          <t>PAJALA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12576-2022</t>
        </is>
      </c>
      <c r="B1240" s="1" t="n">
        <v>44638</v>
      </c>
      <c r="C1240" s="1" t="n">
        <v>45895</v>
      </c>
      <c r="D1240" t="inlineStr">
        <is>
          <t>NORRBOTTENS LÄN</t>
        </is>
      </c>
      <c r="E1240" t="inlineStr">
        <is>
          <t>JOKKMOKK</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69576-2021</t>
        </is>
      </c>
      <c r="B1241" s="1" t="n">
        <v>44532</v>
      </c>
      <c r="C1241" s="1" t="n">
        <v>45895</v>
      </c>
      <c r="D1241" t="inlineStr">
        <is>
          <t>NORRBOTTENS LÄN</t>
        </is>
      </c>
      <c r="E1241" t="inlineStr">
        <is>
          <t>ARVIDSJAUR</t>
        </is>
      </c>
      <c r="F1241" t="inlineStr">
        <is>
          <t>Övriga Aktiebolag</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35752-2022</t>
        </is>
      </c>
      <c r="B1242" s="1" t="n">
        <v>44799.94413194444</v>
      </c>
      <c r="C1242" s="1" t="n">
        <v>45895</v>
      </c>
      <c r="D1242" t="inlineStr">
        <is>
          <t>NORRBOTTENS LÄN</t>
        </is>
      </c>
      <c r="E1242" t="inlineStr">
        <is>
          <t>BODEN</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35753-2022</t>
        </is>
      </c>
      <c r="B1243" s="1" t="n">
        <v>44799.94417824074</v>
      </c>
      <c r="C1243" s="1" t="n">
        <v>45895</v>
      </c>
      <c r="D1243" t="inlineStr">
        <is>
          <t>NORRBOTTENS LÄN</t>
        </is>
      </c>
      <c r="E1243" t="inlineStr">
        <is>
          <t>BODEN</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35766-2022</t>
        </is>
      </c>
      <c r="B1244" s="1" t="n">
        <v>44800</v>
      </c>
      <c r="C1244" s="1" t="n">
        <v>45895</v>
      </c>
      <c r="D1244" t="inlineStr">
        <is>
          <t>NORRBOTTENS LÄN</t>
        </is>
      </c>
      <c r="E1244" t="inlineStr">
        <is>
          <t>LULEÅ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51540-2021</t>
        </is>
      </c>
      <c r="B1245" s="1" t="n">
        <v>44462.40960648148</v>
      </c>
      <c r="C1245" s="1" t="n">
        <v>45895</v>
      </c>
      <c r="D1245" t="inlineStr">
        <is>
          <t>NORRBOTTENS LÄN</t>
        </is>
      </c>
      <c r="E1245" t="inlineStr">
        <is>
          <t>ÄLVSBYN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40899-2020</t>
        </is>
      </c>
      <c r="B1246" s="1" t="n">
        <v>44070</v>
      </c>
      <c r="C1246" s="1" t="n">
        <v>45895</v>
      </c>
      <c r="D1246" t="inlineStr">
        <is>
          <t>NORRBOTTENS LÄN</t>
        </is>
      </c>
      <c r="E1246" t="inlineStr">
        <is>
          <t>GÄLLIVARE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20753-2021</t>
        </is>
      </c>
      <c r="B1247" s="1" t="n">
        <v>44313</v>
      </c>
      <c r="C1247" s="1" t="n">
        <v>45895</v>
      </c>
      <c r="D1247" t="inlineStr">
        <is>
          <t>NORRBOTTENS LÄN</t>
        </is>
      </c>
      <c r="E1247" t="inlineStr">
        <is>
          <t>BODEN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20756-2021</t>
        </is>
      </c>
      <c r="B1248" s="1" t="n">
        <v>44313</v>
      </c>
      <c r="C1248" s="1" t="n">
        <v>45895</v>
      </c>
      <c r="D1248" t="inlineStr">
        <is>
          <t>NORRBOTTENS LÄN</t>
        </is>
      </c>
      <c r="E1248" t="inlineStr">
        <is>
          <t>BODEN</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60948-2021</t>
        </is>
      </c>
      <c r="B1249" s="1" t="n">
        <v>44497</v>
      </c>
      <c r="C1249" s="1" t="n">
        <v>45895</v>
      </c>
      <c r="D1249" t="inlineStr">
        <is>
          <t>NORRBOTTENS LÄN</t>
        </is>
      </c>
      <c r="E1249" t="inlineStr">
        <is>
          <t>ÖVERTORNEÅ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4458-2021</t>
        </is>
      </c>
      <c r="B1250" s="1" t="n">
        <v>44224</v>
      </c>
      <c r="C1250" s="1" t="n">
        <v>45895</v>
      </c>
      <c r="D1250" t="inlineStr">
        <is>
          <t>NORRBOTTENS LÄN</t>
        </is>
      </c>
      <c r="E1250" t="inlineStr">
        <is>
          <t>KALIX</t>
        </is>
      </c>
      <c r="F1250" t="inlineStr">
        <is>
          <t>Sveaskog</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7082-2021</t>
        </is>
      </c>
      <c r="B1251" s="1" t="n">
        <v>44237</v>
      </c>
      <c r="C1251" s="1" t="n">
        <v>45895</v>
      </c>
      <c r="D1251" t="inlineStr">
        <is>
          <t>NORRBOTTENS LÄN</t>
        </is>
      </c>
      <c r="E1251" t="inlineStr">
        <is>
          <t>PITEÅ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9838-2021</t>
        </is>
      </c>
      <c r="B1252" s="1" t="n">
        <v>44252</v>
      </c>
      <c r="C1252" s="1" t="n">
        <v>45895</v>
      </c>
      <c r="D1252" t="inlineStr">
        <is>
          <t>NORRBOTTENS LÄN</t>
        </is>
      </c>
      <c r="E1252" t="inlineStr">
        <is>
          <t>ÖVERTORNEÅ</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9842-2021</t>
        </is>
      </c>
      <c r="B1253" s="1" t="n">
        <v>44252</v>
      </c>
      <c r="C1253" s="1" t="n">
        <v>45895</v>
      </c>
      <c r="D1253" t="inlineStr">
        <is>
          <t>NORRBOTTENS LÄN</t>
        </is>
      </c>
      <c r="E1253" t="inlineStr">
        <is>
          <t>ÖVERTORNEÅ</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45603-2021</t>
        </is>
      </c>
      <c r="B1254" s="1" t="n">
        <v>44440.83734953704</v>
      </c>
      <c r="C1254" s="1" t="n">
        <v>45895</v>
      </c>
      <c r="D1254" t="inlineStr">
        <is>
          <t>NORRBOTTENS LÄN</t>
        </is>
      </c>
      <c r="E1254" t="inlineStr">
        <is>
          <t>ÄLVSBYN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35057-2021</t>
        </is>
      </c>
      <c r="B1255" s="1" t="n">
        <v>44383</v>
      </c>
      <c r="C1255" s="1" t="n">
        <v>45895</v>
      </c>
      <c r="D1255" t="inlineStr">
        <is>
          <t>NORRBOTTENS LÄN</t>
        </is>
      </c>
      <c r="E1255" t="inlineStr">
        <is>
          <t>PITEÅ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29119-2022</t>
        </is>
      </c>
      <c r="B1256" s="1" t="n">
        <v>44749</v>
      </c>
      <c r="C1256" s="1" t="n">
        <v>45895</v>
      </c>
      <c r="D1256" t="inlineStr">
        <is>
          <t>NORRBOTTENS LÄN</t>
        </is>
      </c>
      <c r="E1256" t="inlineStr">
        <is>
          <t>BODEN</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60047-2020</t>
        </is>
      </c>
      <c r="B1257" s="1" t="n">
        <v>44151</v>
      </c>
      <c r="C1257" s="1" t="n">
        <v>45895</v>
      </c>
      <c r="D1257" t="inlineStr">
        <is>
          <t>NORRBOTTENS LÄN</t>
        </is>
      </c>
      <c r="E1257" t="inlineStr">
        <is>
          <t>BODEN</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39784-2021</t>
        </is>
      </c>
      <c r="B1258" s="1" t="n">
        <v>44417</v>
      </c>
      <c r="C1258" s="1" t="n">
        <v>45895</v>
      </c>
      <c r="D1258" t="inlineStr">
        <is>
          <t>NORRBOTTENS LÄN</t>
        </is>
      </c>
      <c r="E1258" t="inlineStr">
        <is>
          <t>JOKKMOKK</t>
        </is>
      </c>
      <c r="F1258" t="inlineStr">
        <is>
          <t>Naturvårdsverket</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55536-2022</t>
        </is>
      </c>
      <c r="B1259" s="1" t="n">
        <v>44887.95318287037</v>
      </c>
      <c r="C1259" s="1" t="n">
        <v>45895</v>
      </c>
      <c r="D1259" t="inlineStr">
        <is>
          <t>NORRBOTTENS LÄN</t>
        </is>
      </c>
      <c r="E1259" t="inlineStr">
        <is>
          <t>BODEN</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24574-2021</t>
        </is>
      </c>
      <c r="B1260" s="1" t="n">
        <v>44339.88760416667</v>
      </c>
      <c r="C1260" s="1" t="n">
        <v>45895</v>
      </c>
      <c r="D1260" t="inlineStr">
        <is>
          <t>NORRBOTTENS LÄN</t>
        </is>
      </c>
      <c r="E1260" t="inlineStr">
        <is>
          <t>PITEÅ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8834-2021</t>
        </is>
      </c>
      <c r="B1261" s="1" t="n">
        <v>44245</v>
      </c>
      <c r="C1261" s="1" t="n">
        <v>45895</v>
      </c>
      <c r="D1261" t="inlineStr">
        <is>
          <t>NORRBOTTENS LÄN</t>
        </is>
      </c>
      <c r="E1261" t="inlineStr">
        <is>
          <t>LULEÅ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52728-2020</t>
        </is>
      </c>
      <c r="B1262" s="1" t="n">
        <v>44117</v>
      </c>
      <c r="C1262" s="1" t="n">
        <v>45895</v>
      </c>
      <c r="D1262" t="inlineStr">
        <is>
          <t>NORRBOTTENS LÄN</t>
        </is>
      </c>
      <c r="E1262" t="inlineStr">
        <is>
          <t>PAJALA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47779-2022</t>
        </is>
      </c>
      <c r="B1263" s="1" t="n">
        <v>44854</v>
      </c>
      <c r="C1263" s="1" t="n">
        <v>45895</v>
      </c>
      <c r="D1263" t="inlineStr">
        <is>
          <t>NORRBOTTENS LÄN</t>
        </is>
      </c>
      <c r="E1263" t="inlineStr">
        <is>
          <t>GÄLLIVARE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39759-2022</t>
        </is>
      </c>
      <c r="B1264" s="1" t="n">
        <v>44819</v>
      </c>
      <c r="C1264" s="1" t="n">
        <v>45895</v>
      </c>
      <c r="D1264" t="inlineStr">
        <is>
          <t>NORRBOTTENS LÄN</t>
        </is>
      </c>
      <c r="E1264" t="inlineStr">
        <is>
          <t>ARVIDSJAUR</t>
        </is>
      </c>
      <c r="F1264" t="inlineStr">
        <is>
          <t>Sveaskog</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31439-2021</t>
        </is>
      </c>
      <c r="B1265" s="1" t="n">
        <v>44369</v>
      </c>
      <c r="C1265" s="1" t="n">
        <v>45895</v>
      </c>
      <c r="D1265" t="inlineStr">
        <is>
          <t>NORRBOTTENS LÄN</t>
        </is>
      </c>
      <c r="E1265" t="inlineStr">
        <is>
          <t>ARJEPLOG</t>
        </is>
      </c>
      <c r="F1265" t="inlineStr">
        <is>
          <t>Sveaskog</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23546-2022</t>
        </is>
      </c>
      <c r="B1266" s="1" t="n">
        <v>44721</v>
      </c>
      <c r="C1266" s="1" t="n">
        <v>45895</v>
      </c>
      <c r="D1266" t="inlineStr">
        <is>
          <t>NORRBOTTENS LÄN</t>
        </is>
      </c>
      <c r="E1266" t="inlineStr">
        <is>
          <t>BODEN</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27092-2022</t>
        </is>
      </c>
      <c r="B1267" s="1" t="n">
        <v>44741</v>
      </c>
      <c r="C1267" s="1" t="n">
        <v>45895</v>
      </c>
      <c r="D1267" t="inlineStr">
        <is>
          <t>NORRBOTTENS LÄN</t>
        </is>
      </c>
      <c r="E1267" t="inlineStr">
        <is>
          <t>ARJEPLOG</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35069-2022</t>
        </is>
      </c>
      <c r="B1268" s="1" t="n">
        <v>44797.36959490741</v>
      </c>
      <c r="C1268" s="1" t="n">
        <v>45895</v>
      </c>
      <c r="D1268" t="inlineStr">
        <is>
          <t>NORRBOTTENS LÄN</t>
        </is>
      </c>
      <c r="E1268" t="inlineStr">
        <is>
          <t>BODEN</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71833-2021</t>
        </is>
      </c>
      <c r="B1269" s="1" t="n">
        <v>44543.62024305556</v>
      </c>
      <c r="C1269" s="1" t="n">
        <v>45895</v>
      </c>
      <c r="D1269" t="inlineStr">
        <is>
          <t>NORRBOTTENS LÄN</t>
        </is>
      </c>
      <c r="E1269" t="inlineStr">
        <is>
          <t>BODEN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41799-2021</t>
        </is>
      </c>
      <c r="B1270" s="1" t="n">
        <v>44425</v>
      </c>
      <c r="C1270" s="1" t="n">
        <v>45895</v>
      </c>
      <c r="D1270" t="inlineStr">
        <is>
          <t>NORRBOTTENS LÄN</t>
        </is>
      </c>
      <c r="E1270" t="inlineStr">
        <is>
          <t>ARJEPLOG</t>
        </is>
      </c>
      <c r="G1270" t="n">
        <v>11.3</v>
      </c>
      <c r="H1270" t="n">
        <v>0</v>
      </c>
      <c r="I1270" t="n">
        <v>0</v>
      </c>
      <c r="J1270" t="n">
        <v>0</v>
      </c>
      <c r="K1270" t="n">
        <v>0</v>
      </c>
      <c r="L1270" t="n">
        <v>0</v>
      </c>
      <c r="M1270" t="n">
        <v>0</v>
      </c>
      <c r="N1270" t="n">
        <v>0</v>
      </c>
      <c r="O1270" t="n">
        <v>0</v>
      </c>
      <c r="P1270" t="n">
        <v>0</v>
      </c>
      <c r="Q1270" t="n">
        <v>0</v>
      </c>
      <c r="R1270" s="2" t="inlineStr"/>
    </row>
    <row r="1271" ht="15" customHeight="1">
      <c r="A1271" t="inlineStr">
        <is>
          <t>A 23871-2022</t>
        </is>
      </c>
      <c r="B1271" s="1" t="n">
        <v>44722</v>
      </c>
      <c r="C1271" s="1" t="n">
        <v>45895</v>
      </c>
      <c r="D1271" t="inlineStr">
        <is>
          <t>NORRBOTTENS LÄN</t>
        </is>
      </c>
      <c r="E1271" t="inlineStr">
        <is>
          <t>BODEN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65410-2021</t>
        </is>
      </c>
      <c r="B1272" s="1" t="n">
        <v>44515.9200462963</v>
      </c>
      <c r="C1272" s="1" t="n">
        <v>45895</v>
      </c>
      <c r="D1272" t="inlineStr">
        <is>
          <t>NORRBOTTENS LÄN</t>
        </is>
      </c>
      <c r="E1272" t="inlineStr">
        <is>
          <t>ÄLVSBYN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9497-2021</t>
        </is>
      </c>
      <c r="B1273" s="1" t="n">
        <v>44251.50324074074</v>
      </c>
      <c r="C1273" s="1" t="n">
        <v>45895</v>
      </c>
      <c r="D1273" t="inlineStr">
        <is>
          <t>NORRBOTTENS LÄN</t>
        </is>
      </c>
      <c r="E1273" t="inlineStr">
        <is>
          <t>HAPARANDA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10553-2022</t>
        </is>
      </c>
      <c r="B1274" s="1" t="n">
        <v>44623.93768518518</v>
      </c>
      <c r="C1274" s="1" t="n">
        <v>45895</v>
      </c>
      <c r="D1274" t="inlineStr">
        <is>
          <t>NORRBOTTENS LÄN</t>
        </is>
      </c>
      <c r="E1274" t="inlineStr">
        <is>
          <t>ÖVERKALIX</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10648-2022</t>
        </is>
      </c>
      <c r="B1275" s="1" t="n">
        <v>44624</v>
      </c>
      <c r="C1275" s="1" t="n">
        <v>45895</v>
      </c>
      <c r="D1275" t="inlineStr">
        <is>
          <t>NORRBOTTENS LÄN</t>
        </is>
      </c>
      <c r="E1275" t="inlineStr">
        <is>
          <t>ARVIDSJAUR</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36225-2021</t>
        </is>
      </c>
      <c r="B1276" s="1" t="n">
        <v>44389</v>
      </c>
      <c r="C1276" s="1" t="n">
        <v>45895</v>
      </c>
      <c r="D1276" t="inlineStr">
        <is>
          <t>NORRBOTTENS LÄN</t>
        </is>
      </c>
      <c r="E1276" t="inlineStr">
        <is>
          <t>PAJALA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35044-2022</t>
        </is>
      </c>
      <c r="B1277" s="1" t="n">
        <v>44796</v>
      </c>
      <c r="C1277" s="1" t="n">
        <v>45895</v>
      </c>
      <c r="D1277" t="inlineStr">
        <is>
          <t>NORRBOTTENS LÄN</t>
        </is>
      </c>
      <c r="E1277" t="inlineStr">
        <is>
          <t>BODEN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35046-2022</t>
        </is>
      </c>
      <c r="B1278" s="1" t="n">
        <v>44796</v>
      </c>
      <c r="C1278" s="1" t="n">
        <v>45895</v>
      </c>
      <c r="D1278" t="inlineStr">
        <is>
          <t>NORRBOTTENS LÄN</t>
        </is>
      </c>
      <c r="E1278" t="inlineStr">
        <is>
          <t>BODEN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62757-2020</t>
        </is>
      </c>
      <c r="B1279" s="1" t="n">
        <v>44161</v>
      </c>
      <c r="C1279" s="1" t="n">
        <v>45895</v>
      </c>
      <c r="D1279" t="inlineStr">
        <is>
          <t>NORRBOTTENS LÄN</t>
        </is>
      </c>
      <c r="E1279" t="inlineStr">
        <is>
          <t>JOKKMOKK</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33903-2021</t>
        </is>
      </c>
      <c r="B1280" s="1" t="n">
        <v>44378</v>
      </c>
      <c r="C1280" s="1" t="n">
        <v>45895</v>
      </c>
      <c r="D1280" t="inlineStr">
        <is>
          <t>NORRBOTTENS LÄN</t>
        </is>
      </c>
      <c r="E1280" t="inlineStr">
        <is>
          <t>BODEN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30672-2021</t>
        </is>
      </c>
      <c r="B1281" s="1" t="n">
        <v>44365.38575231482</v>
      </c>
      <c r="C1281" s="1" t="n">
        <v>45895</v>
      </c>
      <c r="D1281" t="inlineStr">
        <is>
          <t>NORRBOTTENS LÄN</t>
        </is>
      </c>
      <c r="E1281" t="inlineStr">
        <is>
          <t>ÖVERKALIX</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45895</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30688-2021</t>
        </is>
      </c>
      <c r="B1283" s="1" t="n">
        <v>44365.40936342593</v>
      </c>
      <c r="C1283" s="1" t="n">
        <v>45895</v>
      </c>
      <c r="D1283" t="inlineStr">
        <is>
          <t>NORRBOTTENS LÄN</t>
        </is>
      </c>
      <c r="E1283" t="inlineStr">
        <is>
          <t>ÖVERTORNEÅ</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69534-2020</t>
        </is>
      </c>
      <c r="B1284" s="1" t="n">
        <v>44194</v>
      </c>
      <c r="C1284" s="1" t="n">
        <v>45895</v>
      </c>
      <c r="D1284" t="inlineStr">
        <is>
          <t>NORRBOTTENS LÄN</t>
        </is>
      </c>
      <c r="E1284" t="inlineStr">
        <is>
          <t>ÖVERKALIX</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3416-2022</t>
        </is>
      </c>
      <c r="B1285" s="1" t="n">
        <v>44585</v>
      </c>
      <c r="C1285" s="1" t="n">
        <v>45895</v>
      </c>
      <c r="D1285" t="inlineStr">
        <is>
          <t>NORRBOTTENS LÄN</t>
        </is>
      </c>
      <c r="E1285" t="inlineStr">
        <is>
          <t>ÖVERTORNEÅ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52027-2022</t>
        </is>
      </c>
      <c r="B1286" s="1" t="n">
        <v>44872</v>
      </c>
      <c r="C1286" s="1" t="n">
        <v>45895</v>
      </c>
      <c r="D1286" t="inlineStr">
        <is>
          <t>NORRBOTTENS LÄN</t>
        </is>
      </c>
      <c r="E1286" t="inlineStr">
        <is>
          <t>ÖVERKALIX</t>
        </is>
      </c>
      <c r="F1286" t="inlineStr">
        <is>
          <t>SCA</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26223-2022</t>
        </is>
      </c>
      <c r="B1287" s="1" t="n">
        <v>44735</v>
      </c>
      <c r="C1287" s="1" t="n">
        <v>45895</v>
      </c>
      <c r="D1287" t="inlineStr">
        <is>
          <t>NORRBOTTENS LÄN</t>
        </is>
      </c>
      <c r="E1287" t="inlineStr">
        <is>
          <t>ARVIDSJAUR</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27688-2022</t>
        </is>
      </c>
      <c r="B1288" s="1" t="n">
        <v>44743.43572916667</v>
      </c>
      <c r="C1288" s="1" t="n">
        <v>45895</v>
      </c>
      <c r="D1288" t="inlineStr">
        <is>
          <t>NORRBOTTENS LÄN</t>
        </is>
      </c>
      <c r="E1288" t="inlineStr">
        <is>
          <t>BODEN</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74274-2021</t>
        </is>
      </c>
      <c r="B1289" s="1" t="n">
        <v>44558</v>
      </c>
      <c r="C1289" s="1" t="n">
        <v>45895</v>
      </c>
      <c r="D1289" t="inlineStr">
        <is>
          <t>NORRBOTTENS LÄN</t>
        </is>
      </c>
      <c r="E1289" t="inlineStr">
        <is>
          <t>LULEÅ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68808-2021</t>
        </is>
      </c>
      <c r="B1290" s="1" t="n">
        <v>44529</v>
      </c>
      <c r="C1290" s="1" t="n">
        <v>45895</v>
      </c>
      <c r="D1290" t="inlineStr">
        <is>
          <t>NORRBOTTENS LÄN</t>
        </is>
      </c>
      <c r="E1290" t="inlineStr">
        <is>
          <t>LULEÅ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23575-2022</t>
        </is>
      </c>
      <c r="B1291" s="1" t="n">
        <v>44721</v>
      </c>
      <c r="C1291" s="1" t="n">
        <v>45895</v>
      </c>
      <c r="D1291" t="inlineStr">
        <is>
          <t>NORRBOTTENS LÄN</t>
        </is>
      </c>
      <c r="E1291" t="inlineStr">
        <is>
          <t>ARVIDSJAUR</t>
        </is>
      </c>
      <c r="F1291" t="inlineStr">
        <is>
          <t>Övriga Aktiebolag</t>
        </is>
      </c>
      <c r="G1291" t="n">
        <v>13.8</v>
      </c>
      <c r="H1291" t="n">
        <v>0</v>
      </c>
      <c r="I1291" t="n">
        <v>0</v>
      </c>
      <c r="J1291" t="n">
        <v>0</v>
      </c>
      <c r="K1291" t="n">
        <v>0</v>
      </c>
      <c r="L1291" t="n">
        <v>0</v>
      </c>
      <c r="M1291" t="n">
        <v>0</v>
      </c>
      <c r="N1291" t="n">
        <v>0</v>
      </c>
      <c r="O1291" t="n">
        <v>0</v>
      </c>
      <c r="P1291" t="n">
        <v>0</v>
      </c>
      <c r="Q1291" t="n">
        <v>0</v>
      </c>
      <c r="R1291" s="2" t="inlineStr"/>
    </row>
    <row r="1292" ht="15" customHeight="1">
      <c r="A1292" t="inlineStr">
        <is>
          <t>A 74158-2021</t>
        </is>
      </c>
      <c r="B1292" s="1" t="n">
        <v>44557</v>
      </c>
      <c r="C1292" s="1" t="n">
        <v>45895</v>
      </c>
      <c r="D1292" t="inlineStr">
        <is>
          <t>NORRBOTTENS LÄN</t>
        </is>
      </c>
      <c r="E1292" t="inlineStr">
        <is>
          <t>ÖVERTORNEÅ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1144-2021</t>
        </is>
      </c>
      <c r="B1293" s="1" t="n">
        <v>44207</v>
      </c>
      <c r="C1293" s="1" t="n">
        <v>45895</v>
      </c>
      <c r="D1293" t="inlineStr">
        <is>
          <t>NORRBOTTENS LÄN</t>
        </is>
      </c>
      <c r="E1293" t="inlineStr">
        <is>
          <t>LULEÅ</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1147-2021</t>
        </is>
      </c>
      <c r="B1294" s="1" t="n">
        <v>44207</v>
      </c>
      <c r="C1294" s="1" t="n">
        <v>45895</v>
      </c>
      <c r="D1294" t="inlineStr">
        <is>
          <t>NORRBOTTENS LÄN</t>
        </is>
      </c>
      <c r="E1294" t="inlineStr">
        <is>
          <t>LULEÅ</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51582-2020</t>
        </is>
      </c>
      <c r="B1295" s="1" t="n">
        <v>44113</v>
      </c>
      <c r="C1295" s="1" t="n">
        <v>45895</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39409-2022</t>
        </is>
      </c>
      <c r="B1296" s="1" t="n">
        <v>44817.94969907407</v>
      </c>
      <c r="C1296" s="1" t="n">
        <v>45895</v>
      </c>
      <c r="D1296" t="inlineStr">
        <is>
          <t>NORRBOTTENS LÄN</t>
        </is>
      </c>
      <c r="E1296" t="inlineStr">
        <is>
          <t>PITEÅ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49192-2022</t>
        </is>
      </c>
      <c r="B1297" s="1" t="n">
        <v>44860.95476851852</v>
      </c>
      <c r="C1297" s="1" t="n">
        <v>45895</v>
      </c>
      <c r="D1297" t="inlineStr">
        <is>
          <t>NORRBOTTENS LÄN</t>
        </is>
      </c>
      <c r="E1297" t="inlineStr">
        <is>
          <t>KALIX</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5559-2021</t>
        </is>
      </c>
      <c r="B1298" s="1" t="n">
        <v>44229</v>
      </c>
      <c r="C1298" s="1" t="n">
        <v>45895</v>
      </c>
      <c r="D1298" t="inlineStr">
        <is>
          <t>NORRBOTTENS LÄN</t>
        </is>
      </c>
      <c r="E1298" t="inlineStr">
        <is>
          <t>LULEÅ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41990-2020</t>
        </is>
      </c>
      <c r="B1299" s="1" t="n">
        <v>44075</v>
      </c>
      <c r="C1299" s="1" t="n">
        <v>45895</v>
      </c>
      <c r="D1299" t="inlineStr">
        <is>
          <t>NORRBOTTENS LÄN</t>
        </is>
      </c>
      <c r="E1299" t="inlineStr">
        <is>
          <t>LULEÅ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33446-2022</t>
        </is>
      </c>
      <c r="B1300" s="1" t="n">
        <v>44788.65056712963</v>
      </c>
      <c r="C1300" s="1" t="n">
        <v>45895</v>
      </c>
      <c r="D1300" t="inlineStr">
        <is>
          <t>NORRBOTTENS LÄN</t>
        </is>
      </c>
      <c r="E1300" t="inlineStr">
        <is>
          <t>GÄLLIVARE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73180-2021</t>
        </is>
      </c>
      <c r="B1301" s="1" t="n">
        <v>44550.59190972222</v>
      </c>
      <c r="C1301" s="1" t="n">
        <v>45895</v>
      </c>
      <c r="D1301" t="inlineStr">
        <is>
          <t>NORRBOTTENS LÄN</t>
        </is>
      </c>
      <c r="E1301" t="inlineStr">
        <is>
          <t>PAJALA</t>
        </is>
      </c>
      <c r="F1301" t="inlineStr">
        <is>
          <t>Sveaskog</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32653-2022</t>
        </is>
      </c>
      <c r="B1302" s="1" t="n">
        <v>44783</v>
      </c>
      <c r="C1302" s="1" t="n">
        <v>45895</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23584-2022</t>
        </is>
      </c>
      <c r="B1303" s="1" t="n">
        <v>44721</v>
      </c>
      <c r="C1303" s="1" t="n">
        <v>45895</v>
      </c>
      <c r="D1303" t="inlineStr">
        <is>
          <t>NORRBOTTENS LÄN</t>
        </is>
      </c>
      <c r="E1303" t="inlineStr">
        <is>
          <t>KALIX</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57583-2021</t>
        </is>
      </c>
      <c r="B1304" s="1" t="n">
        <v>44484</v>
      </c>
      <c r="C1304" s="1" t="n">
        <v>45895</v>
      </c>
      <c r="D1304" t="inlineStr">
        <is>
          <t>NORRBOTTENS LÄN</t>
        </is>
      </c>
      <c r="E1304" t="inlineStr">
        <is>
          <t>BODEN</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46097-2020</t>
        </is>
      </c>
      <c r="B1305" s="1" t="n">
        <v>44088</v>
      </c>
      <c r="C1305" s="1" t="n">
        <v>45895</v>
      </c>
      <c r="D1305" t="inlineStr">
        <is>
          <t>NORRBOTTENS LÄN</t>
        </is>
      </c>
      <c r="E1305" t="inlineStr">
        <is>
          <t>JOKKMOKK</t>
        </is>
      </c>
      <c r="F1305" t="inlineStr">
        <is>
          <t>Övriga Aktiebolag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65717-2020</t>
        </is>
      </c>
      <c r="B1306" s="1" t="n">
        <v>44174</v>
      </c>
      <c r="C1306" s="1" t="n">
        <v>45895</v>
      </c>
      <c r="D1306" t="inlineStr">
        <is>
          <t>NORRBOTTENS LÄN</t>
        </is>
      </c>
      <c r="E1306" t="inlineStr">
        <is>
          <t>BODEN</t>
        </is>
      </c>
      <c r="F1306" t="inlineStr">
        <is>
          <t>Sveaskog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32196-2022</t>
        </is>
      </c>
      <c r="B1307" s="1" t="n">
        <v>44781</v>
      </c>
      <c r="C1307" s="1" t="n">
        <v>45895</v>
      </c>
      <c r="D1307" t="inlineStr">
        <is>
          <t>NORRBOTTENS LÄN</t>
        </is>
      </c>
      <c r="E1307" t="inlineStr">
        <is>
          <t>GÄLLIVARE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40833-2022</t>
        </is>
      </c>
      <c r="B1308" s="1" t="n">
        <v>44824</v>
      </c>
      <c r="C1308" s="1" t="n">
        <v>45895</v>
      </c>
      <c r="D1308" t="inlineStr">
        <is>
          <t>NORRBOTTENS LÄN</t>
        </is>
      </c>
      <c r="E1308" t="inlineStr">
        <is>
          <t>JOKKMOKK</t>
        </is>
      </c>
      <c r="F1308" t="inlineStr">
        <is>
          <t>SCA</t>
        </is>
      </c>
      <c r="G1308" t="n">
        <v>122.1</v>
      </c>
      <c r="H1308" t="n">
        <v>0</v>
      </c>
      <c r="I1308" t="n">
        <v>0</v>
      </c>
      <c r="J1308" t="n">
        <v>0</v>
      </c>
      <c r="K1308" t="n">
        <v>0</v>
      </c>
      <c r="L1308" t="n">
        <v>0</v>
      </c>
      <c r="M1308" t="n">
        <v>0</v>
      </c>
      <c r="N1308" t="n">
        <v>0</v>
      </c>
      <c r="O1308" t="n">
        <v>0</v>
      </c>
      <c r="P1308" t="n">
        <v>0</v>
      </c>
      <c r="Q1308" t="n">
        <v>0</v>
      </c>
      <c r="R1308" s="2" t="inlineStr"/>
    </row>
    <row r="1309" ht="15" customHeight="1">
      <c r="A1309" t="inlineStr">
        <is>
          <t>A 50725-2022</t>
        </is>
      </c>
      <c r="B1309" s="1" t="n">
        <v>44862</v>
      </c>
      <c r="C1309" s="1" t="n">
        <v>45895</v>
      </c>
      <c r="D1309" t="inlineStr">
        <is>
          <t>NORRBOTTENS LÄN</t>
        </is>
      </c>
      <c r="E1309" t="inlineStr">
        <is>
          <t>PAJALA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47661-2022</t>
        </is>
      </c>
      <c r="B1310" s="1" t="n">
        <v>44854.45994212963</v>
      </c>
      <c r="C1310" s="1" t="n">
        <v>45895</v>
      </c>
      <c r="D1310" t="inlineStr">
        <is>
          <t>NORRBOTTENS LÄN</t>
        </is>
      </c>
      <c r="E1310" t="inlineStr">
        <is>
          <t>HAPARANDA</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39378-2022</t>
        </is>
      </c>
      <c r="B1311" s="1" t="n">
        <v>44817</v>
      </c>
      <c r="C1311" s="1" t="n">
        <v>45895</v>
      </c>
      <c r="D1311" t="inlineStr">
        <is>
          <t>NORRBOTTENS LÄN</t>
        </is>
      </c>
      <c r="E1311" t="inlineStr">
        <is>
          <t>GÄLLIVARE</t>
        </is>
      </c>
      <c r="F1311" t="inlineStr">
        <is>
          <t>SCA</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27734-2022</t>
        </is>
      </c>
      <c r="B1312" s="1" t="n">
        <v>44743</v>
      </c>
      <c r="C1312" s="1" t="n">
        <v>45895</v>
      </c>
      <c r="D1312" t="inlineStr">
        <is>
          <t>NORRBOTTENS LÄN</t>
        </is>
      </c>
      <c r="E1312" t="inlineStr">
        <is>
          <t>ARVIDSJAUR</t>
        </is>
      </c>
      <c r="F1312" t="inlineStr">
        <is>
          <t>Sveaskog</t>
        </is>
      </c>
      <c r="G1312" t="n">
        <v>18.1</v>
      </c>
      <c r="H1312" t="n">
        <v>0</v>
      </c>
      <c r="I1312" t="n">
        <v>0</v>
      </c>
      <c r="J1312" t="n">
        <v>0</v>
      </c>
      <c r="K1312" t="n">
        <v>0</v>
      </c>
      <c r="L1312" t="n">
        <v>0</v>
      </c>
      <c r="M1312" t="n">
        <v>0</v>
      </c>
      <c r="N1312" t="n">
        <v>0</v>
      </c>
      <c r="O1312" t="n">
        <v>0</v>
      </c>
      <c r="P1312" t="n">
        <v>0</v>
      </c>
      <c r="Q1312" t="n">
        <v>0</v>
      </c>
      <c r="R1312" s="2" t="inlineStr"/>
    </row>
    <row r="1313" ht="15" customHeight="1">
      <c r="A1313" t="inlineStr">
        <is>
          <t>A 67127-2020</t>
        </is>
      </c>
      <c r="B1313" s="1" t="n">
        <v>44180</v>
      </c>
      <c r="C1313" s="1" t="n">
        <v>45895</v>
      </c>
      <c r="D1313" t="inlineStr">
        <is>
          <t>NORRBOTTENS LÄN</t>
        </is>
      </c>
      <c r="E1313" t="inlineStr">
        <is>
          <t>ARVIDSJAUR</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20000-2022</t>
        </is>
      </c>
      <c r="B1314" s="1" t="n">
        <v>44697</v>
      </c>
      <c r="C1314" s="1" t="n">
        <v>45895</v>
      </c>
      <c r="D1314" t="inlineStr">
        <is>
          <t>NORRBOTTENS LÄN</t>
        </is>
      </c>
      <c r="E1314" t="inlineStr">
        <is>
          <t>GÄLLIVARE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38490-2022</t>
        </is>
      </c>
      <c r="B1315" s="1" t="n">
        <v>44813.55563657408</v>
      </c>
      <c r="C1315" s="1" t="n">
        <v>45895</v>
      </c>
      <c r="D1315" t="inlineStr">
        <is>
          <t>NORRBOTTENS LÄN</t>
        </is>
      </c>
      <c r="E1315" t="inlineStr">
        <is>
          <t>ÄLVSBYN</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73605-2021</t>
        </is>
      </c>
      <c r="B1316" s="1" t="n">
        <v>44551</v>
      </c>
      <c r="C1316" s="1" t="n">
        <v>45895</v>
      </c>
      <c r="D1316" t="inlineStr">
        <is>
          <t>NORRBOTTENS LÄN</t>
        </is>
      </c>
      <c r="E1316" t="inlineStr">
        <is>
          <t>ÖVERTORNEÅ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27234-2022</t>
        </is>
      </c>
      <c r="B1317" s="1" t="n">
        <v>44741</v>
      </c>
      <c r="C1317" s="1" t="n">
        <v>45895</v>
      </c>
      <c r="D1317" t="inlineStr">
        <is>
          <t>NORRBOTTENS LÄN</t>
        </is>
      </c>
      <c r="E1317" t="inlineStr">
        <is>
          <t>ARVIDSJAUR</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34934-2021</t>
        </is>
      </c>
      <c r="B1318" s="1" t="n">
        <v>44383</v>
      </c>
      <c r="C1318" s="1" t="n">
        <v>45895</v>
      </c>
      <c r="D1318" t="inlineStr">
        <is>
          <t>NORRBOTTENS LÄN</t>
        </is>
      </c>
      <c r="E1318" t="inlineStr">
        <is>
          <t>PAJALA</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30004-2022</t>
        </is>
      </c>
      <c r="B1319" s="1" t="n">
        <v>44756.92539351852</v>
      </c>
      <c r="C1319" s="1" t="n">
        <v>45895</v>
      </c>
      <c r="D1319" t="inlineStr">
        <is>
          <t>NORRBOTTENS LÄN</t>
        </is>
      </c>
      <c r="E1319" t="inlineStr">
        <is>
          <t>HAPARANDA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25695-2022</t>
        </is>
      </c>
      <c r="B1320" s="1" t="n">
        <v>44733.359375</v>
      </c>
      <c r="C1320" s="1" t="n">
        <v>45895</v>
      </c>
      <c r="D1320" t="inlineStr">
        <is>
          <t>NORRBOTTENS LÄN</t>
        </is>
      </c>
      <c r="E1320" t="inlineStr">
        <is>
          <t>ÖVERTORNEÅ</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73539-2021</t>
        </is>
      </c>
      <c r="B1321" s="1" t="n">
        <v>44550</v>
      </c>
      <c r="C1321" s="1" t="n">
        <v>45895</v>
      </c>
      <c r="D1321" t="inlineStr">
        <is>
          <t>NORRBOTTENS LÄN</t>
        </is>
      </c>
      <c r="E1321" t="inlineStr">
        <is>
          <t>LULEÅ</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51391-2022</t>
        </is>
      </c>
      <c r="B1322" s="1" t="n">
        <v>44869</v>
      </c>
      <c r="C1322" s="1" t="n">
        <v>45895</v>
      </c>
      <c r="D1322" t="inlineStr">
        <is>
          <t>NORRBOTTENS LÄN</t>
        </is>
      </c>
      <c r="E1322" t="inlineStr">
        <is>
          <t>PAJALA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27060-2021</t>
        </is>
      </c>
      <c r="B1323" s="1" t="n">
        <v>44350</v>
      </c>
      <c r="C1323" s="1" t="n">
        <v>45895</v>
      </c>
      <c r="D1323" t="inlineStr">
        <is>
          <t>NORRBOTTENS LÄN</t>
        </is>
      </c>
      <c r="E1323" t="inlineStr">
        <is>
          <t>KALIX</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45002-2021</t>
        </is>
      </c>
      <c r="B1324" s="1" t="n">
        <v>44438</v>
      </c>
      <c r="C1324" s="1" t="n">
        <v>45895</v>
      </c>
      <c r="D1324" t="inlineStr">
        <is>
          <t>NORRBOTTENS LÄN</t>
        </is>
      </c>
      <c r="E1324" t="inlineStr">
        <is>
          <t>BODEN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71927-2021</t>
        </is>
      </c>
      <c r="B1325" s="1" t="n">
        <v>44543.94331018518</v>
      </c>
      <c r="C1325" s="1" t="n">
        <v>45895</v>
      </c>
      <c r="D1325" t="inlineStr">
        <is>
          <t>NORRBOTTENS LÄN</t>
        </is>
      </c>
      <c r="E1325" t="inlineStr">
        <is>
          <t>JOKKMOKK</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71937-2021</t>
        </is>
      </c>
      <c r="B1326" s="1" t="n">
        <v>44543.94414351852</v>
      </c>
      <c r="C1326" s="1" t="n">
        <v>45895</v>
      </c>
      <c r="D1326" t="inlineStr">
        <is>
          <t>NORRBOTTENS LÄN</t>
        </is>
      </c>
      <c r="E1326" t="inlineStr">
        <is>
          <t>JOKKMOKK</t>
        </is>
      </c>
      <c r="F1326" t="inlineStr">
        <is>
          <t>Naturvårdsverket</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3735-2021</t>
        </is>
      </c>
      <c r="B1327" s="1" t="n">
        <v>44132</v>
      </c>
      <c r="C1327" s="1" t="n">
        <v>45895</v>
      </c>
      <c r="D1327" t="inlineStr">
        <is>
          <t>NORRBOTTENS LÄN</t>
        </is>
      </c>
      <c r="E1327" t="inlineStr">
        <is>
          <t>PAJALA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3778-2021</t>
        </is>
      </c>
      <c r="B1328" s="1" t="n">
        <v>44217</v>
      </c>
      <c r="C1328" s="1" t="n">
        <v>45895</v>
      </c>
      <c r="D1328" t="inlineStr">
        <is>
          <t>NORRBOTTENS LÄN</t>
        </is>
      </c>
      <c r="E1328" t="inlineStr">
        <is>
          <t>BODEN</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26390-2022</t>
        </is>
      </c>
      <c r="B1329" s="1" t="n">
        <v>44735.73266203704</v>
      </c>
      <c r="C1329" s="1" t="n">
        <v>45895</v>
      </c>
      <c r="D1329" t="inlineStr">
        <is>
          <t>NORRBOTTENS LÄN</t>
        </is>
      </c>
      <c r="E1329" t="inlineStr">
        <is>
          <t>PITEÅ</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43188-2022</t>
        </is>
      </c>
      <c r="B1330" s="1" t="n">
        <v>44833</v>
      </c>
      <c r="C1330" s="1" t="n">
        <v>45895</v>
      </c>
      <c r="D1330" t="inlineStr">
        <is>
          <t>NORRBOTTENS LÄN</t>
        </is>
      </c>
      <c r="E1330" t="inlineStr">
        <is>
          <t>KALIX</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40834-2022</t>
        </is>
      </c>
      <c r="B1331" s="1" t="n">
        <v>44824</v>
      </c>
      <c r="C1331" s="1" t="n">
        <v>45895</v>
      </c>
      <c r="D1331" t="inlineStr">
        <is>
          <t>NORRBOTTENS LÄN</t>
        </is>
      </c>
      <c r="E1331" t="inlineStr">
        <is>
          <t>JOKKMOKK</t>
        </is>
      </c>
      <c r="F1331" t="inlineStr">
        <is>
          <t>SCA</t>
        </is>
      </c>
      <c r="G1331" t="n">
        <v>106.1</v>
      </c>
      <c r="H1331" t="n">
        <v>0</v>
      </c>
      <c r="I1331" t="n">
        <v>0</v>
      </c>
      <c r="J1331" t="n">
        <v>0</v>
      </c>
      <c r="K1331" t="n">
        <v>0</v>
      </c>
      <c r="L1331" t="n">
        <v>0</v>
      </c>
      <c r="M1331" t="n">
        <v>0</v>
      </c>
      <c r="N1331" t="n">
        <v>0</v>
      </c>
      <c r="O1331" t="n">
        <v>0</v>
      </c>
      <c r="P1331" t="n">
        <v>0</v>
      </c>
      <c r="Q1331" t="n">
        <v>0</v>
      </c>
      <c r="R1331" s="2" t="inlineStr"/>
    </row>
    <row r="1332" ht="15" customHeight="1">
      <c r="A1332" t="inlineStr">
        <is>
          <t>A 48369-2021</t>
        </is>
      </c>
      <c r="B1332" s="1" t="n">
        <v>44451</v>
      </c>
      <c r="C1332" s="1" t="n">
        <v>45895</v>
      </c>
      <c r="D1332" t="inlineStr">
        <is>
          <t>NORRBOTTENS LÄN</t>
        </is>
      </c>
      <c r="E1332" t="inlineStr">
        <is>
          <t>PAJALA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39914-2022</t>
        </is>
      </c>
      <c r="B1333" s="1" t="n">
        <v>44819.76788194444</v>
      </c>
      <c r="C1333" s="1" t="n">
        <v>45895</v>
      </c>
      <c r="D1333" t="inlineStr">
        <is>
          <t>NORRBOTTENS LÄN</t>
        </is>
      </c>
      <c r="E1333" t="inlineStr">
        <is>
          <t>ÄLVSBYN</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73713-2021</t>
        </is>
      </c>
      <c r="B1334" s="1" t="n">
        <v>44552</v>
      </c>
      <c r="C1334" s="1" t="n">
        <v>45895</v>
      </c>
      <c r="D1334" t="inlineStr">
        <is>
          <t>NORRBOTTENS LÄN</t>
        </is>
      </c>
      <c r="E1334" t="inlineStr">
        <is>
          <t>PAJALA</t>
        </is>
      </c>
      <c r="F1334" t="inlineStr">
        <is>
          <t>Sveaskog</t>
        </is>
      </c>
      <c r="G1334" t="n">
        <v>13.3</v>
      </c>
      <c r="H1334" t="n">
        <v>0</v>
      </c>
      <c r="I1334" t="n">
        <v>0</v>
      </c>
      <c r="J1334" t="n">
        <v>0</v>
      </c>
      <c r="K1334" t="n">
        <v>0</v>
      </c>
      <c r="L1334" t="n">
        <v>0</v>
      </c>
      <c r="M1334" t="n">
        <v>0</v>
      </c>
      <c r="N1334" t="n">
        <v>0</v>
      </c>
      <c r="O1334" t="n">
        <v>0</v>
      </c>
      <c r="P1334" t="n">
        <v>0</v>
      </c>
      <c r="Q1334" t="n">
        <v>0</v>
      </c>
      <c r="R1334" s="2" t="inlineStr"/>
    </row>
    <row r="1335" ht="15" customHeight="1">
      <c r="A1335" t="inlineStr">
        <is>
          <t>A 34656-2022</t>
        </is>
      </c>
      <c r="B1335" s="1" t="n">
        <v>44795</v>
      </c>
      <c r="C1335" s="1" t="n">
        <v>45895</v>
      </c>
      <c r="D1335" t="inlineStr">
        <is>
          <t>NORRBOTTENS LÄN</t>
        </is>
      </c>
      <c r="E1335" t="inlineStr">
        <is>
          <t>ÄLVSBYN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69110-2021</t>
        </is>
      </c>
      <c r="B1336" s="1" t="n">
        <v>44530</v>
      </c>
      <c r="C1336" s="1" t="n">
        <v>45895</v>
      </c>
      <c r="D1336" t="inlineStr">
        <is>
          <t>NORRBOTTENS LÄN</t>
        </is>
      </c>
      <c r="E1336" t="inlineStr">
        <is>
          <t>ÖVERKALIX</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69124-2021</t>
        </is>
      </c>
      <c r="B1337" s="1" t="n">
        <v>44530</v>
      </c>
      <c r="C1337" s="1" t="n">
        <v>45895</v>
      </c>
      <c r="D1337" t="inlineStr">
        <is>
          <t>NORRBOTTENS LÄN</t>
        </is>
      </c>
      <c r="E1337" t="inlineStr">
        <is>
          <t>BODEN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33643-2022</t>
        </is>
      </c>
      <c r="B1338" s="1" t="n">
        <v>44789</v>
      </c>
      <c r="C1338" s="1" t="n">
        <v>45895</v>
      </c>
      <c r="D1338" t="inlineStr">
        <is>
          <t>NORRBOTTENS LÄN</t>
        </is>
      </c>
      <c r="E1338" t="inlineStr">
        <is>
          <t>LULEÅ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7108-2021</t>
        </is>
      </c>
      <c r="B1339" s="1" t="n">
        <v>44238</v>
      </c>
      <c r="C1339" s="1" t="n">
        <v>45895</v>
      </c>
      <c r="D1339" t="inlineStr">
        <is>
          <t>NORRBOTTENS LÄN</t>
        </is>
      </c>
      <c r="E1339" t="inlineStr">
        <is>
          <t>BODEN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52115-2022</t>
        </is>
      </c>
      <c r="B1340" s="1" t="n">
        <v>44873.41837962963</v>
      </c>
      <c r="C1340" s="1" t="n">
        <v>45895</v>
      </c>
      <c r="D1340" t="inlineStr">
        <is>
          <t>NORRBOTTENS LÄN</t>
        </is>
      </c>
      <c r="E1340" t="inlineStr">
        <is>
          <t>PITEÅ</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20738-2021</t>
        </is>
      </c>
      <c r="B1341" s="1" t="n">
        <v>44313</v>
      </c>
      <c r="C1341" s="1" t="n">
        <v>45895</v>
      </c>
      <c r="D1341" t="inlineStr">
        <is>
          <t>NORRBOTTENS LÄN</t>
        </is>
      </c>
      <c r="E1341" t="inlineStr">
        <is>
          <t>BODEN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26234-2021</t>
        </is>
      </c>
      <c r="B1342" s="1" t="n">
        <v>44347</v>
      </c>
      <c r="C1342" s="1" t="n">
        <v>45895</v>
      </c>
      <c r="D1342" t="inlineStr">
        <is>
          <t>NORRBOTTENS LÄN</t>
        </is>
      </c>
      <c r="E1342" t="inlineStr">
        <is>
          <t>LULEÅ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52049-2022</t>
        </is>
      </c>
      <c r="B1343" s="1" t="n">
        <v>44873.32177083333</v>
      </c>
      <c r="C1343" s="1" t="n">
        <v>45895</v>
      </c>
      <c r="D1343" t="inlineStr">
        <is>
          <t>NORRBOTTENS LÄN</t>
        </is>
      </c>
      <c r="E1343" t="inlineStr">
        <is>
          <t>BODEN</t>
        </is>
      </c>
      <c r="F1343" t="inlineStr">
        <is>
          <t>Sveaskog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67008-2021</t>
        </is>
      </c>
      <c r="B1344" s="1" t="n">
        <v>44522.64253472222</v>
      </c>
      <c r="C1344" s="1" t="n">
        <v>45895</v>
      </c>
      <c r="D1344" t="inlineStr">
        <is>
          <t>NORRBOTTENS LÄN</t>
        </is>
      </c>
      <c r="E1344" t="inlineStr">
        <is>
          <t>KALIX</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56467-2021</t>
        </is>
      </c>
      <c r="B1345" s="1" t="n">
        <v>44480</v>
      </c>
      <c r="C1345" s="1" t="n">
        <v>45895</v>
      </c>
      <c r="D1345" t="inlineStr">
        <is>
          <t>NORRBOTTENS LÄN</t>
        </is>
      </c>
      <c r="E1345" t="inlineStr">
        <is>
          <t>BODEN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32373-2021</t>
        </is>
      </c>
      <c r="B1346" s="1" t="n">
        <v>44371.60706018518</v>
      </c>
      <c r="C1346" s="1" t="n">
        <v>45895</v>
      </c>
      <c r="D1346" t="inlineStr">
        <is>
          <t>NORRBOTTENS LÄN</t>
        </is>
      </c>
      <c r="E1346" t="inlineStr">
        <is>
          <t>BODEN</t>
        </is>
      </c>
      <c r="F1346" t="inlineStr">
        <is>
          <t>Sveaskog</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42335-2021</t>
        </is>
      </c>
      <c r="B1347" s="1" t="n">
        <v>44427</v>
      </c>
      <c r="C1347" s="1" t="n">
        <v>45895</v>
      </c>
      <c r="D1347" t="inlineStr">
        <is>
          <t>NORRBOTTENS LÄN</t>
        </is>
      </c>
      <c r="E1347" t="inlineStr">
        <is>
          <t>PAJALA</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13877-2021</t>
        </is>
      </c>
      <c r="B1348" s="1" t="n">
        <v>44277</v>
      </c>
      <c r="C1348" s="1" t="n">
        <v>45895</v>
      </c>
      <c r="D1348" t="inlineStr">
        <is>
          <t>NORRBOTTENS LÄN</t>
        </is>
      </c>
      <c r="E1348" t="inlineStr">
        <is>
          <t>ÖVERTORNEÅ</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34875-2022</t>
        </is>
      </c>
      <c r="B1349" s="1" t="n">
        <v>44796</v>
      </c>
      <c r="C1349" s="1" t="n">
        <v>45895</v>
      </c>
      <c r="D1349" t="inlineStr">
        <is>
          <t>NORRBOTTENS LÄN</t>
        </is>
      </c>
      <c r="E1349" t="inlineStr">
        <is>
          <t>ÖVERTORNEÅ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34894-2022</t>
        </is>
      </c>
      <c r="B1350" s="1" t="n">
        <v>44796</v>
      </c>
      <c r="C1350" s="1" t="n">
        <v>45895</v>
      </c>
      <c r="D1350" t="inlineStr">
        <is>
          <t>NORRBOTTENS LÄN</t>
        </is>
      </c>
      <c r="E1350" t="inlineStr">
        <is>
          <t>PAJALA</t>
        </is>
      </c>
      <c r="F1350" t="inlineStr">
        <is>
          <t>Sveaskog</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73905-2021</t>
        </is>
      </c>
      <c r="B1351" s="1" t="n">
        <v>44552</v>
      </c>
      <c r="C1351" s="1" t="n">
        <v>45895</v>
      </c>
      <c r="D1351" t="inlineStr">
        <is>
          <t>NORRBOTTENS LÄN</t>
        </is>
      </c>
      <c r="E1351" t="inlineStr">
        <is>
          <t>LULEÅ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68307-2021</t>
        </is>
      </c>
      <c r="B1352" s="1" t="n">
        <v>44526</v>
      </c>
      <c r="C1352" s="1" t="n">
        <v>45895</v>
      </c>
      <c r="D1352" t="inlineStr">
        <is>
          <t>NORRBOTTENS LÄN</t>
        </is>
      </c>
      <c r="E1352" t="inlineStr">
        <is>
          <t>LULEÅ</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41706-2021</t>
        </is>
      </c>
      <c r="B1353" s="1" t="n">
        <v>44424</v>
      </c>
      <c r="C1353" s="1" t="n">
        <v>45895</v>
      </c>
      <c r="D1353" t="inlineStr">
        <is>
          <t>NORRBOTTENS LÄN</t>
        </is>
      </c>
      <c r="E1353" t="inlineStr">
        <is>
          <t>ÖVERKALIX</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68210-2020</t>
        </is>
      </c>
      <c r="B1354" s="1" t="n">
        <v>44182</v>
      </c>
      <c r="C1354" s="1" t="n">
        <v>45895</v>
      </c>
      <c r="D1354" t="inlineStr">
        <is>
          <t>NORRBOTTENS LÄN</t>
        </is>
      </c>
      <c r="E1354" t="inlineStr">
        <is>
          <t>BODEN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3010-2022</t>
        </is>
      </c>
      <c r="B1355" s="1" t="n">
        <v>44581.9221875</v>
      </c>
      <c r="C1355" s="1" t="n">
        <v>45895</v>
      </c>
      <c r="D1355" t="inlineStr">
        <is>
          <t>NORRBOTTENS LÄN</t>
        </is>
      </c>
      <c r="E1355" t="inlineStr">
        <is>
          <t>ÖVERTORNEÅ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3095-2022</t>
        </is>
      </c>
      <c r="B1356" s="1" t="n">
        <v>44582</v>
      </c>
      <c r="C1356" s="1" t="n">
        <v>45895</v>
      </c>
      <c r="D1356" t="inlineStr">
        <is>
          <t>NORRBOTTENS LÄN</t>
        </is>
      </c>
      <c r="E1356" t="inlineStr">
        <is>
          <t>PITEÅ</t>
        </is>
      </c>
      <c r="G1356" t="n">
        <v>12.2</v>
      </c>
      <c r="H1356" t="n">
        <v>0</v>
      </c>
      <c r="I1356" t="n">
        <v>0</v>
      </c>
      <c r="J1356" t="n">
        <v>0</v>
      </c>
      <c r="K1356" t="n">
        <v>0</v>
      </c>
      <c r="L1356" t="n">
        <v>0</v>
      </c>
      <c r="M1356" t="n">
        <v>0</v>
      </c>
      <c r="N1356" t="n">
        <v>0</v>
      </c>
      <c r="O1356" t="n">
        <v>0</v>
      </c>
      <c r="P1356" t="n">
        <v>0</v>
      </c>
      <c r="Q1356" t="n">
        <v>0</v>
      </c>
      <c r="R1356" s="2" t="inlineStr"/>
    </row>
    <row r="1357" ht="15" customHeight="1">
      <c r="A1357" t="inlineStr">
        <is>
          <t>A 34466-2022</t>
        </is>
      </c>
      <c r="B1357" s="1" t="n">
        <v>44792</v>
      </c>
      <c r="C1357" s="1" t="n">
        <v>45895</v>
      </c>
      <c r="D1357" t="inlineStr">
        <is>
          <t>NORRBOTTENS LÄN</t>
        </is>
      </c>
      <c r="E1357" t="inlineStr">
        <is>
          <t>ARVIDSJAUR</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74235-2021</t>
        </is>
      </c>
      <c r="B1358" s="1" t="n">
        <v>44553</v>
      </c>
      <c r="C1358" s="1" t="n">
        <v>45895</v>
      </c>
      <c r="D1358" t="inlineStr">
        <is>
          <t>NORRBOTTENS LÄN</t>
        </is>
      </c>
      <c r="E1358" t="inlineStr">
        <is>
          <t>ÖVERTORNEÅ</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10393-2021</t>
        </is>
      </c>
      <c r="B1359" s="1" t="n">
        <v>44257</v>
      </c>
      <c r="C1359" s="1" t="n">
        <v>45895</v>
      </c>
      <c r="D1359" t="inlineStr">
        <is>
          <t>NORRBOTTENS LÄN</t>
        </is>
      </c>
      <c r="E1359" t="inlineStr">
        <is>
          <t>PITEÅ</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45895</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48777-2020</t>
        </is>
      </c>
      <c r="B1361" s="1" t="n">
        <v>44099</v>
      </c>
      <c r="C1361" s="1" t="n">
        <v>45895</v>
      </c>
      <c r="D1361" t="inlineStr">
        <is>
          <t>NORRBOTTENS LÄN</t>
        </is>
      </c>
      <c r="E1361" t="inlineStr">
        <is>
          <t>BODEN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48790-2020</t>
        </is>
      </c>
      <c r="B1362" s="1" t="n">
        <v>44103.90047453704</v>
      </c>
      <c r="C1362" s="1" t="n">
        <v>45895</v>
      </c>
      <c r="D1362" t="inlineStr">
        <is>
          <t>NORRBOTTENS LÄN</t>
        </is>
      </c>
      <c r="E1362" t="inlineStr">
        <is>
          <t>PITEÅ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54997-2022</t>
        </is>
      </c>
      <c r="B1363" s="1" t="n">
        <v>44886.50350694444</v>
      </c>
      <c r="C1363" s="1" t="n">
        <v>45895</v>
      </c>
      <c r="D1363" t="inlineStr">
        <is>
          <t>NORRBOTTENS LÄN</t>
        </is>
      </c>
      <c r="E1363" t="inlineStr">
        <is>
          <t>HAPARANDA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55074-2022</t>
        </is>
      </c>
      <c r="B1364" s="1" t="n">
        <v>44886.59451388889</v>
      </c>
      <c r="C1364" s="1" t="n">
        <v>45895</v>
      </c>
      <c r="D1364" t="inlineStr">
        <is>
          <t>NORRBOTTENS LÄN</t>
        </is>
      </c>
      <c r="E1364" t="inlineStr">
        <is>
          <t>PITEÅ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46826-2021</t>
        </is>
      </c>
      <c r="B1365" s="1" t="n">
        <v>44446</v>
      </c>
      <c r="C1365" s="1" t="n">
        <v>45895</v>
      </c>
      <c r="D1365" t="inlineStr">
        <is>
          <t>NORRBOTTENS LÄN</t>
        </is>
      </c>
      <c r="E1365" t="inlineStr">
        <is>
          <t>LULEÅ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13870-2021</t>
        </is>
      </c>
      <c r="B1366" s="1" t="n">
        <v>44277</v>
      </c>
      <c r="C1366" s="1" t="n">
        <v>45895</v>
      </c>
      <c r="D1366" t="inlineStr">
        <is>
          <t>NORRBOTTENS LÄN</t>
        </is>
      </c>
      <c r="E1366" t="inlineStr">
        <is>
          <t>ÖVERTORNEÅ</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33097-2022</t>
        </is>
      </c>
      <c r="B1367" s="1" t="n">
        <v>44785</v>
      </c>
      <c r="C1367" s="1" t="n">
        <v>45895</v>
      </c>
      <c r="D1367" t="inlineStr">
        <is>
          <t>NORRBOTTENS LÄN</t>
        </is>
      </c>
      <c r="E1367" t="inlineStr">
        <is>
          <t>ÖVERTORNEÅ</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10788-2022</t>
        </is>
      </c>
      <c r="B1368" s="1" t="n">
        <v>44627</v>
      </c>
      <c r="C1368" s="1" t="n">
        <v>45895</v>
      </c>
      <c r="D1368" t="inlineStr">
        <is>
          <t>NORRBOTTENS LÄN</t>
        </is>
      </c>
      <c r="E1368" t="inlineStr">
        <is>
          <t>PAJALA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68914-2021</t>
        </is>
      </c>
      <c r="B1369" s="1" t="n">
        <v>44530.47554398148</v>
      </c>
      <c r="C1369" s="1" t="n">
        <v>45895</v>
      </c>
      <c r="D1369" t="inlineStr">
        <is>
          <t>NORRBOTTENS LÄN</t>
        </is>
      </c>
      <c r="E1369" t="inlineStr">
        <is>
          <t>BODEN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60730-2021</t>
        </is>
      </c>
      <c r="B1370" s="1" t="n">
        <v>44496</v>
      </c>
      <c r="C1370" s="1" t="n">
        <v>45895</v>
      </c>
      <c r="D1370" t="inlineStr">
        <is>
          <t>NORRBOTTENS LÄN</t>
        </is>
      </c>
      <c r="E1370" t="inlineStr">
        <is>
          <t>PITEÅ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33159-2022</t>
        </is>
      </c>
      <c r="B1371" s="1" t="n">
        <v>44785.58358796296</v>
      </c>
      <c r="C1371" s="1" t="n">
        <v>45895</v>
      </c>
      <c r="D1371" t="inlineStr">
        <is>
          <t>NORRBOTTENS LÄN</t>
        </is>
      </c>
      <c r="E1371" t="inlineStr">
        <is>
          <t>KALIX</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45945-2020</t>
        </is>
      </c>
      <c r="B1372" s="1" t="n">
        <v>44088</v>
      </c>
      <c r="C1372" s="1" t="n">
        <v>45895</v>
      </c>
      <c r="D1372" t="inlineStr">
        <is>
          <t>NORRBOTTENS LÄN</t>
        </is>
      </c>
      <c r="E1372" t="inlineStr">
        <is>
          <t>PITEÅ</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50468-2021</t>
        </is>
      </c>
      <c r="B1373" s="1" t="n">
        <v>44459</v>
      </c>
      <c r="C1373" s="1" t="n">
        <v>45895</v>
      </c>
      <c r="D1373" t="inlineStr">
        <is>
          <t>NORRBOTTENS LÄN</t>
        </is>
      </c>
      <c r="E1373" t="inlineStr">
        <is>
          <t>LULEÅ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39833-2021</t>
        </is>
      </c>
      <c r="B1374" s="1" t="n">
        <v>44414</v>
      </c>
      <c r="C1374" s="1" t="n">
        <v>45895</v>
      </c>
      <c r="D1374" t="inlineStr">
        <is>
          <t>NORRBOTTENS LÄN</t>
        </is>
      </c>
      <c r="E1374" t="inlineStr">
        <is>
          <t>BODEN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44942-2020</t>
        </is>
      </c>
      <c r="B1375" s="1" t="n">
        <v>44088</v>
      </c>
      <c r="C1375" s="1" t="n">
        <v>45895</v>
      </c>
      <c r="D1375" t="inlineStr">
        <is>
          <t>NORRBOTTENS LÄN</t>
        </is>
      </c>
      <c r="E1375" t="inlineStr">
        <is>
          <t>PAJALA</t>
        </is>
      </c>
      <c r="G1375" t="n">
        <v>21.5</v>
      </c>
      <c r="H1375" t="n">
        <v>0</v>
      </c>
      <c r="I1375" t="n">
        <v>0</v>
      </c>
      <c r="J1375" t="n">
        <v>0</v>
      </c>
      <c r="K1375" t="n">
        <v>0</v>
      </c>
      <c r="L1375" t="n">
        <v>0</v>
      </c>
      <c r="M1375" t="n">
        <v>0</v>
      </c>
      <c r="N1375" t="n">
        <v>0</v>
      </c>
      <c r="O1375" t="n">
        <v>0</v>
      </c>
      <c r="P1375" t="n">
        <v>0</v>
      </c>
      <c r="Q1375" t="n">
        <v>0</v>
      </c>
      <c r="R1375" s="2" t="inlineStr"/>
    </row>
    <row r="1376" ht="15" customHeight="1">
      <c r="A1376" t="inlineStr">
        <is>
          <t>A 52338-2021</t>
        </is>
      </c>
      <c r="B1376" s="1" t="n">
        <v>44464</v>
      </c>
      <c r="C1376" s="1" t="n">
        <v>45895</v>
      </c>
      <c r="D1376" t="inlineStr">
        <is>
          <t>NORRBOTTENS LÄN</t>
        </is>
      </c>
      <c r="E1376" t="inlineStr">
        <is>
          <t>PAJALA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74163-2021</t>
        </is>
      </c>
      <c r="B1377" s="1" t="n">
        <v>44557</v>
      </c>
      <c r="C1377" s="1" t="n">
        <v>45895</v>
      </c>
      <c r="D1377" t="inlineStr">
        <is>
          <t>NORRBOTTENS LÄN</t>
        </is>
      </c>
      <c r="E1377" t="inlineStr">
        <is>
          <t>ÖVERTORNEÅ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3431-2022</t>
        </is>
      </c>
      <c r="B1378" s="1" t="n">
        <v>44585</v>
      </c>
      <c r="C1378" s="1" t="n">
        <v>45895</v>
      </c>
      <c r="D1378" t="inlineStr">
        <is>
          <t>NORRBOTTENS LÄN</t>
        </is>
      </c>
      <c r="E1378" t="inlineStr">
        <is>
          <t>ÖVERTORNEÅ</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52468-2020</t>
        </is>
      </c>
      <c r="B1379" s="1" t="n">
        <v>44116</v>
      </c>
      <c r="C1379" s="1" t="n">
        <v>45895</v>
      </c>
      <c r="D1379" t="inlineStr">
        <is>
          <t>NORRBOTTENS LÄN</t>
        </is>
      </c>
      <c r="E1379" t="inlineStr">
        <is>
          <t>HAPARANDA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43783-2021</t>
        </is>
      </c>
      <c r="B1380" s="1" t="n">
        <v>44433</v>
      </c>
      <c r="C1380" s="1" t="n">
        <v>45895</v>
      </c>
      <c r="D1380" t="inlineStr">
        <is>
          <t>NORRBOTTENS LÄN</t>
        </is>
      </c>
      <c r="E1380" t="inlineStr">
        <is>
          <t>JOKKMOKK</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43785-2021</t>
        </is>
      </c>
      <c r="B1381" s="1" t="n">
        <v>44433</v>
      </c>
      <c r="C1381" s="1" t="n">
        <v>45895</v>
      </c>
      <c r="D1381" t="inlineStr">
        <is>
          <t>NORRBOTTENS LÄN</t>
        </is>
      </c>
      <c r="E1381" t="inlineStr">
        <is>
          <t>JOKKMOKK</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446-2022</t>
        </is>
      </c>
      <c r="B1382" s="1" t="n">
        <v>44565</v>
      </c>
      <c r="C1382" s="1" t="n">
        <v>45895</v>
      </c>
      <c r="D1382" t="inlineStr">
        <is>
          <t>NORRBOTTENS LÄN</t>
        </is>
      </c>
      <c r="E1382" t="inlineStr">
        <is>
          <t>BODEN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1447-2022</t>
        </is>
      </c>
      <c r="B1383" s="1" t="n">
        <v>44573.46630787037</v>
      </c>
      <c r="C1383" s="1" t="n">
        <v>45895</v>
      </c>
      <c r="D1383" t="inlineStr">
        <is>
          <t>NORRBOTTENS LÄN</t>
        </is>
      </c>
      <c r="E1383" t="inlineStr">
        <is>
          <t>BODEN</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29608-2021</t>
        </is>
      </c>
      <c r="B1384" s="1" t="n">
        <v>44361</v>
      </c>
      <c r="C1384" s="1" t="n">
        <v>45895</v>
      </c>
      <c r="D1384" t="inlineStr">
        <is>
          <t>NORRBOTTENS LÄN</t>
        </is>
      </c>
      <c r="E1384" t="inlineStr">
        <is>
          <t>GÄLLIVARE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44527-2021</t>
        </is>
      </c>
      <c r="B1385" s="1" t="n">
        <v>44435.62583333333</v>
      </c>
      <c r="C1385" s="1" t="n">
        <v>45895</v>
      </c>
      <c r="D1385" t="inlineStr">
        <is>
          <t>NORRBOTTENS LÄN</t>
        </is>
      </c>
      <c r="E1385" t="inlineStr">
        <is>
          <t>KALIX</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48366-2021</t>
        </is>
      </c>
      <c r="B1386" s="1" t="n">
        <v>44451</v>
      </c>
      <c r="C1386" s="1" t="n">
        <v>45895</v>
      </c>
      <c r="D1386" t="inlineStr">
        <is>
          <t>NORRBOTTENS LÄN</t>
        </is>
      </c>
      <c r="E1386" t="inlineStr">
        <is>
          <t>PAJALA</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48367-2021</t>
        </is>
      </c>
      <c r="B1387" s="1" t="n">
        <v>44451</v>
      </c>
      <c r="C1387" s="1" t="n">
        <v>45895</v>
      </c>
      <c r="D1387" t="inlineStr">
        <is>
          <t>NORRBOTTENS LÄN</t>
        </is>
      </c>
      <c r="E1387" t="inlineStr">
        <is>
          <t>PAJALA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65542-2020</t>
        </is>
      </c>
      <c r="B1388" s="1" t="n">
        <v>44173</v>
      </c>
      <c r="C1388" s="1" t="n">
        <v>45895</v>
      </c>
      <c r="D1388" t="inlineStr">
        <is>
          <t>NORRBOTTENS LÄN</t>
        </is>
      </c>
      <c r="E1388" t="inlineStr">
        <is>
          <t>JOKKMOKK</t>
        </is>
      </c>
      <c r="F1388" t="inlineStr">
        <is>
          <t>Sveaskog</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13248-2021</t>
        </is>
      </c>
      <c r="B1389" s="1" t="n">
        <v>44272</v>
      </c>
      <c r="C1389" s="1" t="n">
        <v>45895</v>
      </c>
      <c r="D1389" t="inlineStr">
        <is>
          <t>NORRBOTTENS LÄN</t>
        </is>
      </c>
      <c r="E1389" t="inlineStr">
        <is>
          <t>LULEÅ</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53496-2020</t>
        </is>
      </c>
      <c r="B1390" s="1" t="n">
        <v>44123</v>
      </c>
      <c r="C1390" s="1" t="n">
        <v>45895</v>
      </c>
      <c r="D1390" t="inlineStr">
        <is>
          <t>NORRBOTTENS LÄN</t>
        </is>
      </c>
      <c r="E1390" t="inlineStr">
        <is>
          <t>PITEÅ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711-2022</t>
        </is>
      </c>
      <c r="B1391" s="1" t="n">
        <v>44566</v>
      </c>
      <c r="C1391" s="1" t="n">
        <v>45895</v>
      </c>
      <c r="D1391" t="inlineStr">
        <is>
          <t>NORRBOTTENS LÄN</t>
        </is>
      </c>
      <c r="E1391" t="inlineStr">
        <is>
          <t>BODEN</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58412-2021</t>
        </is>
      </c>
      <c r="B1392" s="1" t="n">
        <v>44488.52082175926</v>
      </c>
      <c r="C1392" s="1" t="n">
        <v>45895</v>
      </c>
      <c r="D1392" t="inlineStr">
        <is>
          <t>NORRBOTTENS LÄN</t>
        </is>
      </c>
      <c r="E1392" t="inlineStr">
        <is>
          <t>GÄLLIVARE</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7470-2021</t>
        </is>
      </c>
      <c r="B1393" s="1" t="n">
        <v>44238</v>
      </c>
      <c r="C1393" s="1" t="n">
        <v>45895</v>
      </c>
      <c r="D1393" t="inlineStr">
        <is>
          <t>NORRBOTTENS LÄN</t>
        </is>
      </c>
      <c r="E1393" t="inlineStr">
        <is>
          <t>ÖVERTORNEÅ</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7472-2021</t>
        </is>
      </c>
      <c r="B1394" s="1" t="n">
        <v>44238</v>
      </c>
      <c r="C1394" s="1" t="n">
        <v>45895</v>
      </c>
      <c r="D1394" t="inlineStr">
        <is>
          <t>NORRBOTTENS LÄN</t>
        </is>
      </c>
      <c r="E1394" t="inlineStr">
        <is>
          <t>ÖVERTORNEÅ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7315-2021</t>
        </is>
      </c>
      <c r="B1395" s="1" t="n">
        <v>44238</v>
      </c>
      <c r="C1395" s="1" t="n">
        <v>45895</v>
      </c>
      <c r="D1395" t="inlineStr">
        <is>
          <t>NORRBOTTENS LÄN</t>
        </is>
      </c>
      <c r="E1395" t="inlineStr">
        <is>
          <t>PITEÅ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12195-2022</t>
        </is>
      </c>
      <c r="B1396" s="1" t="n">
        <v>44636.94204861111</v>
      </c>
      <c r="C1396" s="1" t="n">
        <v>45895</v>
      </c>
      <c r="D1396" t="inlineStr">
        <is>
          <t>NORRBOTTENS LÄN</t>
        </is>
      </c>
      <c r="E1396" t="inlineStr">
        <is>
          <t>KALIX</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1092-2022</t>
        </is>
      </c>
      <c r="B1397" s="1" t="n">
        <v>44571.92201388889</v>
      </c>
      <c r="C1397" s="1" t="n">
        <v>45895</v>
      </c>
      <c r="D1397" t="inlineStr">
        <is>
          <t>NORRBOTTENS LÄN</t>
        </is>
      </c>
      <c r="E1397" t="inlineStr">
        <is>
          <t>ÖVERTORNEÅ</t>
        </is>
      </c>
      <c r="G1397" t="n">
        <v>23.5</v>
      </c>
      <c r="H1397" t="n">
        <v>0</v>
      </c>
      <c r="I1397" t="n">
        <v>0</v>
      </c>
      <c r="J1397" t="n">
        <v>0</v>
      </c>
      <c r="K1397" t="n">
        <v>0</v>
      </c>
      <c r="L1397" t="n">
        <v>0</v>
      </c>
      <c r="M1397" t="n">
        <v>0</v>
      </c>
      <c r="N1397" t="n">
        <v>0</v>
      </c>
      <c r="O1397" t="n">
        <v>0</v>
      </c>
      <c r="P1397" t="n">
        <v>0</v>
      </c>
      <c r="Q1397" t="n">
        <v>0</v>
      </c>
      <c r="R1397" s="2" t="inlineStr"/>
    </row>
    <row r="1398" ht="15" customHeight="1">
      <c r="A1398" t="inlineStr">
        <is>
          <t>A 40357-2021</t>
        </is>
      </c>
      <c r="B1398" s="1" t="n">
        <v>44419</v>
      </c>
      <c r="C1398" s="1" t="n">
        <v>45895</v>
      </c>
      <c r="D1398" t="inlineStr">
        <is>
          <t>NORRBOTTENS LÄN</t>
        </is>
      </c>
      <c r="E1398" t="inlineStr">
        <is>
          <t>ARVIDSJAUR</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52253-2021</t>
        </is>
      </c>
      <c r="B1399" s="1" t="n">
        <v>44463</v>
      </c>
      <c r="C1399" s="1" t="n">
        <v>45895</v>
      </c>
      <c r="D1399" t="inlineStr">
        <is>
          <t>NORRBOTTENS LÄN</t>
        </is>
      </c>
      <c r="E1399" t="inlineStr">
        <is>
          <t>ÄLVSBYN</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23588-2021</t>
        </is>
      </c>
      <c r="B1400" s="1" t="n">
        <v>44334</v>
      </c>
      <c r="C1400" s="1" t="n">
        <v>45895</v>
      </c>
      <c r="D1400" t="inlineStr">
        <is>
          <t>NORRBOTTENS LÄN</t>
        </is>
      </c>
      <c r="E1400" t="inlineStr">
        <is>
          <t>ARVIDSJAUR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61895-2020</t>
        </is>
      </c>
      <c r="B1401" s="1" t="n">
        <v>44155</v>
      </c>
      <c r="C1401" s="1" t="n">
        <v>45895</v>
      </c>
      <c r="D1401" t="inlineStr">
        <is>
          <t>NORRBOTTENS LÄN</t>
        </is>
      </c>
      <c r="E1401" t="inlineStr">
        <is>
          <t>PAJALA</t>
        </is>
      </c>
      <c r="G1401" t="n">
        <v>20.1</v>
      </c>
      <c r="H1401" t="n">
        <v>0</v>
      </c>
      <c r="I1401" t="n">
        <v>0</v>
      </c>
      <c r="J1401" t="n">
        <v>0</v>
      </c>
      <c r="K1401" t="n">
        <v>0</v>
      </c>
      <c r="L1401" t="n">
        <v>0</v>
      </c>
      <c r="M1401" t="n">
        <v>0</v>
      </c>
      <c r="N1401" t="n">
        <v>0</v>
      </c>
      <c r="O1401" t="n">
        <v>0</v>
      </c>
      <c r="P1401" t="n">
        <v>0</v>
      </c>
      <c r="Q1401" t="n">
        <v>0</v>
      </c>
      <c r="R1401" s="2" t="inlineStr"/>
    </row>
    <row r="1402" ht="15" customHeight="1">
      <c r="A1402" t="inlineStr">
        <is>
          <t>A 45353-2020</t>
        </is>
      </c>
      <c r="B1402" s="1" t="n">
        <v>44085</v>
      </c>
      <c r="C1402" s="1" t="n">
        <v>45895</v>
      </c>
      <c r="D1402" t="inlineStr">
        <is>
          <t>NORRBOTTENS LÄN</t>
        </is>
      </c>
      <c r="E1402" t="inlineStr">
        <is>
          <t>KALIX</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56465-2021</t>
        </is>
      </c>
      <c r="B1403" s="1" t="n">
        <v>44480</v>
      </c>
      <c r="C1403" s="1" t="n">
        <v>45895</v>
      </c>
      <c r="D1403" t="inlineStr">
        <is>
          <t>NORRBOTTENS LÄN</t>
        </is>
      </c>
      <c r="E1403" t="inlineStr">
        <is>
          <t>LULEÅ</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56485-2021</t>
        </is>
      </c>
      <c r="B1404" s="1" t="n">
        <v>44480</v>
      </c>
      <c r="C1404" s="1" t="n">
        <v>45895</v>
      </c>
      <c r="D1404" t="inlineStr">
        <is>
          <t>NORRBOTTENS LÄN</t>
        </is>
      </c>
      <c r="E1404" t="inlineStr">
        <is>
          <t>BODEN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19247-2022</t>
        </is>
      </c>
      <c r="B1405" s="1" t="n">
        <v>44692</v>
      </c>
      <c r="C1405" s="1" t="n">
        <v>45895</v>
      </c>
      <c r="D1405" t="inlineStr">
        <is>
          <t>NORRBOTTENS LÄN</t>
        </is>
      </c>
      <c r="E1405" t="inlineStr">
        <is>
          <t>ÖVERTORNEÅ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51992-2020</t>
        </is>
      </c>
      <c r="B1406" s="1" t="n">
        <v>44109</v>
      </c>
      <c r="C1406" s="1" t="n">
        <v>45895</v>
      </c>
      <c r="D1406" t="inlineStr">
        <is>
          <t>NORRBOTTENS LÄN</t>
        </is>
      </c>
      <c r="E1406" t="inlineStr">
        <is>
          <t>GÄLLIVARE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31446-2021</t>
        </is>
      </c>
      <c r="B1407" s="1" t="n">
        <v>44369</v>
      </c>
      <c r="C1407" s="1" t="n">
        <v>45895</v>
      </c>
      <c r="D1407" t="inlineStr">
        <is>
          <t>NORRBOTTENS LÄN</t>
        </is>
      </c>
      <c r="E1407" t="inlineStr">
        <is>
          <t>ARVIDSJAUR</t>
        </is>
      </c>
      <c r="F1407" t="inlineStr">
        <is>
          <t>Sveaskog</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54842-2020</t>
        </is>
      </c>
      <c r="B1408" s="1" t="n">
        <v>44126</v>
      </c>
      <c r="C1408" s="1" t="n">
        <v>45895</v>
      </c>
      <c r="D1408" t="inlineStr">
        <is>
          <t>NORRBOTTENS LÄN</t>
        </is>
      </c>
      <c r="E1408" t="inlineStr">
        <is>
          <t>ARVIDSJAUR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3771-2022</t>
        </is>
      </c>
      <c r="B1409" s="1" t="n">
        <v>44586</v>
      </c>
      <c r="C1409" s="1" t="n">
        <v>45895</v>
      </c>
      <c r="D1409" t="inlineStr">
        <is>
          <t>NORRBOTTENS LÄN</t>
        </is>
      </c>
      <c r="E1409" t="inlineStr">
        <is>
          <t>JOKKMOKK</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13465-2022</t>
        </is>
      </c>
      <c r="B1410" s="1" t="n">
        <v>44645</v>
      </c>
      <c r="C1410" s="1" t="n">
        <v>45895</v>
      </c>
      <c r="D1410" t="inlineStr">
        <is>
          <t>NORRBOTTENS LÄN</t>
        </is>
      </c>
      <c r="E1410" t="inlineStr">
        <is>
          <t>ÖVERKALIX</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13919-2021</t>
        </is>
      </c>
      <c r="B1411" s="1" t="n">
        <v>44277</v>
      </c>
      <c r="C1411" s="1" t="n">
        <v>45895</v>
      </c>
      <c r="D1411" t="inlineStr">
        <is>
          <t>NORRBOTTENS LÄN</t>
        </is>
      </c>
      <c r="E1411" t="inlineStr">
        <is>
          <t>PAJALA</t>
        </is>
      </c>
      <c r="F1411" t="inlineStr">
        <is>
          <t>Allmännings- och besparingsskogar</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52993-2022</t>
        </is>
      </c>
      <c r="B1412" s="1" t="n">
        <v>44875.92814814814</v>
      </c>
      <c r="C1412" s="1" t="n">
        <v>45895</v>
      </c>
      <c r="D1412" t="inlineStr">
        <is>
          <t>NORRBOTTENS LÄN</t>
        </is>
      </c>
      <c r="E1412" t="inlineStr">
        <is>
          <t>ÖVERKALIX</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10188-2021</t>
        </is>
      </c>
      <c r="B1413" s="1" t="n">
        <v>44256</v>
      </c>
      <c r="C1413" s="1" t="n">
        <v>45895</v>
      </c>
      <c r="D1413" t="inlineStr">
        <is>
          <t>NORRBOTTENS LÄN</t>
        </is>
      </c>
      <c r="E1413" t="inlineStr">
        <is>
          <t>ÖVERTORNEÅ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38360-2022</t>
        </is>
      </c>
      <c r="B1414" s="1" t="n">
        <v>44812</v>
      </c>
      <c r="C1414" s="1" t="n">
        <v>45895</v>
      </c>
      <c r="D1414" t="inlineStr">
        <is>
          <t>NORRBOTTENS LÄN</t>
        </is>
      </c>
      <c r="E1414" t="inlineStr">
        <is>
          <t>ARVIDSJAUR</t>
        </is>
      </c>
      <c r="F1414" t="inlineStr">
        <is>
          <t>Sveaskog</t>
        </is>
      </c>
      <c r="G1414" t="n">
        <v>21.2</v>
      </c>
      <c r="H1414" t="n">
        <v>0</v>
      </c>
      <c r="I1414" t="n">
        <v>0</v>
      </c>
      <c r="J1414" t="n">
        <v>0</v>
      </c>
      <c r="K1414" t="n">
        <v>0</v>
      </c>
      <c r="L1414" t="n">
        <v>0</v>
      </c>
      <c r="M1414" t="n">
        <v>0</v>
      </c>
      <c r="N1414" t="n">
        <v>0</v>
      </c>
      <c r="O1414" t="n">
        <v>0</v>
      </c>
      <c r="P1414" t="n">
        <v>0</v>
      </c>
      <c r="Q1414" t="n">
        <v>0</v>
      </c>
      <c r="R1414" s="2" t="inlineStr"/>
    </row>
    <row r="1415" ht="15" customHeight="1">
      <c r="A1415" t="inlineStr">
        <is>
          <t>A 59858-2020</t>
        </is>
      </c>
      <c r="B1415" s="1" t="n">
        <v>44148</v>
      </c>
      <c r="C1415" s="1" t="n">
        <v>45895</v>
      </c>
      <c r="D1415" t="inlineStr">
        <is>
          <t>NORRBOTTENS LÄN</t>
        </is>
      </c>
      <c r="E1415" t="inlineStr">
        <is>
          <t>LULEÅ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13552-2022</t>
        </is>
      </c>
      <c r="B1416" s="1" t="n">
        <v>44648</v>
      </c>
      <c r="C1416" s="1" t="n">
        <v>45895</v>
      </c>
      <c r="D1416" t="inlineStr">
        <is>
          <t>NORRBOTTENS LÄN</t>
        </is>
      </c>
      <c r="E1416" t="inlineStr">
        <is>
          <t>BODEN</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40152-2022</t>
        </is>
      </c>
      <c r="B1417" s="1" t="n">
        <v>44818</v>
      </c>
      <c r="C1417" s="1" t="n">
        <v>45895</v>
      </c>
      <c r="D1417" t="inlineStr">
        <is>
          <t>NORRBOTTENS LÄN</t>
        </is>
      </c>
      <c r="E1417" t="inlineStr">
        <is>
          <t>PITEÅ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62948-2020</t>
        </is>
      </c>
      <c r="B1418" s="1" t="n">
        <v>44160</v>
      </c>
      <c r="C1418" s="1" t="n">
        <v>45895</v>
      </c>
      <c r="D1418" t="inlineStr">
        <is>
          <t>NORRBOTTENS LÄN</t>
        </is>
      </c>
      <c r="E1418" t="inlineStr">
        <is>
          <t>KALIX</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9530-2022</t>
        </is>
      </c>
      <c r="B1419" s="1" t="n">
        <v>44617</v>
      </c>
      <c r="C1419" s="1" t="n">
        <v>45895</v>
      </c>
      <c r="D1419" t="inlineStr">
        <is>
          <t>NORRBOTTENS LÄN</t>
        </is>
      </c>
      <c r="E1419" t="inlineStr">
        <is>
          <t>BODEN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39971-2022</t>
        </is>
      </c>
      <c r="B1420" s="1" t="n">
        <v>44820.29530092593</v>
      </c>
      <c r="C1420" s="1" t="n">
        <v>45895</v>
      </c>
      <c r="D1420" t="inlineStr">
        <is>
          <t>NORRBOTTENS LÄN</t>
        </is>
      </c>
      <c r="E1420" t="inlineStr">
        <is>
          <t>BODEN</t>
        </is>
      </c>
      <c r="F1420" t="inlineStr">
        <is>
          <t>Sveaskog</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16549-2022</t>
        </is>
      </c>
      <c r="B1421" s="1" t="n">
        <v>44672</v>
      </c>
      <c r="C1421" s="1" t="n">
        <v>45895</v>
      </c>
      <c r="D1421" t="inlineStr">
        <is>
          <t>NORRBOTTENS LÄN</t>
        </is>
      </c>
      <c r="E1421" t="inlineStr">
        <is>
          <t>GÄLLIVARE</t>
        </is>
      </c>
      <c r="G1421" t="n">
        <v>25.9</v>
      </c>
      <c r="H1421" t="n">
        <v>0</v>
      </c>
      <c r="I1421" t="n">
        <v>0</v>
      </c>
      <c r="J1421" t="n">
        <v>0</v>
      </c>
      <c r="K1421" t="n">
        <v>0</v>
      </c>
      <c r="L1421" t="n">
        <v>0</v>
      </c>
      <c r="M1421" t="n">
        <v>0</v>
      </c>
      <c r="N1421" t="n">
        <v>0</v>
      </c>
      <c r="O1421" t="n">
        <v>0</v>
      </c>
      <c r="P1421" t="n">
        <v>0</v>
      </c>
      <c r="Q1421" t="n">
        <v>0</v>
      </c>
      <c r="R1421" s="2" t="inlineStr"/>
    </row>
    <row r="1422" ht="15" customHeight="1">
      <c r="A1422" t="inlineStr">
        <is>
          <t>A 20335-2022</t>
        </is>
      </c>
      <c r="B1422" s="1" t="n">
        <v>44698</v>
      </c>
      <c r="C1422" s="1" t="n">
        <v>45895</v>
      </c>
      <c r="D1422" t="inlineStr">
        <is>
          <t>NORRBOTTENS LÄN</t>
        </is>
      </c>
      <c r="E1422" t="inlineStr">
        <is>
          <t>ÖVERKALIX</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5410-2021</t>
        </is>
      </c>
      <c r="B1423" s="1" t="n">
        <v>44229</v>
      </c>
      <c r="C1423" s="1" t="n">
        <v>45895</v>
      </c>
      <c r="D1423" t="inlineStr">
        <is>
          <t>NORRBOTTENS LÄN</t>
        </is>
      </c>
      <c r="E1423" t="inlineStr">
        <is>
          <t>ÄLVSBYN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25740-2022</t>
        </is>
      </c>
      <c r="B1424" s="1" t="n">
        <v>44733.4328125</v>
      </c>
      <c r="C1424" s="1" t="n">
        <v>45895</v>
      </c>
      <c r="D1424" t="inlineStr">
        <is>
          <t>NORRBOTTENS LÄN</t>
        </is>
      </c>
      <c r="E1424" t="inlineStr">
        <is>
          <t>KALIX</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57454-2021</t>
        </is>
      </c>
      <c r="B1425" s="1" t="n">
        <v>44483</v>
      </c>
      <c r="C1425" s="1" t="n">
        <v>45895</v>
      </c>
      <c r="D1425" t="inlineStr">
        <is>
          <t>NORRBOTTENS LÄN</t>
        </is>
      </c>
      <c r="E1425" t="inlineStr">
        <is>
          <t>ARVIDSJAUR</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51020-2020</t>
        </is>
      </c>
      <c r="B1426" s="1" t="n">
        <v>44112</v>
      </c>
      <c r="C1426" s="1" t="n">
        <v>45895</v>
      </c>
      <c r="D1426" t="inlineStr">
        <is>
          <t>NORRBOTTENS LÄN</t>
        </is>
      </c>
      <c r="E1426" t="inlineStr">
        <is>
          <t>KALIX</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63115-2021</t>
        </is>
      </c>
      <c r="B1427" s="1" t="n">
        <v>44505.63130787037</v>
      </c>
      <c r="C1427" s="1" t="n">
        <v>45895</v>
      </c>
      <c r="D1427" t="inlineStr">
        <is>
          <t>NORRBOTTENS LÄN</t>
        </is>
      </c>
      <c r="E1427" t="inlineStr">
        <is>
          <t>PAJALA</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69080-2021</t>
        </is>
      </c>
      <c r="B1428" s="1" t="n">
        <v>44530</v>
      </c>
      <c r="C1428" s="1" t="n">
        <v>45895</v>
      </c>
      <c r="D1428" t="inlineStr">
        <is>
          <t>NORRBOTTENS LÄN</t>
        </is>
      </c>
      <c r="E1428" t="inlineStr">
        <is>
          <t>ARVIDSJAUR</t>
        </is>
      </c>
      <c r="F1428" t="inlineStr">
        <is>
          <t>Sveaskog</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58879-2021</t>
        </is>
      </c>
      <c r="B1429" s="1" t="n">
        <v>44489</v>
      </c>
      <c r="C1429" s="1" t="n">
        <v>45895</v>
      </c>
      <c r="D1429" t="inlineStr">
        <is>
          <t>NORRBOTTENS LÄN</t>
        </is>
      </c>
      <c r="E1429" t="inlineStr">
        <is>
          <t>ARJEPLOG</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54632-2022</t>
        </is>
      </c>
      <c r="B1430" s="1" t="n">
        <v>44883.39190972222</v>
      </c>
      <c r="C1430" s="1" t="n">
        <v>45895</v>
      </c>
      <c r="D1430" t="inlineStr">
        <is>
          <t>NORRBOTTENS LÄN</t>
        </is>
      </c>
      <c r="E1430" t="inlineStr">
        <is>
          <t>HAPARANDA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22656-2021</t>
        </is>
      </c>
      <c r="B1431" s="1" t="n">
        <v>44327</v>
      </c>
      <c r="C1431" s="1" t="n">
        <v>45895</v>
      </c>
      <c r="D1431" t="inlineStr">
        <is>
          <t>NORRBOTTENS LÄN</t>
        </is>
      </c>
      <c r="E1431" t="inlineStr">
        <is>
          <t>LULEÅ</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43687-2021</t>
        </is>
      </c>
      <c r="B1432" s="1" t="n">
        <v>44433</v>
      </c>
      <c r="C1432" s="1" t="n">
        <v>45895</v>
      </c>
      <c r="D1432" t="inlineStr">
        <is>
          <t>NORRBOTTENS LÄN</t>
        </is>
      </c>
      <c r="E1432" t="inlineStr">
        <is>
          <t>ÖVERKALIX</t>
        </is>
      </c>
      <c r="F1432" t="inlineStr">
        <is>
          <t>Sveaskog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10709-2022</t>
        </is>
      </c>
      <c r="B1433" s="1" t="n">
        <v>44625.78322916666</v>
      </c>
      <c r="C1433" s="1" t="n">
        <v>45895</v>
      </c>
      <c r="D1433" t="inlineStr">
        <is>
          <t>NORRBOTTENS LÄN</t>
        </is>
      </c>
      <c r="E1433" t="inlineStr">
        <is>
          <t>BODEN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54818-2021</t>
        </is>
      </c>
      <c r="B1434" s="1" t="n">
        <v>44473</v>
      </c>
      <c r="C1434" s="1" t="n">
        <v>45895</v>
      </c>
      <c r="D1434" t="inlineStr">
        <is>
          <t>NORRBOTTENS LÄN</t>
        </is>
      </c>
      <c r="E1434" t="inlineStr">
        <is>
          <t>BODEN</t>
        </is>
      </c>
      <c r="F1434" t="inlineStr">
        <is>
          <t>SCA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68267-2020</t>
        </is>
      </c>
      <c r="B1435" s="1" t="n">
        <v>44182</v>
      </c>
      <c r="C1435" s="1" t="n">
        <v>45895</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20689-2022</t>
        </is>
      </c>
      <c r="B1436" s="1" t="n">
        <v>44700.79659722222</v>
      </c>
      <c r="C1436" s="1" t="n">
        <v>45895</v>
      </c>
      <c r="D1436" t="inlineStr">
        <is>
          <t>NORRBOTTENS LÄN</t>
        </is>
      </c>
      <c r="E1436" t="inlineStr">
        <is>
          <t>PITEÅ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949-2021</t>
        </is>
      </c>
      <c r="B1437" s="1" t="n">
        <v>44207</v>
      </c>
      <c r="C1437" s="1" t="n">
        <v>45895</v>
      </c>
      <c r="D1437" t="inlineStr">
        <is>
          <t>NORRBOTTENS LÄN</t>
        </is>
      </c>
      <c r="E1437" t="inlineStr">
        <is>
          <t>KALIX</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5733-2022</t>
        </is>
      </c>
      <c r="B1438" s="1" t="n">
        <v>44596</v>
      </c>
      <c r="C1438" s="1" t="n">
        <v>45895</v>
      </c>
      <c r="D1438" t="inlineStr">
        <is>
          <t>NORRBOTTENS LÄN</t>
        </is>
      </c>
      <c r="E1438" t="inlineStr">
        <is>
          <t>BODEN</t>
        </is>
      </c>
      <c r="F1438" t="inlineStr">
        <is>
          <t>Övriga statliga verk och myndigheter</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52043-2020</t>
        </is>
      </c>
      <c r="B1439" s="1" t="n">
        <v>44116</v>
      </c>
      <c r="C1439" s="1" t="n">
        <v>45895</v>
      </c>
      <c r="D1439" t="inlineStr">
        <is>
          <t>NORRBOTTENS LÄN</t>
        </is>
      </c>
      <c r="E1439" t="inlineStr">
        <is>
          <t>JOKKMOKK</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4536-2022</t>
        </is>
      </c>
      <c r="B1440" s="1" t="n">
        <v>44590.4933912037</v>
      </c>
      <c r="C1440" s="1" t="n">
        <v>45895</v>
      </c>
      <c r="D1440" t="inlineStr">
        <is>
          <t>NORRBOTTENS LÄN</t>
        </is>
      </c>
      <c r="E1440" t="inlineStr">
        <is>
          <t>PITEÅ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60642-2020</t>
        </is>
      </c>
      <c r="B1441" s="1" t="n">
        <v>44152</v>
      </c>
      <c r="C1441" s="1" t="n">
        <v>45895</v>
      </c>
      <c r="D1441" t="inlineStr">
        <is>
          <t>NORRBOTTENS LÄN</t>
        </is>
      </c>
      <c r="E1441" t="inlineStr">
        <is>
          <t>LULEÅ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29176-2022</t>
        </is>
      </c>
      <c r="B1442" s="1" t="n">
        <v>44750.53711805555</v>
      </c>
      <c r="C1442" s="1" t="n">
        <v>45895</v>
      </c>
      <c r="D1442" t="inlineStr">
        <is>
          <t>NORRBOTTENS LÄN</t>
        </is>
      </c>
      <c r="E1442" t="inlineStr">
        <is>
          <t>ÄLVSBYN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68109-2020</t>
        </is>
      </c>
      <c r="B1443" s="1" t="n">
        <v>44182</v>
      </c>
      <c r="C1443" s="1" t="n">
        <v>45895</v>
      </c>
      <c r="D1443" t="inlineStr">
        <is>
          <t>NORRBOTTENS LÄN</t>
        </is>
      </c>
      <c r="E1443" t="inlineStr">
        <is>
          <t>BODEN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41922-2020</t>
        </is>
      </c>
      <c r="B1444" s="1" t="n">
        <v>44071</v>
      </c>
      <c r="C1444" s="1" t="n">
        <v>45895</v>
      </c>
      <c r="D1444" t="inlineStr">
        <is>
          <t>NORRBOTTENS LÄN</t>
        </is>
      </c>
      <c r="E1444" t="inlineStr">
        <is>
          <t>HAPARANDA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38980-2022</t>
        </is>
      </c>
      <c r="B1445" s="1" t="n">
        <v>44816</v>
      </c>
      <c r="C1445" s="1" t="n">
        <v>45895</v>
      </c>
      <c r="D1445" t="inlineStr">
        <is>
          <t>NORRBOTTENS LÄN</t>
        </is>
      </c>
      <c r="E1445" t="inlineStr">
        <is>
          <t>ÖVERTORNEÅ</t>
        </is>
      </c>
      <c r="F1445" t="inlineStr">
        <is>
          <t>Sveaskog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54609-2022</t>
        </is>
      </c>
      <c r="B1446" s="1" t="n">
        <v>44883</v>
      </c>
      <c r="C1446" s="1" t="n">
        <v>45895</v>
      </c>
      <c r="D1446" t="inlineStr">
        <is>
          <t>NORRBOTTENS LÄN</t>
        </is>
      </c>
      <c r="E1446" t="inlineStr">
        <is>
          <t>ARVIDSJAUR</t>
        </is>
      </c>
      <c r="F1446" t="inlineStr">
        <is>
          <t>Sveaskog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60754-2021</t>
        </is>
      </c>
      <c r="B1447" s="1" t="n">
        <v>44496.92081018518</v>
      </c>
      <c r="C1447" s="1" t="n">
        <v>45895</v>
      </c>
      <c r="D1447" t="inlineStr">
        <is>
          <t>NORRBOTTENS LÄN</t>
        </is>
      </c>
      <c r="E1447" t="inlineStr">
        <is>
          <t>HAPARANDA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66766-2021</t>
        </is>
      </c>
      <c r="B1448" s="1" t="n">
        <v>44521</v>
      </c>
      <c r="C1448" s="1" t="n">
        <v>45895</v>
      </c>
      <c r="D1448" t="inlineStr">
        <is>
          <t>NORRBOTTENS LÄN</t>
        </is>
      </c>
      <c r="E1448" t="inlineStr">
        <is>
          <t>PAJALA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52333-2022</t>
        </is>
      </c>
      <c r="B1449" s="1" t="n">
        <v>44873.92946759259</v>
      </c>
      <c r="C1449" s="1" t="n">
        <v>45895</v>
      </c>
      <c r="D1449" t="inlineStr">
        <is>
          <t>NORRBOTTENS LÄN</t>
        </is>
      </c>
      <c r="E1449" t="inlineStr">
        <is>
          <t>PAJALA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52340-2022</t>
        </is>
      </c>
      <c r="B1450" s="1" t="n">
        <v>44873.92978009259</v>
      </c>
      <c r="C1450" s="1" t="n">
        <v>45895</v>
      </c>
      <c r="D1450" t="inlineStr">
        <is>
          <t>NORRBOTTENS LÄN</t>
        </is>
      </c>
      <c r="E1450" t="inlineStr">
        <is>
          <t>PAJALA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31243-2021</t>
        </is>
      </c>
      <c r="B1451" s="1" t="n">
        <v>44368</v>
      </c>
      <c r="C1451" s="1" t="n">
        <v>45895</v>
      </c>
      <c r="D1451" t="inlineStr">
        <is>
          <t>NORRBOTTENS LÄN</t>
        </is>
      </c>
      <c r="E1451" t="inlineStr">
        <is>
          <t>KALIX</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68569-2021</t>
        </is>
      </c>
      <c r="B1452" s="1" t="n">
        <v>44529</v>
      </c>
      <c r="C1452" s="1" t="n">
        <v>45895</v>
      </c>
      <c r="D1452" t="inlineStr">
        <is>
          <t>NORRBOTTENS LÄN</t>
        </is>
      </c>
      <c r="E1452" t="inlineStr">
        <is>
          <t>BODEN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66925-2020</t>
        </is>
      </c>
      <c r="B1453" s="1" t="n">
        <v>44176</v>
      </c>
      <c r="C1453" s="1" t="n">
        <v>45895</v>
      </c>
      <c r="D1453" t="inlineStr">
        <is>
          <t>NORRBOTTENS LÄN</t>
        </is>
      </c>
      <c r="E1453" t="inlineStr">
        <is>
          <t>LULEÅ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4535-2022</t>
        </is>
      </c>
      <c r="B1454" s="1" t="n">
        <v>44590.47773148148</v>
      </c>
      <c r="C1454" s="1" t="n">
        <v>45895</v>
      </c>
      <c r="D1454" t="inlineStr">
        <is>
          <t>NORRBOTTENS LÄN</t>
        </is>
      </c>
      <c r="E1454" t="inlineStr">
        <is>
          <t>PITEÅ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65756-2020</t>
        </is>
      </c>
      <c r="B1455" s="1" t="n">
        <v>44174</v>
      </c>
      <c r="C1455" s="1" t="n">
        <v>45895</v>
      </c>
      <c r="D1455" t="inlineStr">
        <is>
          <t>NORRBOTTENS LÄN</t>
        </is>
      </c>
      <c r="E1455" t="inlineStr">
        <is>
          <t>PAJALA</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59552-2021</t>
        </is>
      </c>
      <c r="B1456" s="1" t="n">
        <v>44491</v>
      </c>
      <c r="C1456" s="1" t="n">
        <v>45895</v>
      </c>
      <c r="D1456" t="inlineStr">
        <is>
          <t>NORRBOTTENS LÄN</t>
        </is>
      </c>
      <c r="E1456" t="inlineStr">
        <is>
          <t>LULEÅ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35595-2021</t>
        </is>
      </c>
      <c r="B1457" s="1" t="n">
        <v>44386</v>
      </c>
      <c r="C1457" s="1" t="n">
        <v>45895</v>
      </c>
      <c r="D1457" t="inlineStr">
        <is>
          <t>NORRBOTTENS LÄN</t>
        </is>
      </c>
      <c r="E1457" t="inlineStr">
        <is>
          <t>KALIX</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9497-2022</t>
        </is>
      </c>
      <c r="B1458" s="1" t="n">
        <v>44616</v>
      </c>
      <c r="C1458" s="1" t="n">
        <v>45895</v>
      </c>
      <c r="D1458" t="inlineStr">
        <is>
          <t>NORRBOTTENS LÄN</t>
        </is>
      </c>
      <c r="E1458" t="inlineStr">
        <is>
          <t>PITEÅ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16554-2021</t>
        </is>
      </c>
      <c r="B1459" s="1" t="n">
        <v>44293</v>
      </c>
      <c r="C1459" s="1" t="n">
        <v>45895</v>
      </c>
      <c r="D1459" t="inlineStr">
        <is>
          <t>NORRBOTTENS LÄN</t>
        </is>
      </c>
      <c r="E1459" t="inlineStr">
        <is>
          <t>BODEN</t>
        </is>
      </c>
      <c r="F1459" t="inlineStr">
        <is>
          <t>Övriga statliga verk och myndigheter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52476-2022</t>
        </is>
      </c>
      <c r="B1460" s="1" t="n">
        <v>44874.48328703704</v>
      </c>
      <c r="C1460" s="1" t="n">
        <v>45895</v>
      </c>
      <c r="D1460" t="inlineStr">
        <is>
          <t>NORRBOTTENS LÄN</t>
        </is>
      </c>
      <c r="E1460" t="inlineStr">
        <is>
          <t>KALIX</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9582-2022</t>
        </is>
      </c>
      <c r="B1461" s="1" t="n">
        <v>44617</v>
      </c>
      <c r="C1461" s="1" t="n">
        <v>45895</v>
      </c>
      <c r="D1461" t="inlineStr">
        <is>
          <t>NORRBOTTENS LÄN</t>
        </is>
      </c>
      <c r="E1461" t="inlineStr">
        <is>
          <t>LULEÅ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28370-2021</t>
        </is>
      </c>
      <c r="B1462" s="1" t="n">
        <v>44356</v>
      </c>
      <c r="C1462" s="1" t="n">
        <v>45895</v>
      </c>
      <c r="D1462" t="inlineStr">
        <is>
          <t>NORRBOTTENS LÄN</t>
        </is>
      </c>
      <c r="E1462" t="inlineStr">
        <is>
          <t>BODEN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8727-2021</t>
        </is>
      </c>
      <c r="B1463" s="1" t="n">
        <v>44246</v>
      </c>
      <c r="C1463" s="1" t="n">
        <v>45895</v>
      </c>
      <c r="D1463" t="inlineStr">
        <is>
          <t>NORRBOTTENS LÄN</t>
        </is>
      </c>
      <c r="E1463" t="inlineStr">
        <is>
          <t>ARJEPLOG</t>
        </is>
      </c>
      <c r="F1463" t="inlineStr">
        <is>
          <t>Sveaskog</t>
        </is>
      </c>
      <c r="G1463" t="n">
        <v>12.9</v>
      </c>
      <c r="H1463" t="n">
        <v>0</v>
      </c>
      <c r="I1463" t="n">
        <v>0</v>
      </c>
      <c r="J1463" t="n">
        <v>0</v>
      </c>
      <c r="K1463" t="n">
        <v>0</v>
      </c>
      <c r="L1463" t="n">
        <v>0</v>
      </c>
      <c r="M1463" t="n">
        <v>0</v>
      </c>
      <c r="N1463" t="n">
        <v>0</v>
      </c>
      <c r="O1463" t="n">
        <v>0</v>
      </c>
      <c r="P1463" t="n">
        <v>0</v>
      </c>
      <c r="Q1463" t="n">
        <v>0</v>
      </c>
      <c r="R1463" s="2" t="inlineStr"/>
    </row>
    <row r="1464" ht="15" customHeight="1">
      <c r="A1464" t="inlineStr">
        <is>
          <t>A 1631-2022</t>
        </is>
      </c>
      <c r="B1464" s="1" t="n">
        <v>44573</v>
      </c>
      <c r="C1464" s="1" t="n">
        <v>45895</v>
      </c>
      <c r="D1464" t="inlineStr">
        <is>
          <t>NORRBOTTENS LÄN</t>
        </is>
      </c>
      <c r="E1464" t="inlineStr">
        <is>
          <t>JOKKMOKK</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43556-2020</t>
        </is>
      </c>
      <c r="B1465" s="1" t="n">
        <v>44077</v>
      </c>
      <c r="C1465" s="1" t="n">
        <v>45895</v>
      </c>
      <c r="D1465" t="inlineStr">
        <is>
          <t>NORRBOTTENS LÄN</t>
        </is>
      </c>
      <c r="E1465" t="inlineStr">
        <is>
          <t>LULEÅ</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43120-2020</t>
        </is>
      </c>
      <c r="B1466" s="1" t="n">
        <v>44079</v>
      </c>
      <c r="C1466" s="1" t="n">
        <v>45895</v>
      </c>
      <c r="D1466" t="inlineStr">
        <is>
          <t>NORRBOTTENS LÄN</t>
        </is>
      </c>
      <c r="E1466" t="inlineStr">
        <is>
          <t>PAJALA</t>
        </is>
      </c>
      <c r="G1466" t="n">
        <v>14.5</v>
      </c>
      <c r="H1466" t="n">
        <v>0</v>
      </c>
      <c r="I1466" t="n">
        <v>0</v>
      </c>
      <c r="J1466" t="n">
        <v>0</v>
      </c>
      <c r="K1466" t="n">
        <v>0</v>
      </c>
      <c r="L1466" t="n">
        <v>0</v>
      </c>
      <c r="M1466" t="n">
        <v>0</v>
      </c>
      <c r="N1466" t="n">
        <v>0</v>
      </c>
      <c r="O1466" t="n">
        <v>0</v>
      </c>
      <c r="P1466" t="n">
        <v>0</v>
      </c>
      <c r="Q1466" t="n">
        <v>0</v>
      </c>
      <c r="R1466" s="2" t="inlineStr"/>
    </row>
    <row r="1467" ht="15" customHeight="1">
      <c r="A1467" t="inlineStr">
        <is>
          <t>A 43121-2020</t>
        </is>
      </c>
      <c r="B1467" s="1" t="n">
        <v>44079</v>
      </c>
      <c r="C1467" s="1" t="n">
        <v>45895</v>
      </c>
      <c r="D1467" t="inlineStr">
        <is>
          <t>NORRBOTTENS LÄN</t>
        </is>
      </c>
      <c r="E1467" t="inlineStr">
        <is>
          <t>PAJALA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19620-2022</t>
        </is>
      </c>
      <c r="B1468" s="1" t="n">
        <v>44694</v>
      </c>
      <c r="C1468" s="1" t="n">
        <v>45895</v>
      </c>
      <c r="D1468" t="inlineStr">
        <is>
          <t>NORRBOTTENS LÄN</t>
        </is>
      </c>
      <c r="E1468" t="inlineStr">
        <is>
          <t>ARJEPLOG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47356-2020</t>
        </is>
      </c>
      <c r="B1469" s="1" t="n">
        <v>44092</v>
      </c>
      <c r="C1469" s="1" t="n">
        <v>45895</v>
      </c>
      <c r="D1469" t="inlineStr">
        <is>
          <t>NORRBOTTENS LÄN</t>
        </is>
      </c>
      <c r="E1469" t="inlineStr">
        <is>
          <t>PITEÅ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40896-2020</t>
        </is>
      </c>
      <c r="B1470" s="1" t="n">
        <v>44070.53916666667</v>
      </c>
      <c r="C1470" s="1" t="n">
        <v>45895</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63815-2020</t>
        </is>
      </c>
      <c r="B1471" s="1" t="n">
        <v>44165</v>
      </c>
      <c r="C1471" s="1" t="n">
        <v>45895</v>
      </c>
      <c r="D1471" t="inlineStr">
        <is>
          <t>NORRBOTTENS LÄN</t>
        </is>
      </c>
      <c r="E1471" t="inlineStr">
        <is>
          <t>HAPARANDA</t>
        </is>
      </c>
      <c r="G1471" t="n">
        <v>31.5</v>
      </c>
      <c r="H1471" t="n">
        <v>0</v>
      </c>
      <c r="I1471" t="n">
        <v>0</v>
      </c>
      <c r="J1471" t="n">
        <v>0</v>
      </c>
      <c r="K1471" t="n">
        <v>0</v>
      </c>
      <c r="L1471" t="n">
        <v>0</v>
      </c>
      <c r="M1471" t="n">
        <v>0</v>
      </c>
      <c r="N1471" t="n">
        <v>0</v>
      </c>
      <c r="O1471" t="n">
        <v>0</v>
      </c>
      <c r="P1471" t="n">
        <v>0</v>
      </c>
      <c r="Q1471" t="n">
        <v>0</v>
      </c>
      <c r="R1471" s="2" t="inlineStr"/>
    </row>
    <row r="1472" ht="15" customHeight="1">
      <c r="A1472" t="inlineStr">
        <is>
          <t>A 29558-2021</t>
        </is>
      </c>
      <c r="B1472" s="1" t="n">
        <v>44361</v>
      </c>
      <c r="C1472" s="1" t="n">
        <v>45895</v>
      </c>
      <c r="D1472" t="inlineStr">
        <is>
          <t>NORRBOTTENS LÄN</t>
        </is>
      </c>
      <c r="E1472" t="inlineStr">
        <is>
          <t>PITEÅ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45017-2020</t>
        </is>
      </c>
      <c r="B1473" s="1" t="n">
        <v>44083</v>
      </c>
      <c r="C1473" s="1" t="n">
        <v>45895</v>
      </c>
      <c r="D1473" t="inlineStr">
        <is>
          <t>NORRBOTTENS LÄN</t>
        </is>
      </c>
      <c r="E1473" t="inlineStr">
        <is>
          <t>PITEÅ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15240-2021</t>
        </is>
      </c>
      <c r="B1474" s="1" t="n">
        <v>44284.50833333333</v>
      </c>
      <c r="C1474" s="1" t="n">
        <v>45895</v>
      </c>
      <c r="D1474" t="inlineStr">
        <is>
          <t>NORRBOTTENS LÄN</t>
        </is>
      </c>
      <c r="E1474" t="inlineStr">
        <is>
          <t>ÖVERTORNEÅ</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41072-2020</t>
        </is>
      </c>
      <c r="B1475" s="1" t="n">
        <v>44069</v>
      </c>
      <c r="C1475" s="1" t="n">
        <v>45895</v>
      </c>
      <c r="D1475" t="inlineStr">
        <is>
          <t>NORRBOTTENS LÄN</t>
        </is>
      </c>
      <c r="E1475" t="inlineStr">
        <is>
          <t>LULEÅ</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29073-2021</t>
        </is>
      </c>
      <c r="B1476" s="1" t="n">
        <v>44358</v>
      </c>
      <c r="C1476" s="1" t="n">
        <v>45895</v>
      </c>
      <c r="D1476" t="inlineStr">
        <is>
          <t>NORRBOTTENS LÄN</t>
        </is>
      </c>
      <c r="E1476" t="inlineStr">
        <is>
          <t>JOKKMOKK</t>
        </is>
      </c>
      <c r="F1476" t="inlineStr">
        <is>
          <t>Sveaskog</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45673-2020</t>
        </is>
      </c>
      <c r="B1477" s="1" t="n">
        <v>44090</v>
      </c>
      <c r="C1477" s="1" t="n">
        <v>45895</v>
      </c>
      <c r="D1477" t="inlineStr">
        <is>
          <t>NORRBOTTENS LÄN</t>
        </is>
      </c>
      <c r="E1477" t="inlineStr">
        <is>
          <t>ÖVERTORNEÅ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62259-2021</t>
        </is>
      </c>
      <c r="B1478" s="1" t="n">
        <v>44501</v>
      </c>
      <c r="C1478" s="1" t="n">
        <v>45895</v>
      </c>
      <c r="D1478" t="inlineStr">
        <is>
          <t>NORRBOTTENS LÄN</t>
        </is>
      </c>
      <c r="E1478" t="inlineStr">
        <is>
          <t>ÖVERKALIX</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8270-2021</t>
        </is>
      </c>
      <c r="B1479" s="1" t="n">
        <v>44244</v>
      </c>
      <c r="C1479" s="1" t="n">
        <v>45895</v>
      </c>
      <c r="D1479" t="inlineStr">
        <is>
          <t>NORRBOTTENS LÄN</t>
        </is>
      </c>
      <c r="E1479" t="inlineStr">
        <is>
          <t>KALIX</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54820-2021</t>
        </is>
      </c>
      <c r="B1480" s="1" t="n">
        <v>44473</v>
      </c>
      <c r="C1480" s="1" t="n">
        <v>45895</v>
      </c>
      <c r="D1480" t="inlineStr">
        <is>
          <t>NORRBOTTENS LÄN</t>
        </is>
      </c>
      <c r="E1480" t="inlineStr">
        <is>
          <t>GÄLLIVARE</t>
        </is>
      </c>
      <c r="F1480" t="inlineStr">
        <is>
          <t>SCA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44987-2022</t>
        </is>
      </c>
      <c r="B1481" s="1" t="n">
        <v>44841.59989583334</v>
      </c>
      <c r="C1481" s="1" t="n">
        <v>45895</v>
      </c>
      <c r="D1481" t="inlineStr">
        <is>
          <t>NORRBOTTENS LÄN</t>
        </is>
      </c>
      <c r="E1481" t="inlineStr">
        <is>
          <t>LULEÅ</t>
        </is>
      </c>
      <c r="F1481" t="inlineStr">
        <is>
          <t>Sveaskog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34789-2022</t>
        </is>
      </c>
      <c r="B1482" s="1" t="n">
        <v>44795</v>
      </c>
      <c r="C1482" s="1" t="n">
        <v>45895</v>
      </c>
      <c r="D1482" t="inlineStr">
        <is>
          <t>NORRBOTTENS LÄN</t>
        </is>
      </c>
      <c r="E1482" t="inlineStr">
        <is>
          <t>BODEN</t>
        </is>
      </c>
      <c r="F1482" t="inlineStr">
        <is>
          <t>SCA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62759-2020</t>
        </is>
      </c>
      <c r="B1483" s="1" t="n">
        <v>44161</v>
      </c>
      <c r="C1483" s="1" t="n">
        <v>45895</v>
      </c>
      <c r="D1483" t="inlineStr">
        <is>
          <t>NORRBOTTENS LÄN</t>
        </is>
      </c>
      <c r="E1483" t="inlineStr">
        <is>
          <t>JOKKMOKK</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55168-2020</t>
        </is>
      </c>
      <c r="B1484" s="1" t="n">
        <v>44130</v>
      </c>
      <c r="C1484" s="1" t="n">
        <v>45895</v>
      </c>
      <c r="D1484" t="inlineStr">
        <is>
          <t>NORRBOTTENS LÄN</t>
        </is>
      </c>
      <c r="E1484" t="inlineStr">
        <is>
          <t>GÄLLIVARE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63638-2020</t>
        </is>
      </c>
      <c r="B1485" s="1" t="n">
        <v>44162</v>
      </c>
      <c r="C1485" s="1" t="n">
        <v>45895</v>
      </c>
      <c r="D1485" t="inlineStr">
        <is>
          <t>NORRBOTTENS LÄN</t>
        </is>
      </c>
      <c r="E1485" t="inlineStr">
        <is>
          <t>ARVIDSJAUR</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58898-2021</t>
        </is>
      </c>
      <c r="B1486" s="1" t="n">
        <v>44489</v>
      </c>
      <c r="C1486" s="1" t="n">
        <v>45895</v>
      </c>
      <c r="D1486" t="inlineStr">
        <is>
          <t>NORRBOTTENS LÄN</t>
        </is>
      </c>
      <c r="E1486" t="inlineStr">
        <is>
          <t>BODEN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52147-2021</t>
        </is>
      </c>
      <c r="B1487" s="1" t="n">
        <v>44462</v>
      </c>
      <c r="C1487" s="1" t="n">
        <v>45895</v>
      </c>
      <c r="D1487" t="inlineStr">
        <is>
          <t>NORRBOTTENS LÄN</t>
        </is>
      </c>
      <c r="E1487" t="inlineStr">
        <is>
          <t>PAJALA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52391-2021</t>
        </is>
      </c>
      <c r="B1488" s="1" t="n">
        <v>44465.91761574074</v>
      </c>
      <c r="C1488" s="1" t="n">
        <v>45895</v>
      </c>
      <c r="D1488" t="inlineStr">
        <is>
          <t>NORRBOTTENS LÄN</t>
        </is>
      </c>
      <c r="E1488" t="inlineStr">
        <is>
          <t>HAPARANDA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13864-2021</t>
        </is>
      </c>
      <c r="B1489" s="1" t="n">
        <v>44277</v>
      </c>
      <c r="C1489" s="1" t="n">
        <v>45895</v>
      </c>
      <c r="D1489" t="inlineStr">
        <is>
          <t>NORRBOTTENS LÄN</t>
        </is>
      </c>
      <c r="E1489" t="inlineStr">
        <is>
          <t>ÖVERTORNEÅ</t>
        </is>
      </c>
      <c r="G1489" t="n">
        <v>48.3</v>
      </c>
      <c r="H1489" t="n">
        <v>0</v>
      </c>
      <c r="I1489" t="n">
        <v>0</v>
      </c>
      <c r="J1489" t="n">
        <v>0</v>
      </c>
      <c r="K1489" t="n">
        <v>0</v>
      </c>
      <c r="L1489" t="n">
        <v>0</v>
      </c>
      <c r="M1489" t="n">
        <v>0</v>
      </c>
      <c r="N1489" t="n">
        <v>0</v>
      </c>
      <c r="O1489" t="n">
        <v>0</v>
      </c>
      <c r="P1489" t="n">
        <v>0</v>
      </c>
      <c r="Q1489" t="n">
        <v>0</v>
      </c>
      <c r="R1489" s="2" t="inlineStr"/>
    </row>
    <row r="1490" ht="15" customHeight="1">
      <c r="A1490" t="inlineStr">
        <is>
          <t>A 42529-2021</t>
        </is>
      </c>
      <c r="B1490" s="1" t="n">
        <v>44427.93604166667</v>
      </c>
      <c r="C1490" s="1" t="n">
        <v>45895</v>
      </c>
      <c r="D1490" t="inlineStr">
        <is>
          <t>NORRBOTTENS LÄN</t>
        </is>
      </c>
      <c r="E1490" t="inlineStr">
        <is>
          <t>GÄLLIVARE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46585-2021</t>
        </is>
      </c>
      <c r="B1491" s="1" t="n">
        <v>44445</v>
      </c>
      <c r="C1491" s="1" t="n">
        <v>45895</v>
      </c>
      <c r="D1491" t="inlineStr">
        <is>
          <t>NORRBOTTENS LÄN</t>
        </is>
      </c>
      <c r="E1491" t="inlineStr">
        <is>
          <t>ARJEPLOG</t>
        </is>
      </c>
      <c r="F1491" t="inlineStr">
        <is>
          <t>Övriga statliga verk och myndigheter</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11734-2021</t>
        </is>
      </c>
      <c r="B1492" s="1" t="n">
        <v>44264</v>
      </c>
      <c r="C1492" s="1" t="n">
        <v>45895</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43122-2020</t>
        </is>
      </c>
      <c r="B1493" s="1" t="n">
        <v>44079</v>
      </c>
      <c r="C1493" s="1" t="n">
        <v>45895</v>
      </c>
      <c r="D1493" t="inlineStr">
        <is>
          <t>NORRBOTTENS LÄN</t>
        </is>
      </c>
      <c r="E1493" t="inlineStr">
        <is>
          <t>PAJALA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8360-2021</t>
        </is>
      </c>
      <c r="B1494" s="1" t="n">
        <v>44244</v>
      </c>
      <c r="C1494" s="1" t="n">
        <v>45895</v>
      </c>
      <c r="D1494" t="inlineStr">
        <is>
          <t>NORRBOTTENS LÄN</t>
        </is>
      </c>
      <c r="E1494" t="inlineStr">
        <is>
          <t>JOKKMOKK</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63593-2021</t>
        </is>
      </c>
      <c r="B1495" s="1" t="n">
        <v>44508.92340277778</v>
      </c>
      <c r="C1495" s="1" t="n">
        <v>45895</v>
      </c>
      <c r="D1495" t="inlineStr">
        <is>
          <t>NORRBOTTENS LÄN</t>
        </is>
      </c>
      <c r="E1495" t="inlineStr">
        <is>
          <t>KALIX</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27781-2022</t>
        </is>
      </c>
      <c r="B1496" s="1" t="n">
        <v>44743</v>
      </c>
      <c r="C1496" s="1" t="n">
        <v>45895</v>
      </c>
      <c r="D1496" t="inlineStr">
        <is>
          <t>NORRBOTTENS LÄN</t>
        </is>
      </c>
      <c r="E1496" t="inlineStr">
        <is>
          <t>JOKKMOKK</t>
        </is>
      </c>
      <c r="F1496" t="inlineStr">
        <is>
          <t>Sveaskog</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67384-2020</t>
        </is>
      </c>
      <c r="B1497" s="1" t="n">
        <v>44179</v>
      </c>
      <c r="C1497" s="1" t="n">
        <v>45895</v>
      </c>
      <c r="D1497" t="inlineStr">
        <is>
          <t>NORRBOTTENS LÄN</t>
        </is>
      </c>
      <c r="E1497" t="inlineStr">
        <is>
          <t>ARVIDSJAUR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64304-2021</t>
        </is>
      </c>
      <c r="B1498" s="1" t="n">
        <v>44510</v>
      </c>
      <c r="C1498" s="1" t="n">
        <v>45895</v>
      </c>
      <c r="D1498" t="inlineStr">
        <is>
          <t>NORRBOTTENS LÄN</t>
        </is>
      </c>
      <c r="E1498" t="inlineStr">
        <is>
          <t>ÖVERKALIX</t>
        </is>
      </c>
      <c r="F1498" t="inlineStr">
        <is>
          <t>SCA</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13659-2022</t>
        </is>
      </c>
      <c r="B1499" s="1" t="n">
        <v>44648</v>
      </c>
      <c r="C1499" s="1" t="n">
        <v>45895</v>
      </c>
      <c r="D1499" t="inlineStr">
        <is>
          <t>NORRBOTTENS LÄN</t>
        </is>
      </c>
      <c r="E1499" t="inlineStr">
        <is>
          <t>BODEN</t>
        </is>
      </c>
      <c r="F1499" t="inlineStr">
        <is>
          <t>Sveaskog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68562-2020</t>
        </is>
      </c>
      <c r="B1500" s="1" t="n">
        <v>44186</v>
      </c>
      <c r="C1500" s="1" t="n">
        <v>45895</v>
      </c>
      <c r="D1500" t="inlineStr">
        <is>
          <t>NORRBOTTENS LÄN</t>
        </is>
      </c>
      <c r="E1500" t="inlineStr">
        <is>
          <t>PITEÅ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42632-2022</t>
        </is>
      </c>
      <c r="B1501" s="1" t="n">
        <v>44831.94553240741</v>
      </c>
      <c r="C1501" s="1" t="n">
        <v>45895</v>
      </c>
      <c r="D1501" t="inlineStr">
        <is>
          <t>NORRBOTTENS LÄN</t>
        </is>
      </c>
      <c r="E1501" t="inlineStr">
        <is>
          <t>BODEN</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9929-2022</t>
        </is>
      </c>
      <c r="B1502" s="1" t="n">
        <v>44620.92225694445</v>
      </c>
      <c r="C1502" s="1" t="n">
        <v>45895</v>
      </c>
      <c r="D1502" t="inlineStr">
        <is>
          <t>NORRBOTTENS LÄN</t>
        </is>
      </c>
      <c r="E1502" t="inlineStr">
        <is>
          <t>LULEÅ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9930-2022</t>
        </is>
      </c>
      <c r="B1503" s="1" t="n">
        <v>44620.92230324074</v>
      </c>
      <c r="C1503" s="1" t="n">
        <v>45895</v>
      </c>
      <c r="D1503" t="inlineStr">
        <is>
          <t>NORRBOTTENS LÄN</t>
        </is>
      </c>
      <c r="E1503" t="inlineStr">
        <is>
          <t>LULEÅ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26644-2021</t>
        </is>
      </c>
      <c r="B1504" s="1" t="n">
        <v>44348</v>
      </c>
      <c r="C1504" s="1" t="n">
        <v>45895</v>
      </c>
      <c r="D1504" t="inlineStr">
        <is>
          <t>NORRBOTTENS LÄN</t>
        </is>
      </c>
      <c r="E1504" t="inlineStr">
        <is>
          <t>ÖVERKALIX</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41466-2020</t>
        </is>
      </c>
      <c r="B1505" s="1" t="n">
        <v>44069</v>
      </c>
      <c r="C1505" s="1" t="n">
        <v>45895</v>
      </c>
      <c r="D1505" t="inlineStr">
        <is>
          <t>NORRBOTTENS LÄN</t>
        </is>
      </c>
      <c r="E1505" t="inlineStr">
        <is>
          <t>PITEÅ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69883-2021</t>
        </is>
      </c>
      <c r="B1506" s="1" t="n">
        <v>44532</v>
      </c>
      <c r="C1506" s="1" t="n">
        <v>45895</v>
      </c>
      <c r="D1506" t="inlineStr">
        <is>
          <t>NORRBOTTENS LÄN</t>
        </is>
      </c>
      <c r="E1506" t="inlineStr">
        <is>
          <t>JOKKMOKK</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30003-2022</t>
        </is>
      </c>
      <c r="B1507" s="1" t="n">
        <v>44756.92534722222</v>
      </c>
      <c r="C1507" s="1" t="n">
        <v>45895</v>
      </c>
      <c r="D1507" t="inlineStr">
        <is>
          <t>NORRBOTTENS LÄN</t>
        </is>
      </c>
      <c r="E1507" t="inlineStr">
        <is>
          <t>HAPARANDA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55775-2021</t>
        </is>
      </c>
      <c r="B1508" s="1" t="n">
        <v>44476</v>
      </c>
      <c r="C1508" s="1" t="n">
        <v>45895</v>
      </c>
      <c r="D1508" t="inlineStr">
        <is>
          <t>NORRBOTTENS LÄN</t>
        </is>
      </c>
      <c r="E1508" t="inlineStr">
        <is>
          <t>ÄLVSBYN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9493-2022</t>
        </is>
      </c>
      <c r="B1509" s="1" t="n">
        <v>44616</v>
      </c>
      <c r="C1509" s="1" t="n">
        <v>45895</v>
      </c>
      <c r="D1509" t="inlineStr">
        <is>
          <t>NORRBOTTENS LÄN</t>
        </is>
      </c>
      <c r="E1509" t="inlineStr">
        <is>
          <t>GÄLLIVARE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9504-2022</t>
        </is>
      </c>
      <c r="B1510" s="1" t="n">
        <v>44616</v>
      </c>
      <c r="C1510" s="1" t="n">
        <v>45895</v>
      </c>
      <c r="D1510" t="inlineStr">
        <is>
          <t>NORRBOTTENS LÄN</t>
        </is>
      </c>
      <c r="E1510" t="inlineStr">
        <is>
          <t>GÄLLIVARE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45916-2020</t>
        </is>
      </c>
      <c r="B1511" s="1" t="n">
        <v>44088</v>
      </c>
      <c r="C1511" s="1" t="n">
        <v>45895</v>
      </c>
      <c r="D1511" t="inlineStr">
        <is>
          <t>NORRBOTTENS LÄN</t>
        </is>
      </c>
      <c r="E1511" t="inlineStr">
        <is>
          <t>KALIX</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29337-2021</t>
        </is>
      </c>
      <c r="B1512" s="1" t="n">
        <v>44361.44074074074</v>
      </c>
      <c r="C1512" s="1" t="n">
        <v>45895</v>
      </c>
      <c r="D1512" t="inlineStr">
        <is>
          <t>NORRBOTTENS LÄN</t>
        </is>
      </c>
      <c r="E1512" t="inlineStr">
        <is>
          <t>KALIX</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29708-2022</t>
        </is>
      </c>
      <c r="B1513" s="1" t="n">
        <v>44755</v>
      </c>
      <c r="C1513" s="1" t="n">
        <v>45895</v>
      </c>
      <c r="D1513" t="inlineStr">
        <is>
          <t>NORRBOTTENS LÄN</t>
        </is>
      </c>
      <c r="E1513" t="inlineStr">
        <is>
          <t>PAJALA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26013-2022</t>
        </is>
      </c>
      <c r="B1514" s="1" t="n">
        <v>44734</v>
      </c>
      <c r="C1514" s="1" t="n">
        <v>45895</v>
      </c>
      <c r="D1514" t="inlineStr">
        <is>
          <t>NORRBOTTENS LÄN</t>
        </is>
      </c>
      <c r="E1514" t="inlineStr">
        <is>
          <t>BODEN</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27050-2021</t>
        </is>
      </c>
      <c r="B1515" s="1" t="n">
        <v>44350</v>
      </c>
      <c r="C1515" s="1" t="n">
        <v>45895</v>
      </c>
      <c r="D1515" t="inlineStr">
        <is>
          <t>NORRBOTTENS LÄN</t>
        </is>
      </c>
      <c r="E1515" t="inlineStr">
        <is>
          <t>KALIX</t>
        </is>
      </c>
      <c r="G1515" t="n">
        <v>24.1</v>
      </c>
      <c r="H1515" t="n">
        <v>0</v>
      </c>
      <c r="I1515" t="n">
        <v>0</v>
      </c>
      <c r="J1515" t="n">
        <v>0</v>
      </c>
      <c r="K1515" t="n">
        <v>0</v>
      </c>
      <c r="L1515" t="n">
        <v>0</v>
      </c>
      <c r="M1515" t="n">
        <v>0</v>
      </c>
      <c r="N1515" t="n">
        <v>0</v>
      </c>
      <c r="O1515" t="n">
        <v>0</v>
      </c>
      <c r="P1515" t="n">
        <v>0</v>
      </c>
      <c r="Q1515" t="n">
        <v>0</v>
      </c>
      <c r="R1515" s="2" t="inlineStr"/>
    </row>
    <row r="1516" ht="15" customHeight="1">
      <c r="A1516" t="inlineStr">
        <is>
          <t>A 45391-2021</t>
        </is>
      </c>
      <c r="B1516" s="1" t="n">
        <v>44440</v>
      </c>
      <c r="C1516" s="1" t="n">
        <v>45895</v>
      </c>
      <c r="D1516" t="inlineStr">
        <is>
          <t>NORRBOTTENS LÄN</t>
        </is>
      </c>
      <c r="E1516" t="inlineStr">
        <is>
          <t>ARVIDSJAUR</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434-2022</t>
        </is>
      </c>
      <c r="B1517" s="1" t="n">
        <v>44565.92913194445</v>
      </c>
      <c r="C1517" s="1" t="n">
        <v>45895</v>
      </c>
      <c r="D1517" t="inlineStr">
        <is>
          <t>NORRBOTTENS LÄN</t>
        </is>
      </c>
      <c r="E1517" t="inlineStr">
        <is>
          <t>LULEÅ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452-2022</t>
        </is>
      </c>
      <c r="B1518" s="1" t="n">
        <v>44565</v>
      </c>
      <c r="C1518" s="1" t="n">
        <v>45895</v>
      </c>
      <c r="D1518" t="inlineStr">
        <is>
          <t>NORRBOTTENS LÄN</t>
        </is>
      </c>
      <c r="E1518" t="inlineStr">
        <is>
          <t>BODEN</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7677-2022</t>
        </is>
      </c>
      <c r="B1519" s="1" t="n">
        <v>44607</v>
      </c>
      <c r="C1519" s="1" t="n">
        <v>45895</v>
      </c>
      <c r="D1519" t="inlineStr">
        <is>
          <t>NORRBOTTENS LÄN</t>
        </is>
      </c>
      <c r="E1519" t="inlineStr">
        <is>
          <t>ÖVERKALIX</t>
        </is>
      </c>
      <c r="F1519" t="inlineStr">
        <is>
          <t>SCA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7678-2022</t>
        </is>
      </c>
      <c r="B1520" s="1" t="n">
        <v>44607.94053240741</v>
      </c>
      <c r="C1520" s="1" t="n">
        <v>45895</v>
      </c>
      <c r="D1520" t="inlineStr">
        <is>
          <t>NORRBOTTENS LÄN</t>
        </is>
      </c>
      <c r="E1520" t="inlineStr">
        <is>
          <t>GÄLLIVARE</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42040-2021</t>
        </is>
      </c>
      <c r="B1521" s="1" t="n">
        <v>44426</v>
      </c>
      <c r="C1521" s="1" t="n">
        <v>45895</v>
      </c>
      <c r="D1521" t="inlineStr">
        <is>
          <t>NORRBOTTENS LÄN</t>
        </is>
      </c>
      <c r="E1521" t="inlineStr">
        <is>
          <t>KALIX</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41057-2021</t>
        </is>
      </c>
      <c r="B1522" s="1" t="n">
        <v>44421.97289351852</v>
      </c>
      <c r="C1522" s="1" t="n">
        <v>45895</v>
      </c>
      <c r="D1522" t="inlineStr">
        <is>
          <t>NORRBOTTENS LÄN</t>
        </is>
      </c>
      <c r="E1522" t="inlineStr">
        <is>
          <t>GÄLLIVARE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47153-2022</t>
        </is>
      </c>
      <c r="B1523" s="1" t="n">
        <v>44852.58707175926</v>
      </c>
      <c r="C1523" s="1" t="n">
        <v>45895</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74441-2021</t>
        </is>
      </c>
      <c r="B1524" s="1" t="n">
        <v>44558</v>
      </c>
      <c r="C1524" s="1" t="n">
        <v>45895</v>
      </c>
      <c r="D1524" t="inlineStr">
        <is>
          <t>NORRBOTTENS LÄN</t>
        </is>
      </c>
      <c r="E1524" t="inlineStr">
        <is>
          <t>LULEÅ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74445-2021</t>
        </is>
      </c>
      <c r="B1525" s="1" t="n">
        <v>44558</v>
      </c>
      <c r="C1525" s="1" t="n">
        <v>45895</v>
      </c>
      <c r="D1525" t="inlineStr">
        <is>
          <t>NORRBOTTENS LÄN</t>
        </is>
      </c>
      <c r="E1525" t="inlineStr">
        <is>
          <t>LULEÅ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45189-2021</t>
        </is>
      </c>
      <c r="B1526" s="1" t="n">
        <v>44439</v>
      </c>
      <c r="C1526" s="1" t="n">
        <v>45895</v>
      </c>
      <c r="D1526" t="inlineStr">
        <is>
          <t>NORRBOTTENS LÄN</t>
        </is>
      </c>
      <c r="E1526" t="inlineStr">
        <is>
          <t>BODEN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52001-2021</t>
        </is>
      </c>
      <c r="B1527" s="1" t="n">
        <v>44463</v>
      </c>
      <c r="C1527" s="1" t="n">
        <v>45895</v>
      </c>
      <c r="D1527" t="inlineStr">
        <is>
          <t>NORRBOTTENS LÄN</t>
        </is>
      </c>
      <c r="E1527" t="inlineStr">
        <is>
          <t>PITEÅ</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51220-2022</t>
        </is>
      </c>
      <c r="B1528" s="1" t="n">
        <v>44868</v>
      </c>
      <c r="C1528" s="1" t="n">
        <v>45895</v>
      </c>
      <c r="D1528" t="inlineStr">
        <is>
          <t>NORRBOTTENS LÄN</t>
        </is>
      </c>
      <c r="E1528" t="inlineStr">
        <is>
          <t>JOKKMOKK</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38213-2022</t>
        </is>
      </c>
      <c r="B1529" s="1" t="n">
        <v>44812.44233796297</v>
      </c>
      <c r="C1529" s="1" t="n">
        <v>45895</v>
      </c>
      <c r="D1529" t="inlineStr">
        <is>
          <t>NORRBOTTENS LÄN</t>
        </is>
      </c>
      <c r="E1529" t="inlineStr">
        <is>
          <t>BODEN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73907-2021</t>
        </is>
      </c>
      <c r="B1530" s="1" t="n">
        <v>44552</v>
      </c>
      <c r="C1530" s="1" t="n">
        <v>45895</v>
      </c>
      <c r="D1530" t="inlineStr">
        <is>
          <t>NORRBOTTENS LÄN</t>
        </is>
      </c>
      <c r="E1530" t="inlineStr">
        <is>
          <t>LULEÅ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35054-2021</t>
        </is>
      </c>
      <c r="B1531" s="1" t="n">
        <v>44383</v>
      </c>
      <c r="C1531" s="1" t="n">
        <v>45895</v>
      </c>
      <c r="D1531" t="inlineStr">
        <is>
          <t>NORRBOTTENS LÄN</t>
        </is>
      </c>
      <c r="E1531" t="inlineStr">
        <is>
          <t>PITEÅ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52160-2022</t>
        </is>
      </c>
      <c r="B1532" s="1" t="n">
        <v>44873.47778935185</v>
      </c>
      <c r="C1532" s="1" t="n">
        <v>45895</v>
      </c>
      <c r="D1532" t="inlineStr">
        <is>
          <t>NORRBOTTENS LÄN</t>
        </is>
      </c>
      <c r="E1532" t="inlineStr">
        <is>
          <t>ÖVERTORNEÅ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71278-2021</t>
        </is>
      </c>
      <c r="B1533" s="1" t="n">
        <v>44538</v>
      </c>
      <c r="C1533" s="1" t="n">
        <v>45895</v>
      </c>
      <c r="D1533" t="inlineStr">
        <is>
          <t>NORRBOTTENS LÄN</t>
        </is>
      </c>
      <c r="E1533" t="inlineStr">
        <is>
          <t>PITEÅ</t>
        </is>
      </c>
      <c r="G1533" t="n">
        <v>12.6</v>
      </c>
      <c r="H1533" t="n">
        <v>0</v>
      </c>
      <c r="I1533" t="n">
        <v>0</v>
      </c>
      <c r="J1533" t="n">
        <v>0</v>
      </c>
      <c r="K1533" t="n">
        <v>0</v>
      </c>
      <c r="L1533" t="n">
        <v>0</v>
      </c>
      <c r="M1533" t="n">
        <v>0</v>
      </c>
      <c r="N1533" t="n">
        <v>0</v>
      </c>
      <c r="O1533" t="n">
        <v>0</v>
      </c>
      <c r="P1533" t="n">
        <v>0</v>
      </c>
      <c r="Q1533" t="n">
        <v>0</v>
      </c>
      <c r="R1533" s="2" t="inlineStr"/>
    </row>
    <row r="1534" ht="15" customHeight="1">
      <c r="A1534" t="inlineStr">
        <is>
          <t>A 8889-2021</t>
        </is>
      </c>
      <c r="B1534" s="1" t="n">
        <v>44248</v>
      </c>
      <c r="C1534" s="1" t="n">
        <v>45895</v>
      </c>
      <c r="D1534" t="inlineStr">
        <is>
          <t>NORRBOTTENS LÄN</t>
        </is>
      </c>
      <c r="E1534" t="inlineStr">
        <is>
          <t>BODEN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28789-2022</t>
        </is>
      </c>
      <c r="B1535" s="1" t="n">
        <v>44749</v>
      </c>
      <c r="C1535" s="1" t="n">
        <v>45895</v>
      </c>
      <c r="D1535" t="inlineStr">
        <is>
          <t>NORRBOTTENS LÄN</t>
        </is>
      </c>
      <c r="E1535" t="inlineStr">
        <is>
          <t>PAJALA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10546-2022</t>
        </is>
      </c>
      <c r="B1536" s="1" t="n">
        <v>44623</v>
      </c>
      <c r="C1536" s="1" t="n">
        <v>45895</v>
      </c>
      <c r="D1536" t="inlineStr">
        <is>
          <t>NORRBOTTENS LÄN</t>
        </is>
      </c>
      <c r="E1536" t="inlineStr">
        <is>
          <t>KIRUNA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65110-2021</t>
        </is>
      </c>
      <c r="B1537" s="1" t="n">
        <v>44515</v>
      </c>
      <c r="C1537" s="1" t="n">
        <v>45895</v>
      </c>
      <c r="D1537" t="inlineStr">
        <is>
          <t>NORRBOTTENS LÄN</t>
        </is>
      </c>
      <c r="E1537" t="inlineStr">
        <is>
          <t>ÖVERTORNEÅ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10545-2022</t>
        </is>
      </c>
      <c r="B1538" s="1" t="n">
        <v>44623.92326388889</v>
      </c>
      <c r="C1538" s="1" t="n">
        <v>45895</v>
      </c>
      <c r="D1538" t="inlineStr">
        <is>
          <t>NORRBOTTENS LÄN</t>
        </is>
      </c>
      <c r="E1538" t="inlineStr">
        <is>
          <t>KIRUNA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32378-2021</t>
        </is>
      </c>
      <c r="B1539" s="1" t="n">
        <v>44371.61725694445</v>
      </c>
      <c r="C1539" s="1" t="n">
        <v>45895</v>
      </c>
      <c r="D1539" t="inlineStr">
        <is>
          <t>NORRBOTTENS LÄN</t>
        </is>
      </c>
      <c r="E1539" t="inlineStr">
        <is>
          <t>LULEÅ</t>
        </is>
      </c>
      <c r="F1539" t="inlineStr">
        <is>
          <t>Sveaskog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32448-2021</t>
        </is>
      </c>
      <c r="B1540" s="1" t="n">
        <v>44371</v>
      </c>
      <c r="C1540" s="1" t="n">
        <v>45895</v>
      </c>
      <c r="D1540" t="inlineStr">
        <is>
          <t>NORRBOTTENS LÄN</t>
        </is>
      </c>
      <c r="E1540" t="inlineStr">
        <is>
          <t>KALIX</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71695-2021</t>
        </is>
      </c>
      <c r="B1541" s="1" t="n">
        <v>44543.43594907408</v>
      </c>
      <c r="C1541" s="1" t="n">
        <v>45895</v>
      </c>
      <c r="D1541" t="inlineStr">
        <is>
          <t>NORRBOTTENS LÄN</t>
        </is>
      </c>
      <c r="E1541" t="inlineStr">
        <is>
          <t>ARVIDSJAUR</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30114-2022</t>
        </is>
      </c>
      <c r="B1542" s="1" t="n">
        <v>44757.40704861111</v>
      </c>
      <c r="C1542" s="1" t="n">
        <v>45895</v>
      </c>
      <c r="D1542" t="inlineStr">
        <is>
          <t>NORRBOTTENS LÄN</t>
        </is>
      </c>
      <c r="E1542" t="inlineStr">
        <is>
          <t>ÖVERTORNEÅ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71446-2021</t>
        </is>
      </c>
      <c r="B1543" s="1" t="n">
        <v>44540.46146990741</v>
      </c>
      <c r="C1543" s="1" t="n">
        <v>45895</v>
      </c>
      <c r="D1543" t="inlineStr">
        <is>
          <t>NORRBOTTENS LÄN</t>
        </is>
      </c>
      <c r="E1543" t="inlineStr">
        <is>
          <t>HAPARANDA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28367-2021</t>
        </is>
      </c>
      <c r="B1544" s="1" t="n">
        <v>44356</v>
      </c>
      <c r="C1544" s="1" t="n">
        <v>45895</v>
      </c>
      <c r="D1544" t="inlineStr">
        <is>
          <t>NORRBOTTENS LÄN</t>
        </is>
      </c>
      <c r="E1544" t="inlineStr">
        <is>
          <t>BODEN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73759-2021</t>
        </is>
      </c>
      <c r="B1545" s="1" t="n">
        <v>44551</v>
      </c>
      <c r="C1545" s="1" t="n">
        <v>45895</v>
      </c>
      <c r="D1545" t="inlineStr">
        <is>
          <t>NORRBOTTENS LÄN</t>
        </is>
      </c>
      <c r="E1545" t="inlineStr">
        <is>
          <t>ÖVERKALIX</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810-2022</t>
        </is>
      </c>
      <c r="B1546" s="1" t="n">
        <v>44571</v>
      </c>
      <c r="C1546" s="1" t="n">
        <v>45895</v>
      </c>
      <c r="D1546" t="inlineStr">
        <is>
          <t>NORRBOTTENS LÄN</t>
        </is>
      </c>
      <c r="E1546" t="inlineStr">
        <is>
          <t>PITEÅ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65652-2020</t>
        </is>
      </c>
      <c r="B1547" s="1" t="n">
        <v>44172</v>
      </c>
      <c r="C1547" s="1" t="n">
        <v>45895</v>
      </c>
      <c r="D1547" t="inlineStr">
        <is>
          <t>NORRBOTTENS LÄN</t>
        </is>
      </c>
      <c r="E1547" t="inlineStr">
        <is>
          <t>JOKKMOKK</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52591-2020</t>
        </is>
      </c>
      <c r="B1548" s="1" t="n">
        <v>44116</v>
      </c>
      <c r="C1548" s="1" t="n">
        <v>45895</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10784-2022</t>
        </is>
      </c>
      <c r="B1549" s="1" t="n">
        <v>44627</v>
      </c>
      <c r="C1549" s="1" t="n">
        <v>45895</v>
      </c>
      <c r="D1549" t="inlineStr">
        <is>
          <t>NORRBOTTENS LÄN</t>
        </is>
      </c>
      <c r="E1549" t="inlineStr">
        <is>
          <t>PAJALA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15500-2022</t>
        </is>
      </c>
      <c r="B1550" s="1" t="n">
        <v>44662</v>
      </c>
      <c r="C1550" s="1" t="n">
        <v>45895</v>
      </c>
      <c r="D1550" t="inlineStr">
        <is>
          <t>NORRBOTTENS LÄN</t>
        </is>
      </c>
      <c r="E1550" t="inlineStr">
        <is>
          <t>ÖVERTORNEÅ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71283-2021</t>
        </is>
      </c>
      <c r="B1551" s="1" t="n">
        <v>44538</v>
      </c>
      <c r="C1551" s="1" t="n">
        <v>45895</v>
      </c>
      <c r="D1551" t="inlineStr">
        <is>
          <t>NORRBOTTENS LÄN</t>
        </is>
      </c>
      <c r="E1551" t="inlineStr">
        <is>
          <t>PITEÅ</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19226-2022</t>
        </is>
      </c>
      <c r="B1552" s="1" t="n">
        <v>44691</v>
      </c>
      <c r="C1552" s="1" t="n">
        <v>45895</v>
      </c>
      <c r="D1552" t="inlineStr">
        <is>
          <t>NORRBOTTENS LÄN</t>
        </is>
      </c>
      <c r="E1552" t="inlineStr">
        <is>
          <t>PAJALA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16531-2022</t>
        </is>
      </c>
      <c r="B1553" s="1" t="n">
        <v>44671</v>
      </c>
      <c r="C1553" s="1" t="n">
        <v>45895</v>
      </c>
      <c r="D1553" t="inlineStr">
        <is>
          <t>NORRBOTTENS LÄN</t>
        </is>
      </c>
      <c r="E1553" t="inlineStr">
        <is>
          <t>BODEN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40129-2022</t>
        </is>
      </c>
      <c r="B1554" s="1" t="n">
        <v>44820</v>
      </c>
      <c r="C1554" s="1" t="n">
        <v>45895</v>
      </c>
      <c r="D1554" t="inlineStr">
        <is>
          <t>NORRBOTTENS LÄN</t>
        </is>
      </c>
      <c r="E1554" t="inlineStr">
        <is>
          <t>JOKKMOKK</t>
        </is>
      </c>
      <c r="F1554" t="inlineStr">
        <is>
          <t>Sveaskog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7538-2022</t>
        </is>
      </c>
      <c r="B1555" s="1" t="n">
        <v>44607</v>
      </c>
      <c r="C1555" s="1" t="n">
        <v>45895</v>
      </c>
      <c r="D1555" t="inlineStr">
        <is>
          <t>NORRBOTTENS LÄN</t>
        </is>
      </c>
      <c r="E1555" t="inlineStr">
        <is>
          <t>GÄLLIVARE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58002-2021</t>
        </is>
      </c>
      <c r="B1556" s="1" t="n">
        <v>44487</v>
      </c>
      <c r="C1556" s="1" t="n">
        <v>45895</v>
      </c>
      <c r="D1556" t="inlineStr">
        <is>
          <t>NORRBOTTENS LÄN</t>
        </is>
      </c>
      <c r="E1556" t="inlineStr">
        <is>
          <t>ARVIDSJAUR</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41728-2020</t>
        </is>
      </c>
      <c r="B1557" s="1" t="n">
        <v>44070</v>
      </c>
      <c r="C1557" s="1" t="n">
        <v>45895</v>
      </c>
      <c r="D1557" t="inlineStr">
        <is>
          <t>NORRBOTTENS LÄN</t>
        </is>
      </c>
      <c r="E1557" t="inlineStr">
        <is>
          <t>PITEÅ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64377-2021</t>
        </is>
      </c>
      <c r="B1558" s="1" t="n">
        <v>44511</v>
      </c>
      <c r="C1558" s="1" t="n">
        <v>45895</v>
      </c>
      <c r="D1558" t="inlineStr">
        <is>
          <t>NORRBOTTENS LÄN</t>
        </is>
      </c>
      <c r="E1558" t="inlineStr">
        <is>
          <t>ARVIDSJAUR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53118-2020</t>
        </is>
      </c>
      <c r="B1559" s="1" t="n">
        <v>44120</v>
      </c>
      <c r="C1559" s="1" t="n">
        <v>45895</v>
      </c>
      <c r="D1559" t="inlineStr">
        <is>
          <t>NORRBOTTENS LÄN</t>
        </is>
      </c>
      <c r="E1559" t="inlineStr">
        <is>
          <t>LULEÅ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56641-2021</t>
        </is>
      </c>
      <c r="B1560" s="1" t="n">
        <v>44480</v>
      </c>
      <c r="C1560" s="1" t="n">
        <v>45895</v>
      </c>
      <c r="D1560" t="inlineStr">
        <is>
          <t>NORRBOTTENS LÄN</t>
        </is>
      </c>
      <c r="E1560" t="inlineStr">
        <is>
          <t>PITEÅ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72279-2021</t>
        </is>
      </c>
      <c r="B1561" s="1" t="n">
        <v>44543</v>
      </c>
      <c r="C1561" s="1" t="n">
        <v>45895</v>
      </c>
      <c r="D1561" t="inlineStr">
        <is>
          <t>NORRBOTTENS LÄN</t>
        </is>
      </c>
      <c r="E1561" t="inlineStr">
        <is>
          <t>ARJEPLOG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34525-2021</t>
        </is>
      </c>
      <c r="B1562" s="1" t="n">
        <v>44382</v>
      </c>
      <c r="C1562" s="1" t="n">
        <v>45895</v>
      </c>
      <c r="D1562" t="inlineStr">
        <is>
          <t>NORRBOTTENS LÄN</t>
        </is>
      </c>
      <c r="E1562" t="inlineStr">
        <is>
          <t>KALIX</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11935-2022</t>
        </is>
      </c>
      <c r="B1563" s="1" t="n">
        <v>44635</v>
      </c>
      <c r="C1563" s="1" t="n">
        <v>45895</v>
      </c>
      <c r="D1563" t="inlineStr">
        <is>
          <t>NORRBOTTENS LÄN</t>
        </is>
      </c>
      <c r="E1563" t="inlineStr">
        <is>
          <t>BODEN</t>
        </is>
      </c>
      <c r="F1563" t="inlineStr">
        <is>
          <t>Kyrkan</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9748-2025</t>
        </is>
      </c>
      <c r="B1564" s="1" t="n">
        <v>45716.45487268519</v>
      </c>
      <c r="C1564" s="1" t="n">
        <v>45895</v>
      </c>
      <c r="D1564" t="inlineStr">
        <is>
          <t>NORRBOTTENS LÄN</t>
        </is>
      </c>
      <c r="E1564" t="inlineStr">
        <is>
          <t>HAPARANDA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9384-2025</t>
        </is>
      </c>
      <c r="B1565" s="1" t="n">
        <v>45715.34438657408</v>
      </c>
      <c r="C1565" s="1" t="n">
        <v>45895</v>
      </c>
      <c r="D1565" t="inlineStr">
        <is>
          <t>NORRBOTTENS LÄN</t>
        </is>
      </c>
      <c r="E1565" t="inlineStr">
        <is>
          <t>BODEN</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42574-2024</t>
        </is>
      </c>
      <c r="B1566" s="1" t="n">
        <v>45565.64506944444</v>
      </c>
      <c r="C1566" s="1" t="n">
        <v>45895</v>
      </c>
      <c r="D1566" t="inlineStr">
        <is>
          <t>NORRBOTTENS LÄN</t>
        </is>
      </c>
      <c r="E1566" t="inlineStr">
        <is>
          <t>ÄLVSBYN</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5739-2024</t>
        </is>
      </c>
      <c r="B1567" s="1" t="n">
        <v>45334.95219907408</v>
      </c>
      <c r="C1567" s="1" t="n">
        <v>45895</v>
      </c>
      <c r="D1567" t="inlineStr">
        <is>
          <t>NORRBOTTENS LÄN</t>
        </is>
      </c>
      <c r="E1567" t="inlineStr">
        <is>
          <t>PAJALA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71909-2021</t>
        </is>
      </c>
      <c r="B1568" s="1" t="n">
        <v>44543.92140046296</v>
      </c>
      <c r="C1568" s="1" t="n">
        <v>45895</v>
      </c>
      <c r="D1568" t="inlineStr">
        <is>
          <t>NORRBOTTENS LÄN</t>
        </is>
      </c>
      <c r="E1568" t="inlineStr">
        <is>
          <t>LULEÅ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53077-2023</t>
        </is>
      </c>
      <c r="B1569" s="1" t="n">
        <v>45227.58420138889</v>
      </c>
      <c r="C1569" s="1" t="n">
        <v>45895</v>
      </c>
      <c r="D1569" t="inlineStr">
        <is>
          <t>NORRBOTTENS LÄN</t>
        </is>
      </c>
      <c r="E1569" t="inlineStr">
        <is>
          <t>ÖVERTORNEÅ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40713-2022</t>
        </is>
      </c>
      <c r="B1570" s="1" t="n">
        <v>44820</v>
      </c>
      <c r="C1570" s="1" t="n">
        <v>45895</v>
      </c>
      <c r="D1570" t="inlineStr">
        <is>
          <t>NORRBOTTENS LÄN</t>
        </is>
      </c>
      <c r="E1570" t="inlineStr">
        <is>
          <t>PITEÅ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61831-2020</t>
        </is>
      </c>
      <c r="B1571" s="1" t="n">
        <v>44158</v>
      </c>
      <c r="C1571" s="1" t="n">
        <v>45895</v>
      </c>
      <c r="D1571" t="inlineStr">
        <is>
          <t>NORRBOTTENS LÄN</t>
        </is>
      </c>
      <c r="E1571" t="inlineStr">
        <is>
          <t>PAJALA</t>
        </is>
      </c>
      <c r="G1571" t="n">
        <v>22.2</v>
      </c>
      <c r="H1571" t="n">
        <v>0</v>
      </c>
      <c r="I1571" t="n">
        <v>0</v>
      </c>
      <c r="J1571" t="n">
        <v>0</v>
      </c>
      <c r="K1571" t="n">
        <v>0</v>
      </c>
      <c r="L1571" t="n">
        <v>0</v>
      </c>
      <c r="M1571" t="n">
        <v>0</v>
      </c>
      <c r="N1571" t="n">
        <v>0</v>
      </c>
      <c r="O1571" t="n">
        <v>0</v>
      </c>
      <c r="P1571" t="n">
        <v>0</v>
      </c>
      <c r="Q1571" t="n">
        <v>0</v>
      </c>
      <c r="R1571" s="2" t="inlineStr"/>
    </row>
    <row r="1572" ht="15" customHeight="1">
      <c r="A1572" t="inlineStr">
        <is>
          <t>A 16561-2022</t>
        </is>
      </c>
      <c r="B1572" s="1" t="n">
        <v>44672</v>
      </c>
      <c r="C1572" s="1" t="n">
        <v>45895</v>
      </c>
      <c r="D1572" t="inlineStr">
        <is>
          <t>NORRBOTTENS LÄN</t>
        </is>
      </c>
      <c r="E1572" t="inlineStr">
        <is>
          <t>ÖVERTORNEÅ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7685-2022</t>
        </is>
      </c>
      <c r="B1573" s="1" t="n">
        <v>44607.9409837963</v>
      </c>
      <c r="C1573" s="1" t="n">
        <v>45895</v>
      </c>
      <c r="D1573" t="inlineStr">
        <is>
          <t>NORRBOTTENS LÄN</t>
        </is>
      </c>
      <c r="E1573" t="inlineStr">
        <is>
          <t>GÄLLIVARE</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11848-2021</t>
        </is>
      </c>
      <c r="B1574" s="1" t="n">
        <v>44264</v>
      </c>
      <c r="C1574" s="1" t="n">
        <v>45895</v>
      </c>
      <c r="D1574" t="inlineStr">
        <is>
          <t>NORRBOTTENS LÄN</t>
        </is>
      </c>
      <c r="E1574" t="inlineStr">
        <is>
          <t>LULEÅ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31453-2021</t>
        </is>
      </c>
      <c r="B1575" s="1" t="n">
        <v>44369</v>
      </c>
      <c r="C1575" s="1" t="n">
        <v>45895</v>
      </c>
      <c r="D1575" t="inlineStr">
        <is>
          <t>NORRBOTTENS LÄN</t>
        </is>
      </c>
      <c r="E1575" t="inlineStr">
        <is>
          <t>ARVIDSJAUR</t>
        </is>
      </c>
      <c r="F1575" t="inlineStr">
        <is>
          <t>Sveaskog</t>
        </is>
      </c>
      <c r="G1575" t="n">
        <v>11.3</v>
      </c>
      <c r="H1575" t="n">
        <v>0</v>
      </c>
      <c r="I1575" t="n">
        <v>0</v>
      </c>
      <c r="J1575" t="n">
        <v>0</v>
      </c>
      <c r="K1575" t="n">
        <v>0</v>
      </c>
      <c r="L1575" t="n">
        <v>0</v>
      </c>
      <c r="M1575" t="n">
        <v>0</v>
      </c>
      <c r="N1575" t="n">
        <v>0</v>
      </c>
      <c r="O1575" t="n">
        <v>0</v>
      </c>
      <c r="P1575" t="n">
        <v>0</v>
      </c>
      <c r="Q1575" t="n">
        <v>0</v>
      </c>
      <c r="R1575" s="2" t="inlineStr"/>
    </row>
    <row r="1576" ht="15" customHeight="1">
      <c r="A1576" t="inlineStr">
        <is>
          <t>A 710-2022</t>
        </is>
      </c>
      <c r="B1576" s="1" t="n">
        <v>44566</v>
      </c>
      <c r="C1576" s="1" t="n">
        <v>45895</v>
      </c>
      <c r="D1576" t="inlineStr">
        <is>
          <t>NORRBOTTENS LÄN</t>
        </is>
      </c>
      <c r="E1576" t="inlineStr">
        <is>
          <t>BODEN</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714-2022</t>
        </is>
      </c>
      <c r="B1577" s="1" t="n">
        <v>44566</v>
      </c>
      <c r="C1577" s="1" t="n">
        <v>45895</v>
      </c>
      <c r="D1577" t="inlineStr">
        <is>
          <t>NORRBOTTENS LÄN</t>
        </is>
      </c>
      <c r="E1577" t="inlineStr">
        <is>
          <t>BODEN</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6181-2022</t>
        </is>
      </c>
      <c r="B1578" s="1" t="n">
        <v>44600.31258101852</v>
      </c>
      <c r="C1578" s="1" t="n">
        <v>45895</v>
      </c>
      <c r="D1578" t="inlineStr">
        <is>
          <t>NORRBOTTENS LÄN</t>
        </is>
      </c>
      <c r="E1578" t="inlineStr">
        <is>
          <t>BODEN</t>
        </is>
      </c>
      <c r="F1578" t="inlineStr">
        <is>
          <t>Sveaskog</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17597-2021</t>
        </is>
      </c>
      <c r="B1579" s="1" t="n">
        <v>44299</v>
      </c>
      <c r="C1579" s="1" t="n">
        <v>45895</v>
      </c>
      <c r="D1579" t="inlineStr">
        <is>
          <t>NORRBOTTENS LÄN</t>
        </is>
      </c>
      <c r="E1579" t="inlineStr">
        <is>
          <t>BODEN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44705-2022</t>
        </is>
      </c>
      <c r="B1580" s="1" t="n">
        <v>44839</v>
      </c>
      <c r="C1580" s="1" t="n">
        <v>45895</v>
      </c>
      <c r="D1580" t="inlineStr">
        <is>
          <t>NORRBOTTENS LÄN</t>
        </is>
      </c>
      <c r="E1580" t="inlineStr">
        <is>
          <t>LULEÅ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9605-2024</t>
        </is>
      </c>
      <c r="B1581" s="1" t="n">
        <v>45361.44230324074</v>
      </c>
      <c r="C1581" s="1" t="n">
        <v>45895</v>
      </c>
      <c r="D1581" t="inlineStr">
        <is>
          <t>NORRBOTTENS LÄN</t>
        </is>
      </c>
      <c r="E1581" t="inlineStr">
        <is>
          <t>KIRUNA</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41134-2023</t>
        </is>
      </c>
      <c r="B1582" s="1" t="n">
        <v>45173</v>
      </c>
      <c r="C1582" s="1" t="n">
        <v>45895</v>
      </c>
      <c r="D1582" t="inlineStr">
        <is>
          <t>NORRBOTTENS LÄN</t>
        </is>
      </c>
      <c r="E1582" t="inlineStr">
        <is>
          <t>HAPARANDA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41135-2023</t>
        </is>
      </c>
      <c r="B1583" s="1" t="n">
        <v>45173</v>
      </c>
      <c r="C1583" s="1" t="n">
        <v>45895</v>
      </c>
      <c r="D1583" t="inlineStr">
        <is>
          <t>NORRBOTTENS LÄN</t>
        </is>
      </c>
      <c r="E1583" t="inlineStr">
        <is>
          <t>HAPARANDA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36612-2021</t>
        </is>
      </c>
      <c r="B1584" s="1" t="n">
        <v>44391.67774305555</v>
      </c>
      <c r="C1584" s="1" t="n">
        <v>45895</v>
      </c>
      <c r="D1584" t="inlineStr">
        <is>
          <t>NORRBOTTENS LÄN</t>
        </is>
      </c>
      <c r="E1584" t="inlineStr">
        <is>
          <t>PAJALA</t>
        </is>
      </c>
      <c r="F1584" t="inlineStr">
        <is>
          <t>Sveaskog</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28591-2021</t>
        </is>
      </c>
      <c r="B1585" s="1" t="n">
        <v>44356</v>
      </c>
      <c r="C1585" s="1" t="n">
        <v>45895</v>
      </c>
      <c r="D1585" t="inlineStr">
        <is>
          <t>NORRBOTTENS LÄN</t>
        </is>
      </c>
      <c r="E1585" t="inlineStr">
        <is>
          <t>PAJALA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12282-2024</t>
        </is>
      </c>
      <c r="B1586" s="1" t="n">
        <v>45378</v>
      </c>
      <c r="C1586" s="1" t="n">
        <v>45895</v>
      </c>
      <c r="D1586" t="inlineStr">
        <is>
          <t>NORRBOTTENS LÄN</t>
        </is>
      </c>
      <c r="E1586" t="inlineStr">
        <is>
          <t>LULEÅ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36233-2021</t>
        </is>
      </c>
      <c r="B1587" s="1" t="n">
        <v>44389.93957175926</v>
      </c>
      <c r="C1587" s="1" t="n">
        <v>45895</v>
      </c>
      <c r="D1587" t="inlineStr">
        <is>
          <t>NORRBOTTENS LÄN</t>
        </is>
      </c>
      <c r="E1587" t="inlineStr">
        <is>
          <t>GÄLLIVARE</t>
        </is>
      </c>
      <c r="F1587" t="inlineStr">
        <is>
          <t>SCA</t>
        </is>
      </c>
      <c r="G1587" t="n">
        <v>22.3</v>
      </c>
      <c r="H1587" t="n">
        <v>0</v>
      </c>
      <c r="I1587" t="n">
        <v>0</v>
      </c>
      <c r="J1587" t="n">
        <v>0</v>
      </c>
      <c r="K1587" t="n">
        <v>0</v>
      </c>
      <c r="L1587" t="n">
        <v>0</v>
      </c>
      <c r="M1587" t="n">
        <v>0</v>
      </c>
      <c r="N1587" t="n">
        <v>0</v>
      </c>
      <c r="O1587" t="n">
        <v>0</v>
      </c>
      <c r="P1587" t="n">
        <v>0</v>
      </c>
      <c r="Q1587" t="n">
        <v>0</v>
      </c>
      <c r="R1587" s="2" t="inlineStr"/>
    </row>
    <row r="1588" ht="15" customHeight="1">
      <c r="A1588" t="inlineStr">
        <is>
          <t>A 3184-2025</t>
        </is>
      </c>
      <c r="B1588" s="1" t="n">
        <v>45679</v>
      </c>
      <c r="C1588" s="1" t="n">
        <v>45895</v>
      </c>
      <c r="D1588" t="inlineStr">
        <is>
          <t>NORRBOTTENS LÄN</t>
        </is>
      </c>
      <c r="E1588" t="inlineStr">
        <is>
          <t>LULEÅ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66353-2021</t>
        </is>
      </c>
      <c r="B1589" s="1" t="n">
        <v>44518</v>
      </c>
      <c r="C1589" s="1" t="n">
        <v>45895</v>
      </c>
      <c r="D1589" t="inlineStr">
        <is>
          <t>NORRBOTTENS LÄN</t>
        </is>
      </c>
      <c r="E1589" t="inlineStr">
        <is>
          <t>PAJALA</t>
        </is>
      </c>
      <c r="G1589" t="n">
        <v>22.5</v>
      </c>
      <c r="H1589" t="n">
        <v>0</v>
      </c>
      <c r="I1589" t="n">
        <v>0</v>
      </c>
      <c r="J1589" t="n">
        <v>0</v>
      </c>
      <c r="K1589" t="n">
        <v>0</v>
      </c>
      <c r="L1589" t="n">
        <v>0</v>
      </c>
      <c r="M1589" t="n">
        <v>0</v>
      </c>
      <c r="N1589" t="n">
        <v>0</v>
      </c>
      <c r="O1589" t="n">
        <v>0</v>
      </c>
      <c r="P1589" t="n">
        <v>0</v>
      </c>
      <c r="Q1589" t="n">
        <v>0</v>
      </c>
      <c r="R1589" s="2" t="inlineStr"/>
    </row>
    <row r="1590" ht="15" customHeight="1">
      <c r="A1590" t="inlineStr">
        <is>
          <t>A 4558-2024</t>
        </is>
      </c>
      <c r="B1590" s="1" t="n">
        <v>45327</v>
      </c>
      <c r="C1590" s="1" t="n">
        <v>45895</v>
      </c>
      <c r="D1590" t="inlineStr">
        <is>
          <t>NORRBOTTENS LÄN</t>
        </is>
      </c>
      <c r="E1590" t="inlineStr">
        <is>
          <t>LULEÅ</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49742-2022</t>
        </is>
      </c>
      <c r="B1591" s="1" t="n">
        <v>44859</v>
      </c>
      <c r="C1591" s="1" t="n">
        <v>45895</v>
      </c>
      <c r="D1591" t="inlineStr">
        <is>
          <t>NORRBOTTENS LÄN</t>
        </is>
      </c>
      <c r="E1591" t="inlineStr">
        <is>
          <t>LULEÅ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38857-2022</t>
        </is>
      </c>
      <c r="B1592" s="1" t="n">
        <v>44816</v>
      </c>
      <c r="C1592" s="1" t="n">
        <v>45895</v>
      </c>
      <c r="D1592" t="inlineStr">
        <is>
          <t>NORRBOTTENS LÄN</t>
        </is>
      </c>
      <c r="E1592" t="inlineStr">
        <is>
          <t>KALIX</t>
        </is>
      </c>
      <c r="F1592" t="inlineStr">
        <is>
          <t>Kommuner</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56785-2024</t>
        </is>
      </c>
      <c r="B1593" s="1" t="n">
        <v>45625</v>
      </c>
      <c r="C1593" s="1" t="n">
        <v>45895</v>
      </c>
      <c r="D1593" t="inlineStr">
        <is>
          <t>NORRBOTTENS LÄN</t>
        </is>
      </c>
      <c r="E1593" t="inlineStr">
        <is>
          <t>ARJEPLOG</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33158-2022</t>
        </is>
      </c>
      <c r="B1594" s="1" t="n">
        <v>44785</v>
      </c>
      <c r="C1594" s="1" t="n">
        <v>45895</v>
      </c>
      <c r="D1594" t="inlineStr">
        <is>
          <t>NORRBOTTENS LÄN</t>
        </is>
      </c>
      <c r="E1594" t="inlineStr">
        <is>
          <t>KALIX</t>
        </is>
      </c>
      <c r="F1594" t="inlineStr">
        <is>
          <t>Sveaskog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43969-2024</t>
        </is>
      </c>
      <c r="B1595" s="1" t="n">
        <v>45572.48857638889</v>
      </c>
      <c r="C1595" s="1" t="n">
        <v>45895</v>
      </c>
      <c r="D1595" t="inlineStr">
        <is>
          <t>NORRBOTTENS LÄN</t>
        </is>
      </c>
      <c r="E1595" t="inlineStr">
        <is>
          <t>BODEN</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5411-2024</t>
        </is>
      </c>
      <c r="B1596" s="1" t="n">
        <v>45331</v>
      </c>
      <c r="C1596" s="1" t="n">
        <v>45895</v>
      </c>
      <c r="D1596" t="inlineStr">
        <is>
          <t>NORRBOTTENS LÄN</t>
        </is>
      </c>
      <c r="E1596" t="inlineStr">
        <is>
          <t>KIRUNA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26022-2022</t>
        </is>
      </c>
      <c r="B1597" s="1" t="n">
        <v>44734.56864583334</v>
      </c>
      <c r="C1597" s="1" t="n">
        <v>45895</v>
      </c>
      <c r="D1597" t="inlineStr">
        <is>
          <t>NORRBOTTENS LÄN</t>
        </is>
      </c>
      <c r="E1597" t="inlineStr">
        <is>
          <t>BODEN</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15530-2025</t>
        </is>
      </c>
      <c r="B1598" s="1" t="n">
        <v>45747.63582175926</v>
      </c>
      <c r="C1598" s="1" t="n">
        <v>45895</v>
      </c>
      <c r="D1598" t="inlineStr">
        <is>
          <t>NORRBOTTENS LÄN</t>
        </is>
      </c>
      <c r="E1598" t="inlineStr">
        <is>
          <t>PITEÅ</t>
        </is>
      </c>
      <c r="G1598" t="n">
        <v>5.5</v>
      </c>
      <c r="H1598" t="n">
        <v>0</v>
      </c>
      <c r="I1598" t="n">
        <v>0</v>
      </c>
      <c r="J1598" t="n">
        <v>0</v>
      </c>
      <c r="K1598" t="n">
        <v>0</v>
      </c>
      <c r="L1598" t="n">
        <v>0</v>
      </c>
      <c r="M1598" t="n">
        <v>0</v>
      </c>
      <c r="N1598" t="n">
        <v>0</v>
      </c>
      <c r="O1598" t="n">
        <v>0</v>
      </c>
      <c r="P1598" t="n">
        <v>0</v>
      </c>
      <c r="Q1598" t="n">
        <v>0</v>
      </c>
      <c r="R1598" s="2" t="inlineStr"/>
      <c r="U1598">
        <f>HYPERLINK("https://klasma.github.io/Logging_2581/knärot/A 15530-2025 karta knärot.png", "A 15530-2025")</f>
        <v/>
      </c>
      <c r="V1598">
        <f>HYPERLINK("https://klasma.github.io/Logging_2581/klagomål/A 15530-2025 FSC-klagomål.docx", "A 15530-2025")</f>
        <v/>
      </c>
      <c r="W1598">
        <f>HYPERLINK("https://klasma.github.io/Logging_2581/klagomålsmail/A 15530-2025 FSC-klagomål mail.docx", "A 15530-2025")</f>
        <v/>
      </c>
      <c r="X1598">
        <f>HYPERLINK("https://klasma.github.io/Logging_2581/tillsyn/A 15530-2025 tillsynsbegäran.docx", "A 15530-2025")</f>
        <v/>
      </c>
      <c r="Y1598">
        <f>HYPERLINK("https://klasma.github.io/Logging_2581/tillsynsmail/A 15530-2025 tillsynsbegäran mail.docx", "A 15530-2025")</f>
        <v/>
      </c>
    </row>
    <row r="1599" ht="15" customHeight="1">
      <c r="A1599" t="inlineStr">
        <is>
          <t>A 5525-2024</t>
        </is>
      </c>
      <c r="B1599" s="1" t="n">
        <v>45334</v>
      </c>
      <c r="C1599" s="1" t="n">
        <v>45895</v>
      </c>
      <c r="D1599" t="inlineStr">
        <is>
          <t>NORRBOTTENS LÄN</t>
        </is>
      </c>
      <c r="E1599" t="inlineStr">
        <is>
          <t>PITEÅ</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55078-2024</t>
        </is>
      </c>
      <c r="B1600" s="1" t="n">
        <v>45621</v>
      </c>
      <c r="C1600" s="1" t="n">
        <v>45895</v>
      </c>
      <c r="D1600" t="inlineStr">
        <is>
          <t>NORRBOTTENS LÄN</t>
        </is>
      </c>
      <c r="E1600" t="inlineStr">
        <is>
          <t>ÄLVSBYN</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18724-2023</t>
        </is>
      </c>
      <c r="B1601" s="1" t="n">
        <v>45043.66952546296</v>
      </c>
      <c r="C1601" s="1" t="n">
        <v>45895</v>
      </c>
      <c r="D1601" t="inlineStr">
        <is>
          <t>NORRBOTTENS LÄN</t>
        </is>
      </c>
      <c r="E1601" t="inlineStr">
        <is>
          <t>PITEÅ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55124-2024</t>
        </is>
      </c>
      <c r="B1602" s="1" t="n">
        <v>45618</v>
      </c>
      <c r="C1602" s="1" t="n">
        <v>45895</v>
      </c>
      <c r="D1602" t="inlineStr">
        <is>
          <t>NORRBOTTENS LÄN</t>
        </is>
      </c>
      <c r="E1602" t="inlineStr">
        <is>
          <t>ARJEPLOG</t>
        </is>
      </c>
      <c r="G1602" t="n">
        <v>18.3</v>
      </c>
      <c r="H1602" t="n">
        <v>0</v>
      </c>
      <c r="I1602" t="n">
        <v>0</v>
      </c>
      <c r="J1602" t="n">
        <v>0</v>
      </c>
      <c r="K1602" t="n">
        <v>0</v>
      </c>
      <c r="L1602" t="n">
        <v>0</v>
      </c>
      <c r="M1602" t="n">
        <v>0</v>
      </c>
      <c r="N1602" t="n">
        <v>0</v>
      </c>
      <c r="O1602" t="n">
        <v>0</v>
      </c>
      <c r="P1602" t="n">
        <v>0</v>
      </c>
      <c r="Q1602" t="n">
        <v>0</v>
      </c>
      <c r="R1602" s="2" t="inlineStr"/>
    </row>
    <row r="1603" ht="15" customHeight="1">
      <c r="A1603" t="inlineStr">
        <is>
          <t>A 26131-2023</t>
        </is>
      </c>
      <c r="B1603" s="1" t="n">
        <v>45086</v>
      </c>
      <c r="C1603" s="1" t="n">
        <v>45895</v>
      </c>
      <c r="D1603" t="inlineStr">
        <is>
          <t>NORRBOTTENS LÄN</t>
        </is>
      </c>
      <c r="E1603" t="inlineStr">
        <is>
          <t>JOKKMOKK</t>
        </is>
      </c>
      <c r="G1603" t="n">
        <v>35.6</v>
      </c>
      <c r="H1603" t="n">
        <v>0</v>
      </c>
      <c r="I1603" t="n">
        <v>0</v>
      </c>
      <c r="J1603" t="n">
        <v>0</v>
      </c>
      <c r="K1603" t="n">
        <v>0</v>
      </c>
      <c r="L1603" t="n">
        <v>0</v>
      </c>
      <c r="M1603" t="n">
        <v>0</v>
      </c>
      <c r="N1603" t="n">
        <v>0</v>
      </c>
      <c r="O1603" t="n">
        <v>0</v>
      </c>
      <c r="P1603" t="n">
        <v>0</v>
      </c>
      <c r="Q1603" t="n">
        <v>0</v>
      </c>
      <c r="R1603" s="2" t="inlineStr"/>
    </row>
    <row r="1604" ht="15" customHeight="1">
      <c r="A1604" t="inlineStr">
        <is>
          <t>A 55164-2024</t>
        </is>
      </c>
      <c r="B1604" s="1" t="n">
        <v>45621</v>
      </c>
      <c r="C1604" s="1" t="n">
        <v>45895</v>
      </c>
      <c r="D1604" t="inlineStr">
        <is>
          <t>NORRBOTTENS LÄN</t>
        </is>
      </c>
      <c r="E1604" t="inlineStr">
        <is>
          <t>ARVIDSJAUR</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39645-2024</t>
        </is>
      </c>
      <c r="B1605" s="1" t="n">
        <v>45552.46903935185</v>
      </c>
      <c r="C1605" s="1" t="n">
        <v>45895</v>
      </c>
      <c r="D1605" t="inlineStr">
        <is>
          <t>NORRBOTTENS LÄN</t>
        </is>
      </c>
      <c r="E1605" t="inlineStr">
        <is>
          <t>ÄLVSBYN</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7523-2025</t>
        </is>
      </c>
      <c r="B1606" s="1" t="n">
        <v>45705</v>
      </c>
      <c r="C1606" s="1" t="n">
        <v>45895</v>
      </c>
      <c r="D1606" t="inlineStr">
        <is>
          <t>NORRBOTTENS LÄN</t>
        </is>
      </c>
      <c r="E1606" t="inlineStr">
        <is>
          <t>PITEÅ</t>
        </is>
      </c>
      <c r="G1606" t="n">
        <v>12.8</v>
      </c>
      <c r="H1606" t="n">
        <v>0</v>
      </c>
      <c r="I1606" t="n">
        <v>0</v>
      </c>
      <c r="J1606" t="n">
        <v>0</v>
      </c>
      <c r="K1606" t="n">
        <v>0</v>
      </c>
      <c r="L1606" t="n">
        <v>0</v>
      </c>
      <c r="M1606" t="n">
        <v>0</v>
      </c>
      <c r="N1606" t="n">
        <v>0</v>
      </c>
      <c r="O1606" t="n">
        <v>0</v>
      </c>
      <c r="P1606" t="n">
        <v>0</v>
      </c>
      <c r="Q1606" t="n">
        <v>0</v>
      </c>
      <c r="R1606" s="2" t="inlineStr"/>
    </row>
    <row r="1607" ht="15" customHeight="1">
      <c r="A1607" t="inlineStr">
        <is>
          <t>A 39884-2021</t>
        </is>
      </c>
      <c r="B1607" s="1" t="n">
        <v>44417.69528935185</v>
      </c>
      <c r="C1607" s="1" t="n">
        <v>45895</v>
      </c>
      <c r="D1607" t="inlineStr">
        <is>
          <t>NORRBOTTENS LÄN</t>
        </is>
      </c>
      <c r="E1607" t="inlineStr">
        <is>
          <t>BODEN</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8422-2025</t>
        </is>
      </c>
      <c r="B1608" s="1" t="n">
        <v>45709.4059837963</v>
      </c>
      <c r="C1608" s="1" t="n">
        <v>45895</v>
      </c>
      <c r="D1608" t="inlineStr">
        <is>
          <t>NORRBOTTENS LÄN</t>
        </is>
      </c>
      <c r="E1608" t="inlineStr">
        <is>
          <t>ÖVERKALIX</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52248-2020</t>
        </is>
      </c>
      <c r="B1609" s="1" t="n">
        <v>44111</v>
      </c>
      <c r="C1609" s="1" t="n">
        <v>45895</v>
      </c>
      <c r="D1609" t="inlineStr">
        <is>
          <t>NORRBOTTENS LÄN</t>
        </is>
      </c>
      <c r="E1609" t="inlineStr">
        <is>
          <t>PITEÅ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15352-2024</t>
        </is>
      </c>
      <c r="B1610" s="1" t="n">
        <v>45400.83166666667</v>
      </c>
      <c r="C1610" s="1" t="n">
        <v>45895</v>
      </c>
      <c r="D1610" t="inlineStr">
        <is>
          <t>NORRBOTTENS LÄN</t>
        </is>
      </c>
      <c r="E1610" t="inlineStr">
        <is>
          <t>PITEÅ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42711-2021</t>
        </is>
      </c>
      <c r="B1611" s="1" t="n">
        <v>44428.58703703704</v>
      </c>
      <c r="C1611" s="1" t="n">
        <v>45895</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49994-2022</t>
        </is>
      </c>
      <c r="B1612" s="1" t="n">
        <v>44860</v>
      </c>
      <c r="C1612" s="1" t="n">
        <v>45895</v>
      </c>
      <c r="D1612" t="inlineStr">
        <is>
          <t>NORRBOTTENS LÄN</t>
        </is>
      </c>
      <c r="E1612" t="inlineStr">
        <is>
          <t>PAJALA</t>
        </is>
      </c>
      <c r="F1612" t="inlineStr">
        <is>
          <t>Allmännings- och besparingsskogar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15410-2024</t>
        </is>
      </c>
      <c r="B1613" s="1" t="n">
        <v>45401.35140046296</v>
      </c>
      <c r="C1613" s="1" t="n">
        <v>45895</v>
      </c>
      <c r="D1613" t="inlineStr">
        <is>
          <t>NORRBOTTENS LÄN</t>
        </is>
      </c>
      <c r="E1613" t="inlineStr">
        <is>
          <t>ÄLVSBYN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62649-2021</t>
        </is>
      </c>
      <c r="B1614" s="1" t="n">
        <v>44503</v>
      </c>
      <c r="C1614" s="1" t="n">
        <v>45895</v>
      </c>
      <c r="D1614" t="inlineStr">
        <is>
          <t>NORRBOTTENS LÄN</t>
        </is>
      </c>
      <c r="E1614" t="inlineStr">
        <is>
          <t>PITEÅ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10790-2024</t>
        </is>
      </c>
      <c r="B1615" s="1" t="n">
        <v>45369</v>
      </c>
      <c r="C1615" s="1" t="n">
        <v>45895</v>
      </c>
      <c r="D1615" t="inlineStr">
        <is>
          <t>NORRBOTTENS LÄN</t>
        </is>
      </c>
      <c r="E1615" t="inlineStr">
        <is>
          <t>PAJALA</t>
        </is>
      </c>
      <c r="F1615" t="inlineStr">
        <is>
          <t>Allmännings- och besparingsskogar</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27650-2024</t>
        </is>
      </c>
      <c r="B1616" s="1" t="n">
        <v>45474.94802083333</v>
      </c>
      <c r="C1616" s="1" t="n">
        <v>45895</v>
      </c>
      <c r="D1616" t="inlineStr">
        <is>
          <t>NORRBOTTENS LÄN</t>
        </is>
      </c>
      <c r="E1616" t="inlineStr">
        <is>
          <t>JOKKMOKK</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12602-2024</t>
        </is>
      </c>
      <c r="B1617" s="1" t="n">
        <v>45381</v>
      </c>
      <c r="C1617" s="1" t="n">
        <v>45895</v>
      </c>
      <c r="D1617" t="inlineStr">
        <is>
          <t>NORRBOTTENS LÄN</t>
        </is>
      </c>
      <c r="E1617" t="inlineStr">
        <is>
          <t>LULEÅ</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36381-2024</t>
        </is>
      </c>
      <c r="B1618" s="1" t="n">
        <v>45534</v>
      </c>
      <c r="C1618" s="1" t="n">
        <v>45895</v>
      </c>
      <c r="D1618" t="inlineStr">
        <is>
          <t>NORRBOTTENS LÄN</t>
        </is>
      </c>
      <c r="E1618" t="inlineStr">
        <is>
          <t>ÖVERKALIX</t>
        </is>
      </c>
      <c r="F1618" t="inlineStr">
        <is>
          <t>Sveaskog</t>
        </is>
      </c>
      <c r="G1618" t="n">
        <v>26.7</v>
      </c>
      <c r="H1618" t="n">
        <v>0</v>
      </c>
      <c r="I1618" t="n">
        <v>0</v>
      </c>
      <c r="J1618" t="n">
        <v>0</v>
      </c>
      <c r="K1618" t="n">
        <v>0</v>
      </c>
      <c r="L1618" t="n">
        <v>0</v>
      </c>
      <c r="M1618" t="n">
        <v>0</v>
      </c>
      <c r="N1618" t="n">
        <v>0</v>
      </c>
      <c r="O1618" t="n">
        <v>0</v>
      </c>
      <c r="P1618" t="n">
        <v>0</v>
      </c>
      <c r="Q1618" t="n">
        <v>0</v>
      </c>
      <c r="R1618" s="2" t="inlineStr"/>
    </row>
    <row r="1619" ht="15" customHeight="1">
      <c r="A1619" t="inlineStr">
        <is>
          <t>A 52854-2022</t>
        </is>
      </c>
      <c r="B1619" s="1" t="n">
        <v>44872</v>
      </c>
      <c r="C1619" s="1" t="n">
        <v>45895</v>
      </c>
      <c r="D1619" t="inlineStr">
        <is>
          <t>NORRBOTTENS LÄN</t>
        </is>
      </c>
      <c r="E1619" t="inlineStr">
        <is>
          <t>LULEÅ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50537-2021</t>
        </is>
      </c>
      <c r="B1620" s="1" t="n">
        <v>44459</v>
      </c>
      <c r="C1620" s="1" t="n">
        <v>45895</v>
      </c>
      <c r="D1620" t="inlineStr">
        <is>
          <t>NORRBOTTENS LÄN</t>
        </is>
      </c>
      <c r="E1620" t="inlineStr">
        <is>
          <t>PAJALA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29150-2023</t>
        </is>
      </c>
      <c r="B1621" s="1" t="n">
        <v>45105</v>
      </c>
      <c r="C1621" s="1" t="n">
        <v>45895</v>
      </c>
      <c r="D1621" t="inlineStr">
        <is>
          <t>NORRBOTTENS LÄN</t>
        </is>
      </c>
      <c r="E1621" t="inlineStr">
        <is>
          <t>BODEN</t>
        </is>
      </c>
      <c r="F1621" t="inlineStr">
        <is>
          <t>Sveaskog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1730-2024</t>
        </is>
      </c>
      <c r="B1622" s="1" t="n">
        <v>45307.43209490741</v>
      </c>
      <c r="C1622" s="1" t="n">
        <v>45895</v>
      </c>
      <c r="D1622" t="inlineStr">
        <is>
          <t>NORRBOTTENS LÄN</t>
        </is>
      </c>
      <c r="E1622" t="inlineStr">
        <is>
          <t>PAJALA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34929-2021</t>
        </is>
      </c>
      <c r="B1623" s="1" t="n">
        <v>44383</v>
      </c>
      <c r="C1623" s="1" t="n">
        <v>45895</v>
      </c>
      <c r="D1623" t="inlineStr">
        <is>
          <t>NORRBOTTENS LÄN</t>
        </is>
      </c>
      <c r="E1623" t="inlineStr">
        <is>
          <t>PAJALA</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34944-2021</t>
        </is>
      </c>
      <c r="B1624" s="1" t="n">
        <v>44383</v>
      </c>
      <c r="C1624" s="1" t="n">
        <v>45895</v>
      </c>
      <c r="D1624" t="inlineStr">
        <is>
          <t>NORRBOTTENS LÄN</t>
        </is>
      </c>
      <c r="E1624" t="inlineStr">
        <is>
          <t>PAJALA</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20564-2025</t>
        </is>
      </c>
      <c r="B1625" s="1" t="n">
        <v>45775.65917824074</v>
      </c>
      <c r="C1625" s="1" t="n">
        <v>45895</v>
      </c>
      <c r="D1625" t="inlineStr">
        <is>
          <t>NORRBOTTENS LÄN</t>
        </is>
      </c>
      <c r="E1625" t="inlineStr">
        <is>
          <t>ÖVERTORNEÅ</t>
        </is>
      </c>
      <c r="F1625" t="inlineStr">
        <is>
          <t>Sveaskog</t>
        </is>
      </c>
      <c r="G1625" t="n">
        <v>39.6</v>
      </c>
      <c r="H1625" t="n">
        <v>0</v>
      </c>
      <c r="I1625" t="n">
        <v>0</v>
      </c>
      <c r="J1625" t="n">
        <v>0</v>
      </c>
      <c r="K1625" t="n">
        <v>0</v>
      </c>
      <c r="L1625" t="n">
        <v>0</v>
      </c>
      <c r="M1625" t="n">
        <v>0</v>
      </c>
      <c r="N1625" t="n">
        <v>0</v>
      </c>
      <c r="O1625" t="n">
        <v>0</v>
      </c>
      <c r="P1625" t="n">
        <v>0</v>
      </c>
      <c r="Q1625" t="n">
        <v>0</v>
      </c>
      <c r="R1625" s="2" t="inlineStr"/>
    </row>
    <row r="1626" ht="15" customHeight="1">
      <c r="A1626" t="inlineStr">
        <is>
          <t>A 34950-2021</t>
        </is>
      </c>
      <c r="B1626" s="1" t="n">
        <v>44383</v>
      </c>
      <c r="C1626" s="1" t="n">
        <v>45895</v>
      </c>
      <c r="D1626" t="inlineStr">
        <is>
          <t>NORRBOTTENS LÄN</t>
        </is>
      </c>
      <c r="E1626" t="inlineStr">
        <is>
          <t>PAJALA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34527-2021</t>
        </is>
      </c>
      <c r="B1627" s="1" t="n">
        <v>44382</v>
      </c>
      <c r="C1627" s="1" t="n">
        <v>45895</v>
      </c>
      <c r="D1627" t="inlineStr">
        <is>
          <t>NORRBOTTENS LÄN</t>
        </is>
      </c>
      <c r="E1627" t="inlineStr">
        <is>
          <t>KALIX</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3037-2025</t>
        </is>
      </c>
      <c r="B1628" s="1" t="n">
        <v>45678.60017361111</v>
      </c>
      <c r="C1628" s="1" t="n">
        <v>45895</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3038-2025</t>
        </is>
      </c>
      <c r="B1629" s="1" t="n">
        <v>45678</v>
      </c>
      <c r="C1629" s="1" t="n">
        <v>45895</v>
      </c>
      <c r="D1629" t="inlineStr">
        <is>
          <t>NORRBOTTENS LÄN</t>
        </is>
      </c>
      <c r="E1629" t="inlineStr">
        <is>
          <t>ÄLVSBYN</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42870-2024</t>
        </is>
      </c>
      <c r="B1630" s="1" t="n">
        <v>45566.66489583333</v>
      </c>
      <c r="C1630" s="1" t="n">
        <v>45895</v>
      </c>
      <c r="D1630" t="inlineStr">
        <is>
          <t>NORRBOTTENS LÄN</t>
        </is>
      </c>
      <c r="E1630" t="inlineStr">
        <is>
          <t>ARVIDSJAUR</t>
        </is>
      </c>
      <c r="F1630" t="inlineStr">
        <is>
          <t>Sveaskog</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59820-2023</t>
        </is>
      </c>
      <c r="B1631" s="1" t="n">
        <v>45257</v>
      </c>
      <c r="C1631" s="1" t="n">
        <v>45895</v>
      </c>
      <c r="D1631" t="inlineStr">
        <is>
          <t>NORRBOTTENS LÄN</t>
        </is>
      </c>
      <c r="E1631" t="inlineStr">
        <is>
          <t>PITEÅ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20116-2025</t>
        </is>
      </c>
      <c r="B1632" s="1" t="n">
        <v>45772.4859375</v>
      </c>
      <c r="C1632" s="1" t="n">
        <v>45895</v>
      </c>
      <c r="D1632" t="inlineStr">
        <is>
          <t>NORRBOTTENS LÄN</t>
        </is>
      </c>
      <c r="E1632" t="inlineStr">
        <is>
          <t>KALIX</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20120-2025</t>
        </is>
      </c>
      <c r="B1633" s="1" t="n">
        <v>45772.48976851852</v>
      </c>
      <c r="C1633" s="1" t="n">
        <v>45895</v>
      </c>
      <c r="D1633" t="inlineStr">
        <is>
          <t>NORRBOTTENS LÄN</t>
        </is>
      </c>
      <c r="E1633" t="inlineStr">
        <is>
          <t>KALIX</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58877-2021</t>
        </is>
      </c>
      <c r="B1634" s="1" t="n">
        <v>44489</v>
      </c>
      <c r="C1634" s="1" t="n">
        <v>45895</v>
      </c>
      <c r="D1634" t="inlineStr">
        <is>
          <t>NORRBOTTENS LÄN</t>
        </is>
      </c>
      <c r="E1634" t="inlineStr">
        <is>
          <t>BODEN</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22127-2023</t>
        </is>
      </c>
      <c r="B1635" s="1" t="n">
        <v>45068</v>
      </c>
      <c r="C1635" s="1" t="n">
        <v>45895</v>
      </c>
      <c r="D1635" t="inlineStr">
        <is>
          <t>NORRBOTTENS LÄN</t>
        </is>
      </c>
      <c r="E1635" t="inlineStr">
        <is>
          <t>BODEN</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35579-2022</t>
        </is>
      </c>
      <c r="B1636" s="1" t="n">
        <v>44799</v>
      </c>
      <c r="C1636" s="1" t="n">
        <v>45895</v>
      </c>
      <c r="D1636" t="inlineStr">
        <is>
          <t>NORRBOTTENS LÄN</t>
        </is>
      </c>
      <c r="E1636" t="inlineStr">
        <is>
          <t>GÄLLIVARE</t>
        </is>
      </c>
      <c r="F1636" t="inlineStr">
        <is>
          <t>Allmännings- och besparingsskogar</t>
        </is>
      </c>
      <c r="G1636" t="n">
        <v>7.9</v>
      </c>
      <c r="H1636" t="n">
        <v>0</v>
      </c>
      <c r="I1636" t="n">
        <v>0</v>
      </c>
      <c r="J1636" t="n">
        <v>0</v>
      </c>
      <c r="K1636" t="n">
        <v>0</v>
      </c>
      <c r="L1636" t="n">
        <v>0</v>
      </c>
      <c r="M1636" t="n">
        <v>0</v>
      </c>
      <c r="N1636" t="n">
        <v>0</v>
      </c>
      <c r="O1636" t="n">
        <v>0</v>
      </c>
      <c r="P1636" t="n">
        <v>0</v>
      </c>
      <c r="Q1636" t="n">
        <v>0</v>
      </c>
      <c r="R1636" s="2" t="inlineStr"/>
    </row>
    <row r="1637" ht="15" customHeight="1">
      <c r="A1637" t="inlineStr">
        <is>
          <t>A 8023-2024</t>
        </is>
      </c>
      <c r="B1637" s="1" t="n">
        <v>45350</v>
      </c>
      <c r="C1637" s="1" t="n">
        <v>45895</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62496-2022</t>
        </is>
      </c>
      <c r="B1638" s="1" t="n">
        <v>44916</v>
      </c>
      <c r="C1638" s="1" t="n">
        <v>45895</v>
      </c>
      <c r="D1638" t="inlineStr">
        <is>
          <t>NORRBOTTENS LÄN</t>
        </is>
      </c>
      <c r="E1638" t="inlineStr">
        <is>
          <t>GÄLLIVARE</t>
        </is>
      </c>
      <c r="G1638" t="n">
        <v>23.4</v>
      </c>
      <c r="H1638" t="n">
        <v>0</v>
      </c>
      <c r="I1638" t="n">
        <v>0</v>
      </c>
      <c r="J1638" t="n">
        <v>0</v>
      </c>
      <c r="K1638" t="n">
        <v>0</v>
      </c>
      <c r="L1638" t="n">
        <v>0</v>
      </c>
      <c r="M1638" t="n">
        <v>0</v>
      </c>
      <c r="N1638" t="n">
        <v>0</v>
      </c>
      <c r="O1638" t="n">
        <v>0</v>
      </c>
      <c r="P1638" t="n">
        <v>0</v>
      </c>
      <c r="Q1638" t="n">
        <v>0</v>
      </c>
      <c r="R1638" s="2" t="inlineStr"/>
    </row>
    <row r="1639" ht="15" customHeight="1">
      <c r="A1639" t="inlineStr">
        <is>
          <t>A 37652-2024</t>
        </is>
      </c>
      <c r="B1639" s="1" t="n">
        <v>45541.55353009259</v>
      </c>
      <c r="C1639" s="1" t="n">
        <v>45895</v>
      </c>
      <c r="D1639" t="inlineStr">
        <is>
          <t>NORRBOTTENS LÄN</t>
        </is>
      </c>
      <c r="E1639" t="inlineStr">
        <is>
          <t>PITEÅ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54829-2023</t>
        </is>
      </c>
      <c r="B1640" s="1" t="n">
        <v>45229</v>
      </c>
      <c r="C1640" s="1" t="n">
        <v>45895</v>
      </c>
      <c r="D1640" t="inlineStr">
        <is>
          <t>NORRBOTTENS LÄN</t>
        </is>
      </c>
      <c r="E1640" t="inlineStr">
        <is>
          <t>KALIX</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32720-2022</t>
        </is>
      </c>
      <c r="B1641" s="1" t="n">
        <v>44783</v>
      </c>
      <c r="C1641" s="1" t="n">
        <v>45895</v>
      </c>
      <c r="D1641" t="inlineStr">
        <is>
          <t>NORRBOTTENS LÄN</t>
        </is>
      </c>
      <c r="E1641" t="inlineStr">
        <is>
          <t>GÄLLIVARE</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44082-2023</t>
        </is>
      </c>
      <c r="B1642" s="1" t="n">
        <v>45188</v>
      </c>
      <c r="C1642" s="1" t="n">
        <v>45895</v>
      </c>
      <c r="D1642" t="inlineStr">
        <is>
          <t>NORRBOTTENS LÄN</t>
        </is>
      </c>
      <c r="E1642" t="inlineStr">
        <is>
          <t>PITEÅ</t>
        </is>
      </c>
      <c r="F1642" t="inlineStr">
        <is>
          <t>Sveaskog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3498-2023</t>
        </is>
      </c>
      <c r="B1643" s="1" t="n">
        <v>44949</v>
      </c>
      <c r="C1643" s="1" t="n">
        <v>45895</v>
      </c>
      <c r="D1643" t="inlineStr">
        <is>
          <t>NORRBOTTENS LÄN</t>
        </is>
      </c>
      <c r="E1643" t="inlineStr">
        <is>
          <t>HAPARANDA</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48891-2022</t>
        </is>
      </c>
      <c r="B1644" s="1" t="n">
        <v>44859.92850694444</v>
      </c>
      <c r="C1644" s="1" t="n">
        <v>45895</v>
      </c>
      <c r="D1644" t="inlineStr">
        <is>
          <t>NORRBOTTENS LÄN</t>
        </is>
      </c>
      <c r="E1644" t="inlineStr">
        <is>
          <t>ÖVERTORNEÅ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48586-2022</t>
        </is>
      </c>
      <c r="B1645" s="1" t="n">
        <v>44854</v>
      </c>
      <c r="C1645" s="1" t="n">
        <v>45895</v>
      </c>
      <c r="D1645" t="inlineStr">
        <is>
          <t>NORRBOTTENS LÄN</t>
        </is>
      </c>
      <c r="E1645" t="inlineStr">
        <is>
          <t>JOKKMOKK</t>
        </is>
      </c>
      <c r="F1645" t="inlineStr">
        <is>
          <t>Övriga statliga verk och myndigheter</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20114-2025</t>
        </is>
      </c>
      <c r="B1646" s="1" t="n">
        <v>45772.48039351852</v>
      </c>
      <c r="C1646" s="1" t="n">
        <v>45895</v>
      </c>
      <c r="D1646" t="inlineStr">
        <is>
          <t>NORRBOTTENS LÄN</t>
        </is>
      </c>
      <c r="E1646" t="inlineStr">
        <is>
          <t>KALIX</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3680-2024</t>
        </is>
      </c>
      <c r="B1647" s="1" t="n">
        <v>45321.38069444444</v>
      </c>
      <c r="C1647" s="1" t="n">
        <v>45895</v>
      </c>
      <c r="D1647" t="inlineStr">
        <is>
          <t>NORRBOTTENS LÄN</t>
        </is>
      </c>
      <c r="E1647" t="inlineStr">
        <is>
          <t>KALIX</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48376-2023</t>
        </is>
      </c>
      <c r="B1648" s="1" t="n">
        <v>45205</v>
      </c>
      <c r="C1648" s="1" t="n">
        <v>45895</v>
      </c>
      <c r="D1648" t="inlineStr">
        <is>
          <t>NORRBOTTENS LÄN</t>
        </is>
      </c>
      <c r="E1648" t="inlineStr">
        <is>
          <t>ARJEPLOG</t>
        </is>
      </c>
      <c r="F1648" t="inlineStr">
        <is>
          <t>Övriga Aktiebolag</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48412-2023</t>
        </is>
      </c>
      <c r="B1649" s="1" t="n">
        <v>45205</v>
      </c>
      <c r="C1649" s="1" t="n">
        <v>45895</v>
      </c>
      <c r="D1649" t="inlineStr">
        <is>
          <t>NORRBOTTENS LÄN</t>
        </is>
      </c>
      <c r="E1649" t="inlineStr">
        <is>
          <t>LULEÅ</t>
        </is>
      </c>
      <c r="G1649" t="n">
        <v>45.8</v>
      </c>
      <c r="H1649" t="n">
        <v>0</v>
      </c>
      <c r="I1649" t="n">
        <v>0</v>
      </c>
      <c r="J1649" t="n">
        <v>0</v>
      </c>
      <c r="K1649" t="n">
        <v>0</v>
      </c>
      <c r="L1649" t="n">
        <v>0</v>
      </c>
      <c r="M1649" t="n">
        <v>0</v>
      </c>
      <c r="N1649" t="n">
        <v>0</v>
      </c>
      <c r="O1649" t="n">
        <v>0</v>
      </c>
      <c r="P1649" t="n">
        <v>0</v>
      </c>
      <c r="Q1649" t="n">
        <v>0</v>
      </c>
      <c r="R1649" s="2" t="inlineStr"/>
    </row>
    <row r="1650" ht="15" customHeight="1">
      <c r="A1650" t="inlineStr">
        <is>
          <t>A 43007-2022</t>
        </is>
      </c>
      <c r="B1650" s="1" t="n">
        <v>44833</v>
      </c>
      <c r="C1650" s="1" t="n">
        <v>45895</v>
      </c>
      <c r="D1650" t="inlineStr">
        <is>
          <t>NORRBOTTENS LÄN</t>
        </is>
      </c>
      <c r="E1650" t="inlineStr">
        <is>
          <t>BODEN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5646-2024</t>
        </is>
      </c>
      <c r="B1651" s="1" t="n">
        <v>45334.62170138889</v>
      </c>
      <c r="C1651" s="1" t="n">
        <v>45895</v>
      </c>
      <c r="D1651" t="inlineStr">
        <is>
          <t>NORRBOTTENS LÄN</t>
        </is>
      </c>
      <c r="E1651" t="inlineStr">
        <is>
          <t>ÄLVSBYN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6591-2023</t>
        </is>
      </c>
      <c r="B1652" s="1" t="n">
        <v>44966.50604166667</v>
      </c>
      <c r="C1652" s="1" t="n">
        <v>45895</v>
      </c>
      <c r="D1652" t="inlineStr">
        <is>
          <t>NORRBOTTENS LÄN</t>
        </is>
      </c>
      <c r="E1652" t="inlineStr">
        <is>
          <t>ÖVERKALIX</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60776-2024</t>
        </is>
      </c>
      <c r="B1653" s="1" t="n">
        <v>45644</v>
      </c>
      <c r="C1653" s="1" t="n">
        <v>45895</v>
      </c>
      <c r="D1653" t="inlineStr">
        <is>
          <t>NORRBOTTENS LÄN</t>
        </is>
      </c>
      <c r="E1653" t="inlineStr">
        <is>
          <t>ÖVERKALIX</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13728-2021</t>
        </is>
      </c>
      <c r="B1654" s="1" t="n">
        <v>44274</v>
      </c>
      <c r="C1654" s="1" t="n">
        <v>45895</v>
      </c>
      <c r="D1654" t="inlineStr">
        <is>
          <t>NORRBOTTENS LÄN</t>
        </is>
      </c>
      <c r="E1654" t="inlineStr">
        <is>
          <t>BODEN</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14778-2025</t>
        </is>
      </c>
      <c r="B1655" s="1" t="n">
        <v>45742.69734953704</v>
      </c>
      <c r="C1655" s="1" t="n">
        <v>45895</v>
      </c>
      <c r="D1655" t="inlineStr">
        <is>
          <t>NORRBOTTENS LÄN</t>
        </is>
      </c>
      <c r="E1655" t="inlineStr">
        <is>
          <t>PITEÅ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49857-2023</t>
        </is>
      </c>
      <c r="B1656" s="1" t="n">
        <v>45212</v>
      </c>
      <c r="C1656" s="1" t="n">
        <v>45895</v>
      </c>
      <c r="D1656" t="inlineStr">
        <is>
          <t>NORRBOTTENS LÄN</t>
        </is>
      </c>
      <c r="E1656" t="inlineStr">
        <is>
          <t>LULEÅ</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49858-2023</t>
        </is>
      </c>
      <c r="B1657" s="1" t="n">
        <v>45212.95483796296</v>
      </c>
      <c r="C1657" s="1" t="n">
        <v>45895</v>
      </c>
      <c r="D1657" t="inlineStr">
        <is>
          <t>NORRBOTTENS LÄN</t>
        </is>
      </c>
      <c r="E1657" t="inlineStr">
        <is>
          <t>LULEÅ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51243-2023</t>
        </is>
      </c>
      <c r="B1658" s="1" t="n">
        <v>45212</v>
      </c>
      <c r="C1658" s="1" t="n">
        <v>45895</v>
      </c>
      <c r="D1658" t="inlineStr">
        <is>
          <t>NORRBOTTENS LÄN</t>
        </is>
      </c>
      <c r="E1658" t="inlineStr">
        <is>
          <t>GÄLLIVARE</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50097-2023</t>
        </is>
      </c>
      <c r="B1659" s="1" t="n">
        <v>45215</v>
      </c>
      <c r="C1659" s="1" t="n">
        <v>45895</v>
      </c>
      <c r="D1659" t="inlineStr">
        <is>
          <t>NORRBOTTENS LÄN</t>
        </is>
      </c>
      <c r="E1659" t="inlineStr">
        <is>
          <t>PAJALA</t>
        </is>
      </c>
      <c r="F1659" t="inlineStr">
        <is>
          <t>Sveaskog</t>
        </is>
      </c>
      <c r="G1659" t="n">
        <v>41.2</v>
      </c>
      <c r="H1659" t="n">
        <v>0</v>
      </c>
      <c r="I1659" t="n">
        <v>0</v>
      </c>
      <c r="J1659" t="n">
        <v>0</v>
      </c>
      <c r="K1659" t="n">
        <v>0</v>
      </c>
      <c r="L1659" t="n">
        <v>0</v>
      </c>
      <c r="M1659" t="n">
        <v>0</v>
      </c>
      <c r="N1659" t="n">
        <v>0</v>
      </c>
      <c r="O1659" t="n">
        <v>0</v>
      </c>
      <c r="P1659" t="n">
        <v>0</v>
      </c>
      <c r="Q1659" t="n">
        <v>0</v>
      </c>
      <c r="R1659" s="2" t="inlineStr"/>
    </row>
    <row r="1660" ht="15" customHeight="1">
      <c r="A1660" t="inlineStr">
        <is>
          <t>A 36581-2021</t>
        </is>
      </c>
      <c r="B1660" s="1" t="n">
        <v>44391</v>
      </c>
      <c r="C1660" s="1" t="n">
        <v>45895</v>
      </c>
      <c r="D1660" t="inlineStr">
        <is>
          <t>NORRBOTTENS LÄN</t>
        </is>
      </c>
      <c r="E1660" t="inlineStr">
        <is>
          <t>ARVIDSJAUR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45960-2023</t>
        </is>
      </c>
      <c r="B1661" s="1" t="n">
        <v>45195</v>
      </c>
      <c r="C1661" s="1" t="n">
        <v>45895</v>
      </c>
      <c r="D1661" t="inlineStr">
        <is>
          <t>NORRBOTTENS LÄN</t>
        </is>
      </c>
      <c r="E1661" t="inlineStr">
        <is>
          <t>ARVIDSJAUR</t>
        </is>
      </c>
      <c r="F1661" t="inlineStr">
        <is>
          <t>SCA</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58296-2022</t>
        </is>
      </c>
      <c r="B1662" s="1" t="n">
        <v>44901</v>
      </c>
      <c r="C1662" s="1" t="n">
        <v>45895</v>
      </c>
      <c r="D1662" t="inlineStr">
        <is>
          <t>NORRBOTTENS LÄN</t>
        </is>
      </c>
      <c r="E1662" t="inlineStr">
        <is>
          <t>KALIX</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5628-2024</t>
        </is>
      </c>
      <c r="B1663" s="1" t="n">
        <v>45334</v>
      </c>
      <c r="C1663" s="1" t="n">
        <v>45895</v>
      </c>
      <c r="D1663" t="inlineStr">
        <is>
          <t>NORRBOTTENS LÄN</t>
        </is>
      </c>
      <c r="E1663" t="inlineStr">
        <is>
          <t>ÄLVSBYN</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21270-2021</t>
        </is>
      </c>
      <c r="B1664" s="1" t="n">
        <v>44320</v>
      </c>
      <c r="C1664" s="1" t="n">
        <v>45895</v>
      </c>
      <c r="D1664" t="inlineStr">
        <is>
          <t>NORRBOTTENS LÄN</t>
        </is>
      </c>
      <c r="E1664" t="inlineStr">
        <is>
          <t>ARVIDSJAUR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7905-2024</t>
        </is>
      </c>
      <c r="B1665" s="1" t="n">
        <v>45350.4345949074</v>
      </c>
      <c r="C1665" s="1" t="n">
        <v>45895</v>
      </c>
      <c r="D1665" t="inlineStr">
        <is>
          <t>NORRBOTTENS LÄN</t>
        </is>
      </c>
      <c r="E1665" t="inlineStr">
        <is>
          <t>PITEÅ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5729-2024</t>
        </is>
      </c>
      <c r="B1666" s="1" t="n">
        <v>45334.9308912037</v>
      </c>
      <c r="C1666" s="1" t="n">
        <v>45895</v>
      </c>
      <c r="D1666" t="inlineStr">
        <is>
          <t>NORRBOTTENS LÄN</t>
        </is>
      </c>
      <c r="E1666" t="inlineStr">
        <is>
          <t>PAJALA</t>
        </is>
      </c>
      <c r="G1666" t="n">
        <v>22.5</v>
      </c>
      <c r="H1666" t="n">
        <v>0</v>
      </c>
      <c r="I1666" t="n">
        <v>0</v>
      </c>
      <c r="J1666" t="n">
        <v>0</v>
      </c>
      <c r="K1666" t="n">
        <v>0</v>
      </c>
      <c r="L1666" t="n">
        <v>0</v>
      </c>
      <c r="M1666" t="n">
        <v>0</v>
      </c>
      <c r="N1666" t="n">
        <v>0</v>
      </c>
      <c r="O1666" t="n">
        <v>0</v>
      </c>
      <c r="P1666" t="n">
        <v>0</v>
      </c>
      <c r="Q1666" t="n">
        <v>0</v>
      </c>
      <c r="R1666" s="2" t="inlineStr"/>
    </row>
    <row r="1667" ht="15" customHeight="1">
      <c r="A1667" t="inlineStr">
        <is>
          <t>A 39405-2022</t>
        </is>
      </c>
      <c r="B1667" s="1" t="n">
        <v>44817</v>
      </c>
      <c r="C1667" s="1" t="n">
        <v>45895</v>
      </c>
      <c r="D1667" t="inlineStr">
        <is>
          <t>NORRBOTTENS LÄN</t>
        </is>
      </c>
      <c r="E1667" t="inlineStr">
        <is>
          <t>ÖVERKALIX</t>
        </is>
      </c>
      <c r="F1667" t="inlineStr">
        <is>
          <t>SCA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63219-2021</t>
        </is>
      </c>
      <c r="B1668" s="1" t="n">
        <v>44508.31758101852</v>
      </c>
      <c r="C1668" s="1" t="n">
        <v>45895</v>
      </c>
      <c r="D1668" t="inlineStr">
        <is>
          <t>NORRBOTTENS LÄN</t>
        </is>
      </c>
      <c r="E1668" t="inlineStr">
        <is>
          <t>HAPARANDA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50738-2022</t>
        </is>
      </c>
      <c r="B1669" s="1" t="n">
        <v>44867.38328703704</v>
      </c>
      <c r="C1669" s="1" t="n">
        <v>45895</v>
      </c>
      <c r="D1669" t="inlineStr">
        <is>
          <t>NORRBOTTENS LÄN</t>
        </is>
      </c>
      <c r="E1669" t="inlineStr">
        <is>
          <t>PITEÅ</t>
        </is>
      </c>
      <c r="F1669" t="inlineStr">
        <is>
          <t>Sveaskog</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71370-2021</t>
        </is>
      </c>
      <c r="B1670" s="1" t="n">
        <v>44539</v>
      </c>
      <c r="C1670" s="1" t="n">
        <v>45895</v>
      </c>
      <c r="D1670" t="inlineStr">
        <is>
          <t>NORRBOTTENS LÄN</t>
        </is>
      </c>
      <c r="E1670" t="inlineStr">
        <is>
          <t>JOKKMOKK</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71381-2021</t>
        </is>
      </c>
      <c r="B1671" s="1" t="n">
        <v>44538</v>
      </c>
      <c r="C1671" s="1" t="n">
        <v>45895</v>
      </c>
      <c r="D1671" t="inlineStr">
        <is>
          <t>NORRBOTTENS LÄN</t>
        </is>
      </c>
      <c r="E1671" t="inlineStr">
        <is>
          <t>ÖVERTORNEÅ</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27709-2022</t>
        </is>
      </c>
      <c r="B1672" s="1" t="n">
        <v>44743</v>
      </c>
      <c r="C1672" s="1" t="n">
        <v>45895</v>
      </c>
      <c r="D1672" t="inlineStr">
        <is>
          <t>NORRBOTTENS LÄN</t>
        </is>
      </c>
      <c r="E1672" t="inlineStr">
        <is>
          <t>PAJALA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57849-2021</t>
        </is>
      </c>
      <c r="B1673" s="1" t="n">
        <v>44484</v>
      </c>
      <c r="C1673" s="1" t="n">
        <v>45895</v>
      </c>
      <c r="D1673" t="inlineStr">
        <is>
          <t>NORRBOTTENS LÄN</t>
        </is>
      </c>
      <c r="E1673" t="inlineStr">
        <is>
          <t>ÖVERTORNEÅ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12163-2024</t>
        </is>
      </c>
      <c r="B1674" s="1" t="n">
        <v>45377.8446875</v>
      </c>
      <c r="C1674" s="1" t="n">
        <v>45895</v>
      </c>
      <c r="D1674" t="inlineStr">
        <is>
          <t>NORRBOTTENS LÄN</t>
        </is>
      </c>
      <c r="E1674" t="inlineStr">
        <is>
          <t>ÖVERTORNEÅ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59115-2021</t>
        </is>
      </c>
      <c r="B1675" s="1" t="n">
        <v>44490.43877314815</v>
      </c>
      <c r="C1675" s="1" t="n">
        <v>45895</v>
      </c>
      <c r="D1675" t="inlineStr">
        <is>
          <t>NORRBOTTENS LÄN</t>
        </is>
      </c>
      <c r="E1675" t="inlineStr">
        <is>
          <t>LULEÅ</t>
        </is>
      </c>
      <c r="F1675" t="inlineStr">
        <is>
          <t>Kommuner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39894-2021</t>
        </is>
      </c>
      <c r="B1676" s="1" t="n">
        <v>44417</v>
      </c>
      <c r="C1676" s="1" t="n">
        <v>45895</v>
      </c>
      <c r="D1676" t="inlineStr">
        <is>
          <t>NORRBOTTENS LÄN</t>
        </is>
      </c>
      <c r="E1676" t="inlineStr">
        <is>
          <t>PAJALA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39899-2021</t>
        </is>
      </c>
      <c r="B1677" s="1" t="n">
        <v>44417</v>
      </c>
      <c r="C1677" s="1" t="n">
        <v>45895</v>
      </c>
      <c r="D1677" t="inlineStr">
        <is>
          <t>NORRBOTTENS LÄN</t>
        </is>
      </c>
      <c r="E1677" t="inlineStr">
        <is>
          <t>PAJALA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39905-2021</t>
        </is>
      </c>
      <c r="B1678" s="1" t="n">
        <v>44417</v>
      </c>
      <c r="C1678" s="1" t="n">
        <v>45895</v>
      </c>
      <c r="D1678" t="inlineStr">
        <is>
          <t>NORRBOTTENS LÄN</t>
        </is>
      </c>
      <c r="E1678" t="inlineStr">
        <is>
          <t>PAJALA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39907-2021</t>
        </is>
      </c>
      <c r="B1679" s="1" t="n">
        <v>44417</v>
      </c>
      <c r="C1679" s="1" t="n">
        <v>45895</v>
      </c>
      <c r="D1679" t="inlineStr">
        <is>
          <t>NORRBOTTENS LÄN</t>
        </is>
      </c>
      <c r="E1679" t="inlineStr">
        <is>
          <t>PAJALA</t>
        </is>
      </c>
      <c r="G1679" t="n">
        <v>20.5</v>
      </c>
      <c r="H1679" t="n">
        <v>0</v>
      </c>
      <c r="I1679" t="n">
        <v>0</v>
      </c>
      <c r="J1679" t="n">
        <v>0</v>
      </c>
      <c r="K1679" t="n">
        <v>0</v>
      </c>
      <c r="L1679" t="n">
        <v>0</v>
      </c>
      <c r="M1679" t="n">
        <v>0</v>
      </c>
      <c r="N1679" t="n">
        <v>0</v>
      </c>
      <c r="O1679" t="n">
        <v>0</v>
      </c>
      <c r="P1679" t="n">
        <v>0</v>
      </c>
      <c r="Q1679" t="n">
        <v>0</v>
      </c>
      <c r="R1679" s="2" t="inlineStr"/>
    </row>
    <row r="1680" ht="15" customHeight="1">
      <c r="A1680" t="inlineStr">
        <is>
          <t>A 46410-2024</t>
        </is>
      </c>
      <c r="B1680" s="1" t="n">
        <v>45582.44790509259</v>
      </c>
      <c r="C1680" s="1" t="n">
        <v>45895</v>
      </c>
      <c r="D1680" t="inlineStr">
        <is>
          <t>NORRBOTTENS LÄN</t>
        </is>
      </c>
      <c r="E1680" t="inlineStr">
        <is>
          <t>PITEÅ</t>
        </is>
      </c>
      <c r="F1680" t="inlineStr">
        <is>
          <t>Sveaskog</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55642-2023</t>
        </is>
      </c>
      <c r="B1681" s="1" t="n">
        <v>45238.92782407408</v>
      </c>
      <c r="C1681" s="1" t="n">
        <v>45895</v>
      </c>
      <c r="D1681" t="inlineStr">
        <is>
          <t>NORRBOTTENS LÄN</t>
        </is>
      </c>
      <c r="E1681" t="inlineStr">
        <is>
          <t>ÖVERKALIX</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19623-2025</t>
        </is>
      </c>
      <c r="B1682" s="1" t="n">
        <v>45770.63237268518</v>
      </c>
      <c r="C1682" s="1" t="n">
        <v>45895</v>
      </c>
      <c r="D1682" t="inlineStr">
        <is>
          <t>NORRBOTTENS LÄN</t>
        </is>
      </c>
      <c r="E1682" t="inlineStr">
        <is>
          <t>BODEN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8509-2024</t>
        </is>
      </c>
      <c r="B1683" s="1" t="n">
        <v>45351</v>
      </c>
      <c r="C1683" s="1" t="n">
        <v>45895</v>
      </c>
      <c r="D1683" t="inlineStr">
        <is>
          <t>NORRBOTTENS LÄN</t>
        </is>
      </c>
      <c r="E1683" t="inlineStr">
        <is>
          <t>ÖVERTORNEÅ</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10126-2024</t>
        </is>
      </c>
      <c r="B1684" s="1" t="n">
        <v>45364</v>
      </c>
      <c r="C1684" s="1" t="n">
        <v>45895</v>
      </c>
      <c r="D1684" t="inlineStr">
        <is>
          <t>NORRBOTTENS LÄN</t>
        </is>
      </c>
      <c r="E1684" t="inlineStr">
        <is>
          <t>ARVIDSJAUR</t>
        </is>
      </c>
      <c r="F1684" t="inlineStr">
        <is>
          <t>Sveaskog</t>
        </is>
      </c>
      <c r="G1684" t="n">
        <v>19.8</v>
      </c>
      <c r="H1684" t="n">
        <v>0</v>
      </c>
      <c r="I1684" t="n">
        <v>0</v>
      </c>
      <c r="J1684" t="n">
        <v>0</v>
      </c>
      <c r="K1684" t="n">
        <v>0</v>
      </c>
      <c r="L1684" t="n">
        <v>0</v>
      </c>
      <c r="M1684" t="n">
        <v>0</v>
      </c>
      <c r="N1684" t="n">
        <v>0</v>
      </c>
      <c r="O1684" t="n">
        <v>0</v>
      </c>
      <c r="P1684" t="n">
        <v>0</v>
      </c>
      <c r="Q1684" t="n">
        <v>0</v>
      </c>
      <c r="R1684" s="2" t="inlineStr"/>
    </row>
    <row r="1685" ht="15" customHeight="1">
      <c r="A1685" t="inlineStr">
        <is>
          <t>A 48170-2022</t>
        </is>
      </c>
      <c r="B1685" s="1" t="n">
        <v>44853</v>
      </c>
      <c r="C1685" s="1" t="n">
        <v>45895</v>
      </c>
      <c r="D1685" t="inlineStr">
        <is>
          <t>NORRBOTTENS LÄN</t>
        </is>
      </c>
      <c r="E1685" t="inlineStr">
        <is>
          <t>PAJALA</t>
        </is>
      </c>
      <c r="F1685" t="inlineStr">
        <is>
          <t>Allmännings- och besparingsskogar</t>
        </is>
      </c>
      <c r="G1685" t="n">
        <v>26.3</v>
      </c>
      <c r="H1685" t="n">
        <v>0</v>
      </c>
      <c r="I1685" t="n">
        <v>0</v>
      </c>
      <c r="J1685" t="n">
        <v>0</v>
      </c>
      <c r="K1685" t="n">
        <v>0</v>
      </c>
      <c r="L1685" t="n">
        <v>0</v>
      </c>
      <c r="M1685" t="n">
        <v>0</v>
      </c>
      <c r="N1685" t="n">
        <v>0</v>
      </c>
      <c r="O1685" t="n">
        <v>0</v>
      </c>
      <c r="P1685" t="n">
        <v>0</v>
      </c>
      <c r="Q1685" t="n">
        <v>0</v>
      </c>
      <c r="R1685" s="2" t="inlineStr"/>
    </row>
    <row r="1686" ht="15" customHeight="1">
      <c r="A1686" t="inlineStr">
        <is>
          <t>A 16111-2021</t>
        </is>
      </c>
      <c r="B1686" s="1" t="n">
        <v>44291</v>
      </c>
      <c r="C1686" s="1" t="n">
        <v>45895</v>
      </c>
      <c r="D1686" t="inlineStr">
        <is>
          <t>NORRBOTTENS LÄN</t>
        </is>
      </c>
      <c r="E1686" t="inlineStr">
        <is>
          <t>ÖVERTORNEÅ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12551-2024</t>
        </is>
      </c>
      <c r="B1687" s="1" t="n">
        <v>45379</v>
      </c>
      <c r="C1687" s="1" t="n">
        <v>45895</v>
      </c>
      <c r="D1687" t="inlineStr">
        <is>
          <t>NORRBOTTENS LÄN</t>
        </is>
      </c>
      <c r="E1687" t="inlineStr">
        <is>
          <t>LULEÅ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54025-2023</t>
        </is>
      </c>
      <c r="B1688" s="1" t="n">
        <v>45231.92543981481</v>
      </c>
      <c r="C1688" s="1" t="n">
        <v>45895</v>
      </c>
      <c r="D1688" t="inlineStr">
        <is>
          <t>NORRBOTTENS LÄN</t>
        </is>
      </c>
      <c r="E1688" t="inlineStr">
        <is>
          <t>ÖVERKALIX</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54029-2023</t>
        </is>
      </c>
      <c r="B1689" s="1" t="n">
        <v>45231</v>
      </c>
      <c r="C1689" s="1" t="n">
        <v>45895</v>
      </c>
      <c r="D1689" t="inlineStr">
        <is>
          <t>NORRBOTTENS LÄN</t>
        </is>
      </c>
      <c r="E1689" t="inlineStr">
        <is>
          <t>ÖVERTORNEÅ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54142-2023</t>
        </is>
      </c>
      <c r="B1690" s="1" t="n">
        <v>45232.44363425926</v>
      </c>
      <c r="C1690" s="1" t="n">
        <v>45895</v>
      </c>
      <c r="D1690" t="inlineStr">
        <is>
          <t>NORRBOTTENS LÄN</t>
        </is>
      </c>
      <c r="E1690" t="inlineStr">
        <is>
          <t>BODEN</t>
        </is>
      </c>
      <c r="F1690" t="inlineStr">
        <is>
          <t>Sveaskog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5030-2024</t>
        </is>
      </c>
      <c r="B1691" s="1" t="n">
        <v>45329</v>
      </c>
      <c r="C1691" s="1" t="n">
        <v>45895</v>
      </c>
      <c r="D1691" t="inlineStr">
        <is>
          <t>NORRBOTTENS LÄN</t>
        </is>
      </c>
      <c r="E1691" t="inlineStr">
        <is>
          <t>ÖVERTORNEÅ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39005-2022</t>
        </is>
      </c>
      <c r="B1692" s="1" t="n">
        <v>44816.94665509259</v>
      </c>
      <c r="C1692" s="1" t="n">
        <v>45895</v>
      </c>
      <c r="D1692" t="inlineStr">
        <is>
          <t>NORRBOTTENS LÄN</t>
        </is>
      </c>
      <c r="E1692" t="inlineStr">
        <is>
          <t>PITEÅ</t>
        </is>
      </c>
      <c r="F1692" t="inlineStr">
        <is>
          <t>SCA</t>
        </is>
      </c>
      <c r="G1692" t="n">
        <v>23.9</v>
      </c>
      <c r="H1692" t="n">
        <v>0</v>
      </c>
      <c r="I1692" t="n">
        <v>0</v>
      </c>
      <c r="J1692" t="n">
        <v>0</v>
      </c>
      <c r="K1692" t="n">
        <v>0</v>
      </c>
      <c r="L1692" t="n">
        <v>0</v>
      </c>
      <c r="M1692" t="n">
        <v>0</v>
      </c>
      <c r="N1692" t="n">
        <v>0</v>
      </c>
      <c r="O1692" t="n">
        <v>0</v>
      </c>
      <c r="P1692" t="n">
        <v>0</v>
      </c>
      <c r="Q1692" t="n">
        <v>0</v>
      </c>
      <c r="R1692" s="2" t="inlineStr"/>
    </row>
    <row r="1693" ht="15" customHeight="1">
      <c r="A1693" t="inlineStr">
        <is>
          <t>A 50716-2022</t>
        </is>
      </c>
      <c r="B1693" s="1" t="n">
        <v>44862</v>
      </c>
      <c r="C1693" s="1" t="n">
        <v>45895</v>
      </c>
      <c r="D1693" t="inlineStr">
        <is>
          <t>NORRBOTTENS LÄN</t>
        </is>
      </c>
      <c r="E1693" t="inlineStr">
        <is>
          <t>JOKKMOKK</t>
        </is>
      </c>
      <c r="G1693" t="n">
        <v>30.2</v>
      </c>
      <c r="H1693" t="n">
        <v>0</v>
      </c>
      <c r="I1693" t="n">
        <v>0</v>
      </c>
      <c r="J1693" t="n">
        <v>0</v>
      </c>
      <c r="K1693" t="n">
        <v>0</v>
      </c>
      <c r="L1693" t="n">
        <v>0</v>
      </c>
      <c r="M1693" t="n">
        <v>0</v>
      </c>
      <c r="N1693" t="n">
        <v>0</v>
      </c>
      <c r="O1693" t="n">
        <v>0</v>
      </c>
      <c r="P1693" t="n">
        <v>0</v>
      </c>
      <c r="Q1693" t="n">
        <v>0</v>
      </c>
      <c r="R1693" s="2" t="inlineStr"/>
    </row>
    <row r="1694" ht="15" customHeight="1">
      <c r="A1694" t="inlineStr">
        <is>
          <t>A 17175-2024</t>
        </is>
      </c>
      <c r="B1694" s="1" t="n">
        <v>45412</v>
      </c>
      <c r="C1694" s="1" t="n">
        <v>45895</v>
      </c>
      <c r="D1694" t="inlineStr">
        <is>
          <t>NORRBOTTENS LÄN</t>
        </is>
      </c>
      <c r="E1694" t="inlineStr">
        <is>
          <t>LULEÅ</t>
        </is>
      </c>
      <c r="F1694" t="inlineStr">
        <is>
          <t>SCA</t>
        </is>
      </c>
      <c r="G1694" t="n">
        <v>18.5</v>
      </c>
      <c r="H1694" t="n">
        <v>0</v>
      </c>
      <c r="I1694" t="n">
        <v>0</v>
      </c>
      <c r="J1694" t="n">
        <v>0</v>
      </c>
      <c r="K1694" t="n">
        <v>0</v>
      </c>
      <c r="L1694" t="n">
        <v>0</v>
      </c>
      <c r="M1694" t="n">
        <v>0</v>
      </c>
      <c r="N1694" t="n">
        <v>0</v>
      </c>
      <c r="O1694" t="n">
        <v>0</v>
      </c>
      <c r="P1694" t="n">
        <v>0</v>
      </c>
      <c r="Q1694" t="n">
        <v>0</v>
      </c>
      <c r="R1694" s="2" t="inlineStr"/>
    </row>
    <row r="1695" ht="15" customHeight="1">
      <c r="A1695" t="inlineStr">
        <is>
          <t>A 16973-2023</t>
        </is>
      </c>
      <c r="B1695" s="1" t="n">
        <v>45033</v>
      </c>
      <c r="C1695" s="1" t="n">
        <v>45895</v>
      </c>
      <c r="D1695" t="inlineStr">
        <is>
          <t>NORRBOTTENS LÄN</t>
        </is>
      </c>
      <c r="E1695" t="inlineStr">
        <is>
          <t>GÄLLIVARE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61103-2022</t>
        </is>
      </c>
      <c r="B1696" s="1" t="n">
        <v>44908</v>
      </c>
      <c r="C1696" s="1" t="n">
        <v>45895</v>
      </c>
      <c r="D1696" t="inlineStr">
        <is>
          <t>NORRBOTTENS LÄN</t>
        </is>
      </c>
      <c r="E1696" t="inlineStr">
        <is>
          <t>BODEN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26119-2023</t>
        </is>
      </c>
      <c r="B1697" s="1" t="n">
        <v>45091.44225694444</v>
      </c>
      <c r="C1697" s="1" t="n">
        <v>45895</v>
      </c>
      <c r="D1697" t="inlineStr">
        <is>
          <t>NORRBOTTENS LÄN</t>
        </is>
      </c>
      <c r="E1697" t="inlineStr">
        <is>
          <t>PITEÅ</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19952-2025</t>
        </is>
      </c>
      <c r="B1698" s="1" t="n">
        <v>45771</v>
      </c>
      <c r="C1698" s="1" t="n">
        <v>45895</v>
      </c>
      <c r="D1698" t="inlineStr">
        <is>
          <t>NORRBOTTENS LÄN</t>
        </is>
      </c>
      <c r="E1698" t="inlineStr">
        <is>
          <t>BODEN</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31534-2024</t>
        </is>
      </c>
      <c r="B1699" s="1" t="n">
        <v>45505</v>
      </c>
      <c r="C1699" s="1" t="n">
        <v>45895</v>
      </c>
      <c r="D1699" t="inlineStr">
        <is>
          <t>NORRBOTTENS LÄN</t>
        </is>
      </c>
      <c r="E1699" t="inlineStr">
        <is>
          <t>JOKKMOKK</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19985-2025</t>
        </is>
      </c>
      <c r="B1700" s="1" t="n">
        <v>45771</v>
      </c>
      <c r="C1700" s="1" t="n">
        <v>45895</v>
      </c>
      <c r="D1700" t="inlineStr">
        <is>
          <t>NORRBOTTENS LÄN</t>
        </is>
      </c>
      <c r="E1700" t="inlineStr">
        <is>
          <t>ÖVERKALIX</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20175-2025</t>
        </is>
      </c>
      <c r="B1701" s="1" t="n">
        <v>45772</v>
      </c>
      <c r="C1701" s="1" t="n">
        <v>45895</v>
      </c>
      <c r="D1701" t="inlineStr">
        <is>
          <t>NORRBOTTENS LÄN</t>
        </is>
      </c>
      <c r="E1701" t="inlineStr">
        <is>
          <t>ÖVERTORNEÅ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28359-2023</t>
        </is>
      </c>
      <c r="B1702" s="1" t="n">
        <v>45099</v>
      </c>
      <c r="C1702" s="1" t="n">
        <v>45895</v>
      </c>
      <c r="D1702" t="inlineStr">
        <is>
          <t>NORRBOTTENS LÄN</t>
        </is>
      </c>
      <c r="E1702" t="inlineStr">
        <is>
          <t>BODEN</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5093-2025</t>
        </is>
      </c>
      <c r="B1703" s="1" t="n">
        <v>45691</v>
      </c>
      <c r="C1703" s="1" t="n">
        <v>45895</v>
      </c>
      <c r="D1703" t="inlineStr">
        <is>
          <t>NORRBOTTENS LÄN</t>
        </is>
      </c>
      <c r="E1703" t="inlineStr">
        <is>
          <t>ÖVERTORNEÅ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16036-2024</t>
        </is>
      </c>
      <c r="B1704" s="1" t="n">
        <v>45405.72387731481</v>
      </c>
      <c r="C1704" s="1" t="n">
        <v>45895</v>
      </c>
      <c r="D1704" t="inlineStr">
        <is>
          <t>NORRBOTTENS LÄN</t>
        </is>
      </c>
      <c r="E1704" t="inlineStr">
        <is>
          <t>HAPARANDA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5132-2025</t>
        </is>
      </c>
      <c r="B1705" s="1" t="n">
        <v>45691.57336805556</v>
      </c>
      <c r="C1705" s="1" t="n">
        <v>45895</v>
      </c>
      <c r="D1705" t="inlineStr">
        <is>
          <t>NORRBOTTENS LÄN</t>
        </is>
      </c>
      <c r="E1705" t="inlineStr">
        <is>
          <t>LULEÅ</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62154-2023</t>
        </is>
      </c>
      <c r="B1706" s="1" t="n">
        <v>45266</v>
      </c>
      <c r="C1706" s="1" t="n">
        <v>45895</v>
      </c>
      <c r="D1706" t="inlineStr">
        <is>
          <t>NORRBOTTENS LÄN</t>
        </is>
      </c>
      <c r="E1706" t="inlineStr">
        <is>
          <t>KALIX</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57207-2023</t>
        </is>
      </c>
      <c r="B1707" s="1" t="n">
        <v>45245</v>
      </c>
      <c r="C1707" s="1" t="n">
        <v>45895</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48063-2023</t>
        </is>
      </c>
      <c r="B1708" s="1" t="n">
        <v>45204</v>
      </c>
      <c r="C1708" s="1" t="n">
        <v>45895</v>
      </c>
      <c r="D1708" t="inlineStr">
        <is>
          <t>NORRBOTTENS LÄN</t>
        </is>
      </c>
      <c r="E1708" t="inlineStr">
        <is>
          <t>KALIX</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55394-2023</t>
        </is>
      </c>
      <c r="B1709" s="1" t="n">
        <v>45231</v>
      </c>
      <c r="C1709" s="1" t="n">
        <v>45895</v>
      </c>
      <c r="D1709" t="inlineStr">
        <is>
          <t>NORRBOTTENS LÄN</t>
        </is>
      </c>
      <c r="E1709" t="inlineStr">
        <is>
          <t>GÄLLIVARE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15494-2025</t>
        </is>
      </c>
      <c r="B1710" s="1" t="n">
        <v>45747.57925925926</v>
      </c>
      <c r="C1710" s="1" t="n">
        <v>45895</v>
      </c>
      <c r="D1710" t="inlineStr">
        <is>
          <t>NORRBOTTENS LÄN</t>
        </is>
      </c>
      <c r="E1710" t="inlineStr">
        <is>
          <t>KALIX</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54317-2023</t>
        </is>
      </c>
      <c r="B1711" s="1" t="n">
        <v>45232</v>
      </c>
      <c r="C1711" s="1" t="n">
        <v>45895</v>
      </c>
      <c r="D1711" t="inlineStr">
        <is>
          <t>NORRBOTTENS LÄN</t>
        </is>
      </c>
      <c r="E1711" t="inlineStr">
        <is>
          <t>ÄLVSBYN</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3677-2025</t>
        </is>
      </c>
      <c r="B1712" s="1" t="n">
        <v>45681.44248842593</v>
      </c>
      <c r="C1712" s="1" t="n">
        <v>45895</v>
      </c>
      <c r="D1712" t="inlineStr">
        <is>
          <t>NORRBOTTENS LÄN</t>
        </is>
      </c>
      <c r="E1712" t="inlineStr">
        <is>
          <t>PITEÅ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3693-2025</t>
        </is>
      </c>
      <c r="B1713" s="1" t="n">
        <v>45681.46563657407</v>
      </c>
      <c r="C1713" s="1" t="n">
        <v>45895</v>
      </c>
      <c r="D1713" t="inlineStr">
        <is>
          <t>NORRBOTTENS LÄN</t>
        </is>
      </c>
      <c r="E1713" t="inlineStr">
        <is>
          <t>LULEÅ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14159-2024</t>
        </is>
      </c>
      <c r="B1714" s="1" t="n">
        <v>45392.92930555555</v>
      </c>
      <c r="C1714" s="1" t="n">
        <v>45895</v>
      </c>
      <c r="D1714" t="inlineStr">
        <is>
          <t>NORRBOTTENS LÄN</t>
        </is>
      </c>
      <c r="E1714" t="inlineStr">
        <is>
          <t>LULEÅ</t>
        </is>
      </c>
      <c r="G1714" t="n">
        <v>33.9</v>
      </c>
      <c r="H1714" t="n">
        <v>0</v>
      </c>
      <c r="I1714" t="n">
        <v>0</v>
      </c>
      <c r="J1714" t="n">
        <v>0</v>
      </c>
      <c r="K1714" t="n">
        <v>0</v>
      </c>
      <c r="L1714" t="n">
        <v>0</v>
      </c>
      <c r="M1714" t="n">
        <v>0</v>
      </c>
      <c r="N1714" t="n">
        <v>0</v>
      </c>
      <c r="O1714" t="n">
        <v>0</v>
      </c>
      <c r="P1714" t="n">
        <v>0</v>
      </c>
      <c r="Q1714" t="n">
        <v>0</v>
      </c>
      <c r="R1714" s="2" t="inlineStr"/>
    </row>
    <row r="1715" ht="15" customHeight="1">
      <c r="A1715" t="inlineStr">
        <is>
          <t>A 40492-2022</t>
        </is>
      </c>
      <c r="B1715" s="1" t="n">
        <v>44819</v>
      </c>
      <c r="C1715" s="1" t="n">
        <v>45895</v>
      </c>
      <c r="D1715" t="inlineStr">
        <is>
          <t>NORRBOTTENS LÄN</t>
        </is>
      </c>
      <c r="E1715" t="inlineStr">
        <is>
          <t>PITEÅ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41982-2023</t>
        </is>
      </c>
      <c r="B1716" s="1" t="n">
        <v>45177.40446759259</v>
      </c>
      <c r="C1716" s="1" t="n">
        <v>45895</v>
      </c>
      <c r="D1716" t="inlineStr">
        <is>
          <t>NORRBOTTENS LÄN</t>
        </is>
      </c>
      <c r="E1716" t="inlineStr">
        <is>
          <t>PITEÅ</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49018-2023</t>
        </is>
      </c>
      <c r="B1717" s="1" t="n">
        <v>45204</v>
      </c>
      <c r="C1717" s="1" t="n">
        <v>45895</v>
      </c>
      <c r="D1717" t="inlineStr">
        <is>
          <t>NORRBOTTENS LÄN</t>
        </is>
      </c>
      <c r="E1717" t="inlineStr">
        <is>
          <t>LULEÅ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40500-2022</t>
        </is>
      </c>
      <c r="B1718" s="1" t="n">
        <v>44819</v>
      </c>
      <c r="C1718" s="1" t="n">
        <v>45895</v>
      </c>
      <c r="D1718" t="inlineStr">
        <is>
          <t>NORRBOTTENS LÄN</t>
        </is>
      </c>
      <c r="E1718" t="inlineStr">
        <is>
          <t>ARVIDSJAUR</t>
        </is>
      </c>
      <c r="F1718" t="inlineStr">
        <is>
          <t>Allmännings- och besparingsskogar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51689-2023</t>
        </is>
      </c>
      <c r="B1719" s="1" t="n">
        <v>45215</v>
      </c>
      <c r="C1719" s="1" t="n">
        <v>45895</v>
      </c>
      <c r="D1719" t="inlineStr">
        <is>
          <t>NORRBOTTENS LÄN</t>
        </is>
      </c>
      <c r="E1719" t="inlineStr">
        <is>
          <t>PAJALA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2778-2023</t>
        </is>
      </c>
      <c r="B1720" s="1" t="n">
        <v>44944</v>
      </c>
      <c r="C1720" s="1" t="n">
        <v>45895</v>
      </c>
      <c r="D1720" t="inlineStr">
        <is>
          <t>NORRBOTTENS LÄN</t>
        </is>
      </c>
      <c r="E1720" t="inlineStr">
        <is>
          <t>ARVIDSJAUR</t>
        </is>
      </c>
      <c r="F1720" t="inlineStr">
        <is>
          <t>Sveaskog</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16216-2024</t>
        </is>
      </c>
      <c r="B1721" s="1" t="n">
        <v>45406</v>
      </c>
      <c r="C1721" s="1" t="n">
        <v>45895</v>
      </c>
      <c r="D1721" t="inlineStr">
        <is>
          <t>NORRBOTTENS LÄN</t>
        </is>
      </c>
      <c r="E1721" t="inlineStr">
        <is>
          <t>KALIX</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9932-2022</t>
        </is>
      </c>
      <c r="B1722" s="1" t="n">
        <v>44620</v>
      </c>
      <c r="C1722" s="1" t="n">
        <v>45895</v>
      </c>
      <c r="D1722" t="inlineStr">
        <is>
          <t>NORRBOTTENS LÄN</t>
        </is>
      </c>
      <c r="E1722" t="inlineStr">
        <is>
          <t>LULEÅ</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63179-2023</t>
        </is>
      </c>
      <c r="B1723" s="1" t="n">
        <v>45273.58069444444</v>
      </c>
      <c r="C1723" s="1" t="n">
        <v>45895</v>
      </c>
      <c r="D1723" t="inlineStr">
        <is>
          <t>NORRBOTTENS LÄN</t>
        </is>
      </c>
      <c r="E1723" t="inlineStr">
        <is>
          <t>PITEÅ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32936-2023</t>
        </is>
      </c>
      <c r="B1724" s="1" t="n">
        <v>45125</v>
      </c>
      <c r="C1724" s="1" t="n">
        <v>45895</v>
      </c>
      <c r="D1724" t="inlineStr">
        <is>
          <t>NORRBOTTENS LÄN</t>
        </is>
      </c>
      <c r="E1724" t="inlineStr">
        <is>
          <t>PITEÅ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32939-2023</t>
        </is>
      </c>
      <c r="B1725" s="1" t="n">
        <v>45125</v>
      </c>
      <c r="C1725" s="1" t="n">
        <v>45895</v>
      </c>
      <c r="D1725" t="inlineStr">
        <is>
          <t>NORRBOTTENS LÄN</t>
        </is>
      </c>
      <c r="E1725" t="inlineStr">
        <is>
          <t>PITEÅ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15389-2025</t>
        </is>
      </c>
      <c r="B1726" s="1" t="n">
        <v>45747</v>
      </c>
      <c r="C1726" s="1" t="n">
        <v>45895</v>
      </c>
      <c r="D1726" t="inlineStr">
        <is>
          <t>NORRBOTTENS LÄN</t>
        </is>
      </c>
      <c r="E1726" t="inlineStr">
        <is>
          <t>ÄLVSBYN</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44712-2024</t>
        </is>
      </c>
      <c r="B1727" s="1" t="n">
        <v>45574.57420138889</v>
      </c>
      <c r="C1727" s="1" t="n">
        <v>45895</v>
      </c>
      <c r="D1727" t="inlineStr">
        <is>
          <t>NORRBOTTENS LÄN</t>
        </is>
      </c>
      <c r="E1727" t="inlineStr">
        <is>
          <t>PITEÅ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60727-2024</t>
        </is>
      </c>
      <c r="B1728" s="1" t="n">
        <v>45644.54008101852</v>
      </c>
      <c r="C1728" s="1" t="n">
        <v>45895</v>
      </c>
      <c r="D1728" t="inlineStr">
        <is>
          <t>NORRBOTTENS LÄN</t>
        </is>
      </c>
      <c r="E1728" t="inlineStr">
        <is>
          <t>LULEÅ</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44716-2024</t>
        </is>
      </c>
      <c r="B1729" s="1" t="n">
        <v>45574.57457175926</v>
      </c>
      <c r="C1729" s="1" t="n">
        <v>45895</v>
      </c>
      <c r="D1729" t="inlineStr">
        <is>
          <t>NORRBOTTENS LÄN</t>
        </is>
      </c>
      <c r="E1729" t="inlineStr">
        <is>
          <t>PITEÅ</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1961-2025</t>
        </is>
      </c>
      <c r="B1730" s="1" t="n">
        <v>45672</v>
      </c>
      <c r="C1730" s="1" t="n">
        <v>45895</v>
      </c>
      <c r="D1730" t="inlineStr">
        <is>
          <t>NORRBOTTENS LÄN</t>
        </is>
      </c>
      <c r="E1730" t="inlineStr">
        <is>
          <t>BODEN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9322-2024</t>
        </is>
      </c>
      <c r="B1731" s="1" t="n">
        <v>45358</v>
      </c>
      <c r="C1731" s="1" t="n">
        <v>45895</v>
      </c>
      <c r="D1731" t="inlineStr">
        <is>
          <t>NORRBOTTENS LÄN</t>
        </is>
      </c>
      <c r="E1731" t="inlineStr">
        <is>
          <t>BODEN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34980-2023</t>
        </is>
      </c>
      <c r="B1732" s="1" t="n">
        <v>45142</v>
      </c>
      <c r="C1732" s="1" t="n">
        <v>45895</v>
      </c>
      <c r="D1732" t="inlineStr">
        <is>
          <t>NORRBOTTENS LÄN</t>
        </is>
      </c>
      <c r="E1732" t="inlineStr">
        <is>
          <t>HAPARANDA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8782-2024</t>
        </is>
      </c>
      <c r="B1733" s="1" t="n">
        <v>45356</v>
      </c>
      <c r="C1733" s="1" t="n">
        <v>45895</v>
      </c>
      <c r="D1733" t="inlineStr">
        <is>
          <t>NORRBOTTENS LÄN</t>
        </is>
      </c>
      <c r="E1733" t="inlineStr">
        <is>
          <t>BODEN</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42886-2022</t>
        </is>
      </c>
      <c r="B1734" s="1" t="n">
        <v>44832.953125</v>
      </c>
      <c r="C1734" s="1" t="n">
        <v>45895</v>
      </c>
      <c r="D1734" t="inlineStr">
        <is>
          <t>NORRBOTTENS LÄN</t>
        </is>
      </c>
      <c r="E1734" t="inlineStr">
        <is>
          <t>GÄLLIVARE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10193-2024</t>
        </is>
      </c>
      <c r="B1735" s="1" t="n">
        <v>45364.9278125</v>
      </c>
      <c r="C1735" s="1" t="n">
        <v>45895</v>
      </c>
      <c r="D1735" t="inlineStr">
        <is>
          <t>NORRBOTTENS LÄN</t>
        </is>
      </c>
      <c r="E1735" t="inlineStr">
        <is>
          <t>ÖVERTORNEÅ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10243-2024</t>
        </is>
      </c>
      <c r="B1736" s="1" t="n">
        <v>45365</v>
      </c>
      <c r="C1736" s="1" t="n">
        <v>45895</v>
      </c>
      <c r="D1736" t="inlineStr">
        <is>
          <t>NORRBOTTENS LÄN</t>
        </is>
      </c>
      <c r="E1736" t="inlineStr">
        <is>
          <t>ARVIDSJAUR</t>
        </is>
      </c>
      <c r="F1736" t="inlineStr">
        <is>
          <t>Sveaskog</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55410-2023</t>
        </is>
      </c>
      <c r="B1737" s="1" t="n">
        <v>45231</v>
      </c>
      <c r="C1737" s="1" t="n">
        <v>45895</v>
      </c>
      <c r="D1737" t="inlineStr">
        <is>
          <t>NORRBOTTENS LÄN</t>
        </is>
      </c>
      <c r="E1737" t="inlineStr">
        <is>
          <t>GÄLLIVARE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1870-2025</t>
        </is>
      </c>
      <c r="B1738" s="1" t="n">
        <v>45671</v>
      </c>
      <c r="C1738" s="1" t="n">
        <v>45895</v>
      </c>
      <c r="D1738" t="inlineStr">
        <is>
          <t>NORRBOTTENS LÄN</t>
        </is>
      </c>
      <c r="E1738" t="inlineStr">
        <is>
          <t>HAPARANDA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1934-2025</t>
        </is>
      </c>
      <c r="B1739" s="1" t="n">
        <v>45671.9077662037</v>
      </c>
      <c r="C1739" s="1" t="n">
        <v>45895</v>
      </c>
      <c r="D1739" t="inlineStr">
        <is>
          <t>NORRBOTTENS LÄN</t>
        </is>
      </c>
      <c r="E1739" t="inlineStr">
        <is>
          <t>PAJALA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10021-2024</t>
        </is>
      </c>
      <c r="B1740" s="1" t="n">
        <v>45363.96973379629</v>
      </c>
      <c r="C1740" s="1" t="n">
        <v>45895</v>
      </c>
      <c r="D1740" t="inlineStr">
        <is>
          <t>NORRBOTTENS LÄN</t>
        </is>
      </c>
      <c r="E1740" t="inlineStr">
        <is>
          <t>PITEÅ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18269-2022</t>
        </is>
      </c>
      <c r="B1741" s="1" t="n">
        <v>44685</v>
      </c>
      <c r="C1741" s="1" t="n">
        <v>45895</v>
      </c>
      <c r="D1741" t="inlineStr">
        <is>
          <t>NORRBOTTENS LÄN</t>
        </is>
      </c>
      <c r="E1741" t="inlineStr">
        <is>
          <t>PITEÅ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14567-2024</t>
        </is>
      </c>
      <c r="B1742" s="1" t="n">
        <v>45394</v>
      </c>
      <c r="C1742" s="1" t="n">
        <v>45895</v>
      </c>
      <c r="D1742" t="inlineStr">
        <is>
          <t>NORRBOTTENS LÄN</t>
        </is>
      </c>
      <c r="E1742" t="inlineStr">
        <is>
          <t>JOKKMOKK</t>
        </is>
      </c>
      <c r="G1742" t="n">
        <v>24.5</v>
      </c>
      <c r="H1742" t="n">
        <v>0</v>
      </c>
      <c r="I1742" t="n">
        <v>0</v>
      </c>
      <c r="J1742" t="n">
        <v>0</v>
      </c>
      <c r="K1742" t="n">
        <v>0</v>
      </c>
      <c r="L1742" t="n">
        <v>0</v>
      </c>
      <c r="M1742" t="n">
        <v>0</v>
      </c>
      <c r="N1742" t="n">
        <v>0</v>
      </c>
      <c r="O1742" t="n">
        <v>0</v>
      </c>
      <c r="P1742" t="n">
        <v>0</v>
      </c>
      <c r="Q1742" t="n">
        <v>0</v>
      </c>
      <c r="R1742" s="2" t="inlineStr"/>
    </row>
    <row r="1743" ht="15" customHeight="1">
      <c r="A1743" t="inlineStr">
        <is>
          <t>A 40281-2022</t>
        </is>
      </c>
      <c r="B1743" s="1" t="n">
        <v>44820</v>
      </c>
      <c r="C1743" s="1" t="n">
        <v>45895</v>
      </c>
      <c r="D1743" t="inlineStr">
        <is>
          <t>NORRBOTTENS LÄN</t>
        </is>
      </c>
      <c r="E1743" t="inlineStr">
        <is>
          <t>ÖVERKALIX</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262-2025</t>
        </is>
      </c>
      <c r="B1744" s="1" t="n">
        <v>45660.45283564815</v>
      </c>
      <c r="C1744" s="1" t="n">
        <v>45895</v>
      </c>
      <c r="D1744" t="inlineStr">
        <is>
          <t>NORRBOTTENS LÄN</t>
        </is>
      </c>
      <c r="E1744" t="inlineStr">
        <is>
          <t>KALIX</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73335-2021</t>
        </is>
      </c>
      <c r="B1745" s="1" t="n">
        <v>44550</v>
      </c>
      <c r="C1745" s="1" t="n">
        <v>45895</v>
      </c>
      <c r="D1745" t="inlineStr">
        <is>
          <t>NORRBOTTENS LÄN</t>
        </is>
      </c>
      <c r="E1745" t="inlineStr">
        <is>
          <t>GÄLLIVARE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12440-2024</t>
        </is>
      </c>
      <c r="B1746" s="1" t="n">
        <v>45379</v>
      </c>
      <c r="C1746" s="1" t="n">
        <v>45895</v>
      </c>
      <c r="D1746" t="inlineStr">
        <is>
          <t>NORRBOTTENS LÄN</t>
        </is>
      </c>
      <c r="E1746" t="inlineStr">
        <is>
          <t>ÄLVSBYN</t>
        </is>
      </c>
      <c r="F1746" t="inlineStr">
        <is>
          <t>Sveaskog</t>
        </is>
      </c>
      <c r="G1746" t="n">
        <v>26.3</v>
      </c>
      <c r="H1746" t="n">
        <v>0</v>
      </c>
      <c r="I1746" t="n">
        <v>0</v>
      </c>
      <c r="J1746" t="n">
        <v>0</v>
      </c>
      <c r="K1746" t="n">
        <v>0</v>
      </c>
      <c r="L1746" t="n">
        <v>0</v>
      </c>
      <c r="M1746" t="n">
        <v>0</v>
      </c>
      <c r="N1746" t="n">
        <v>0</v>
      </c>
      <c r="O1746" t="n">
        <v>0</v>
      </c>
      <c r="P1746" t="n">
        <v>0</v>
      </c>
      <c r="Q1746" t="n">
        <v>0</v>
      </c>
      <c r="R1746" s="2" t="inlineStr"/>
    </row>
    <row r="1747" ht="15" customHeight="1">
      <c r="A1747" t="inlineStr">
        <is>
          <t>A 45510-2022</t>
        </is>
      </c>
      <c r="B1747" s="1" t="n">
        <v>44841</v>
      </c>
      <c r="C1747" s="1" t="n">
        <v>45895</v>
      </c>
      <c r="D1747" t="inlineStr">
        <is>
          <t>NORRBOTTENS LÄN</t>
        </is>
      </c>
      <c r="E1747" t="inlineStr">
        <is>
          <t>JOKKMOKK</t>
        </is>
      </c>
      <c r="F1747" t="inlineStr">
        <is>
          <t>Övriga Aktiebolag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73026-2021</t>
        </is>
      </c>
      <c r="B1748" s="1" t="n">
        <v>44550</v>
      </c>
      <c r="C1748" s="1" t="n">
        <v>45895</v>
      </c>
      <c r="D1748" t="inlineStr">
        <is>
          <t>NORRBOTTENS LÄN</t>
        </is>
      </c>
      <c r="E1748" t="inlineStr">
        <is>
          <t>PITEÅ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5842-2023</t>
        </is>
      </c>
      <c r="B1749" s="1" t="n">
        <v>44958</v>
      </c>
      <c r="C1749" s="1" t="n">
        <v>45895</v>
      </c>
      <c r="D1749" t="inlineStr">
        <is>
          <t>NORRBOTTENS LÄN</t>
        </is>
      </c>
      <c r="E1749" t="inlineStr">
        <is>
          <t>KIRUNA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10249-2024</t>
        </is>
      </c>
      <c r="B1750" s="1" t="n">
        <v>45365.3860300926</v>
      </c>
      <c r="C1750" s="1" t="n">
        <v>45895</v>
      </c>
      <c r="D1750" t="inlineStr">
        <is>
          <t>NORRBOTTENS LÄN</t>
        </is>
      </c>
      <c r="E1750" t="inlineStr">
        <is>
          <t>ÄLVSBYN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674-2022</t>
        </is>
      </c>
      <c r="B1751" s="1" t="n">
        <v>44568</v>
      </c>
      <c r="C1751" s="1" t="n">
        <v>45895</v>
      </c>
      <c r="D1751" t="inlineStr">
        <is>
          <t>NORRBOTTENS LÄN</t>
        </is>
      </c>
      <c r="E1751" t="inlineStr">
        <is>
          <t>PAJALA</t>
        </is>
      </c>
      <c r="G1751" t="n">
        <v>19.5</v>
      </c>
      <c r="H1751" t="n">
        <v>0</v>
      </c>
      <c r="I1751" t="n">
        <v>0</v>
      </c>
      <c r="J1751" t="n">
        <v>0</v>
      </c>
      <c r="K1751" t="n">
        <v>0</v>
      </c>
      <c r="L1751" t="n">
        <v>0</v>
      </c>
      <c r="M1751" t="n">
        <v>0</v>
      </c>
      <c r="N1751" t="n">
        <v>0</v>
      </c>
      <c r="O1751" t="n">
        <v>0</v>
      </c>
      <c r="P1751" t="n">
        <v>0</v>
      </c>
      <c r="Q1751" t="n">
        <v>0</v>
      </c>
      <c r="R1751" s="2" t="inlineStr"/>
    </row>
    <row r="1752" ht="15" customHeight="1">
      <c r="A1752" t="inlineStr">
        <is>
          <t>A 50258-2023</t>
        </is>
      </c>
      <c r="B1752" s="1" t="n">
        <v>45216</v>
      </c>
      <c r="C1752" s="1" t="n">
        <v>45895</v>
      </c>
      <c r="D1752" t="inlineStr">
        <is>
          <t>NORRBOTTENS LÄN</t>
        </is>
      </c>
      <c r="E1752" t="inlineStr">
        <is>
          <t>JOKKMOKK</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6169-2025</t>
        </is>
      </c>
      <c r="B1753" s="1" t="n">
        <v>45698</v>
      </c>
      <c r="C1753" s="1" t="n">
        <v>45895</v>
      </c>
      <c r="D1753" t="inlineStr">
        <is>
          <t>NORRBOTTENS LÄN</t>
        </is>
      </c>
      <c r="E1753" t="inlineStr">
        <is>
          <t>KALIX</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51765-2023</t>
        </is>
      </c>
      <c r="B1754" s="1" t="n">
        <v>45222.70152777778</v>
      </c>
      <c r="C1754" s="1" t="n">
        <v>45895</v>
      </c>
      <c r="D1754" t="inlineStr">
        <is>
          <t>NORRBOTTENS LÄN</t>
        </is>
      </c>
      <c r="E1754" t="inlineStr">
        <is>
          <t>KALIX</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3982-2025</t>
        </is>
      </c>
      <c r="B1755" s="1" t="n">
        <v>45684</v>
      </c>
      <c r="C1755" s="1" t="n">
        <v>45895</v>
      </c>
      <c r="D1755" t="inlineStr">
        <is>
          <t>NORRBOTTENS LÄN</t>
        </is>
      </c>
      <c r="E1755" t="inlineStr">
        <is>
          <t>ÖVERTORNEÅ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34150-2023</t>
        </is>
      </c>
      <c r="B1756" s="1" t="n">
        <v>45136.85806712963</v>
      </c>
      <c r="C1756" s="1" t="n">
        <v>45895</v>
      </c>
      <c r="D1756" t="inlineStr">
        <is>
          <t>NORRBOTTENS LÄN</t>
        </is>
      </c>
      <c r="E1756" t="inlineStr">
        <is>
          <t>PAJALA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9319-2024</t>
        </is>
      </c>
      <c r="B1757" s="1" t="n">
        <v>45358.95780092593</v>
      </c>
      <c r="C1757" s="1" t="n">
        <v>45895</v>
      </c>
      <c r="D1757" t="inlineStr">
        <is>
          <t>NORRBOTTENS LÄN</t>
        </is>
      </c>
      <c r="E1757" t="inlineStr">
        <is>
          <t>BODEN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42568-2024</t>
        </is>
      </c>
      <c r="B1758" s="1" t="n">
        <v>45565</v>
      </c>
      <c r="C1758" s="1" t="n">
        <v>45895</v>
      </c>
      <c r="D1758" t="inlineStr">
        <is>
          <t>NORRBOTTENS LÄN</t>
        </is>
      </c>
      <c r="E1758" t="inlineStr">
        <is>
          <t>ÄLVSBYN</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17860-2024</t>
        </is>
      </c>
      <c r="B1759" s="1" t="n">
        <v>45419.43320601852</v>
      </c>
      <c r="C1759" s="1" t="n">
        <v>45895</v>
      </c>
      <c r="D1759" t="inlineStr">
        <is>
          <t>NORRBOTTENS LÄN</t>
        </is>
      </c>
      <c r="E1759" t="inlineStr">
        <is>
          <t>PITEÅ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17866-2024</t>
        </is>
      </c>
      <c r="B1760" s="1" t="n">
        <v>45419.43966435185</v>
      </c>
      <c r="C1760" s="1" t="n">
        <v>45895</v>
      </c>
      <c r="D1760" t="inlineStr">
        <is>
          <t>NORRBOTTENS LÄN</t>
        </is>
      </c>
      <c r="E1760" t="inlineStr">
        <is>
          <t>PITEÅ</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17896-2023</t>
        </is>
      </c>
      <c r="B1761" s="1" t="n">
        <v>45039.64319444444</v>
      </c>
      <c r="C1761" s="1" t="n">
        <v>45895</v>
      </c>
      <c r="D1761" t="inlineStr">
        <is>
          <t>NORRBOTTENS LÄN</t>
        </is>
      </c>
      <c r="E1761" t="inlineStr">
        <is>
          <t>ÖVERTORNEÅ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49410-2023</t>
        </is>
      </c>
      <c r="B1762" s="1" t="n">
        <v>45211.44008101852</v>
      </c>
      <c r="C1762" s="1" t="n">
        <v>45895</v>
      </c>
      <c r="D1762" t="inlineStr">
        <is>
          <t>NORRBOTTENS LÄN</t>
        </is>
      </c>
      <c r="E1762" t="inlineStr">
        <is>
          <t>BODEN</t>
        </is>
      </c>
      <c r="F1762" t="inlineStr">
        <is>
          <t>Sveaskog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14160-2024</t>
        </is>
      </c>
      <c r="B1763" s="1" t="n">
        <v>45392</v>
      </c>
      <c r="C1763" s="1" t="n">
        <v>45895</v>
      </c>
      <c r="D1763" t="inlineStr">
        <is>
          <t>NORRBOTTENS LÄN</t>
        </is>
      </c>
      <c r="E1763" t="inlineStr">
        <is>
          <t>LULEÅ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20497-2025</t>
        </is>
      </c>
      <c r="B1764" s="1" t="n">
        <v>45775.57372685185</v>
      </c>
      <c r="C1764" s="1" t="n">
        <v>45895</v>
      </c>
      <c r="D1764" t="inlineStr">
        <is>
          <t>NORRBOTTENS LÄN</t>
        </is>
      </c>
      <c r="E1764" t="inlineStr">
        <is>
          <t>PITEÅ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65769-2021</t>
        </is>
      </c>
      <c r="B1765" s="1" t="n">
        <v>44516</v>
      </c>
      <c r="C1765" s="1" t="n">
        <v>45895</v>
      </c>
      <c r="D1765" t="inlineStr">
        <is>
          <t>NORRBOTTENS LÄN</t>
        </is>
      </c>
      <c r="E1765" t="inlineStr">
        <is>
          <t>PITEÅ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35687-2023</t>
        </is>
      </c>
      <c r="B1766" s="1" t="n">
        <v>45147</v>
      </c>
      <c r="C1766" s="1" t="n">
        <v>45895</v>
      </c>
      <c r="D1766" t="inlineStr">
        <is>
          <t>NORRBOTTENS LÄN</t>
        </is>
      </c>
      <c r="E1766" t="inlineStr">
        <is>
          <t>PAJALA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25414-2023</t>
        </is>
      </c>
      <c r="B1767" s="1" t="n">
        <v>45089.37991898148</v>
      </c>
      <c r="C1767" s="1" t="n">
        <v>45895</v>
      </c>
      <c r="D1767" t="inlineStr">
        <is>
          <t>NORRBOTTENS LÄN</t>
        </is>
      </c>
      <c r="E1767" t="inlineStr">
        <is>
          <t>BODEN</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11112-2023</t>
        </is>
      </c>
      <c r="B1768" s="1" t="n">
        <v>44992</v>
      </c>
      <c r="C1768" s="1" t="n">
        <v>45895</v>
      </c>
      <c r="D1768" t="inlineStr">
        <is>
          <t>NORRBOTTENS LÄN</t>
        </is>
      </c>
      <c r="E1768" t="inlineStr">
        <is>
          <t>KALIX</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9833-2024</t>
        </is>
      </c>
      <c r="B1769" s="1" t="n">
        <v>45363.04724537037</v>
      </c>
      <c r="C1769" s="1" t="n">
        <v>45895</v>
      </c>
      <c r="D1769" t="inlineStr">
        <is>
          <t>NORRBOTTENS LÄN</t>
        </is>
      </c>
      <c r="E1769" t="inlineStr">
        <is>
          <t>PITEÅ</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11265-2024</t>
        </is>
      </c>
      <c r="B1770" s="1" t="n">
        <v>45371</v>
      </c>
      <c r="C1770" s="1" t="n">
        <v>45895</v>
      </c>
      <c r="D1770" t="inlineStr">
        <is>
          <t>NORRBOTTENS LÄN</t>
        </is>
      </c>
      <c r="E1770" t="inlineStr">
        <is>
          <t>PAJALA</t>
        </is>
      </c>
      <c r="F1770" t="inlineStr">
        <is>
          <t>Allmännings- och besparingsskogar</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11844-2024</t>
        </is>
      </c>
      <c r="B1771" s="1" t="n">
        <v>45376</v>
      </c>
      <c r="C1771" s="1" t="n">
        <v>45895</v>
      </c>
      <c r="D1771" t="inlineStr">
        <is>
          <t>NORRBOTTENS LÄN</t>
        </is>
      </c>
      <c r="E1771" t="inlineStr">
        <is>
          <t>PITEÅ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13394-2024</t>
        </is>
      </c>
      <c r="B1772" s="1" t="n">
        <v>45387</v>
      </c>
      <c r="C1772" s="1" t="n">
        <v>45895</v>
      </c>
      <c r="D1772" t="inlineStr">
        <is>
          <t>NORRBOTTENS LÄN</t>
        </is>
      </c>
      <c r="E1772" t="inlineStr">
        <is>
          <t>BODEN</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19624-2025</t>
        </is>
      </c>
      <c r="B1773" s="1" t="n">
        <v>45770.63423611111</v>
      </c>
      <c r="C1773" s="1" t="n">
        <v>45895</v>
      </c>
      <c r="D1773" t="inlineStr">
        <is>
          <t>NORRBOTTENS LÄN</t>
        </is>
      </c>
      <c r="E1773" t="inlineStr">
        <is>
          <t>BODEN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20253-2024</t>
        </is>
      </c>
      <c r="B1774" s="1" t="n">
        <v>45434</v>
      </c>
      <c r="C1774" s="1" t="n">
        <v>45895</v>
      </c>
      <c r="D1774" t="inlineStr">
        <is>
          <t>NORRBOTTENS LÄN</t>
        </is>
      </c>
      <c r="E1774" t="inlineStr">
        <is>
          <t>ÄLVSBYN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10434-2024</t>
        </is>
      </c>
      <c r="B1775" s="1" t="n">
        <v>45365</v>
      </c>
      <c r="C1775" s="1" t="n">
        <v>45895</v>
      </c>
      <c r="D1775" t="inlineStr">
        <is>
          <t>NORRBOTTENS LÄN</t>
        </is>
      </c>
      <c r="E1775" t="inlineStr">
        <is>
          <t>ÄLVSBYN</t>
        </is>
      </c>
      <c r="G1775" t="n">
        <v>15.1</v>
      </c>
      <c r="H1775" t="n">
        <v>0</v>
      </c>
      <c r="I1775" t="n">
        <v>0</v>
      </c>
      <c r="J1775" t="n">
        <v>0</v>
      </c>
      <c r="K1775" t="n">
        <v>0</v>
      </c>
      <c r="L1775" t="n">
        <v>0</v>
      </c>
      <c r="M1775" t="n">
        <v>0</v>
      </c>
      <c r="N1775" t="n">
        <v>0</v>
      </c>
      <c r="O1775" t="n">
        <v>0</v>
      </c>
      <c r="P1775" t="n">
        <v>0</v>
      </c>
      <c r="Q1775" t="n">
        <v>0</v>
      </c>
      <c r="R1775" s="2" t="inlineStr"/>
    </row>
    <row r="1776" ht="15" customHeight="1">
      <c r="A1776" t="inlineStr">
        <is>
          <t>A 18679-2025</t>
        </is>
      </c>
      <c r="B1776" s="1" t="n">
        <v>45763.6009375</v>
      </c>
      <c r="C1776" s="1" t="n">
        <v>45895</v>
      </c>
      <c r="D1776" t="inlineStr">
        <is>
          <t>NORRBOTTENS LÄN</t>
        </is>
      </c>
      <c r="E1776" t="inlineStr">
        <is>
          <t>BODEN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15291-2025</t>
        </is>
      </c>
      <c r="B1777" s="1" t="n">
        <v>45743</v>
      </c>
      <c r="C1777" s="1" t="n">
        <v>45895</v>
      </c>
      <c r="D1777" t="inlineStr">
        <is>
          <t>NORRBOTTENS LÄN</t>
        </is>
      </c>
      <c r="E1777" t="inlineStr">
        <is>
          <t>ÖVERTORNEÅ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20239-2024</t>
        </is>
      </c>
      <c r="B1778" s="1" t="n">
        <v>45434.78520833333</v>
      </c>
      <c r="C1778" s="1" t="n">
        <v>45895</v>
      </c>
      <c r="D1778" t="inlineStr">
        <is>
          <t>NORRBOTTENS LÄN</t>
        </is>
      </c>
      <c r="E1778" t="inlineStr">
        <is>
          <t>PAJALA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17203-2024</t>
        </is>
      </c>
      <c r="B1779" s="1" t="n">
        <v>45413</v>
      </c>
      <c r="C1779" s="1" t="n">
        <v>45895</v>
      </c>
      <c r="D1779" t="inlineStr">
        <is>
          <t>NORRBOTTENS LÄN</t>
        </is>
      </c>
      <c r="E1779" t="inlineStr">
        <is>
          <t>GÄLLIVARE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9011-2024</t>
        </is>
      </c>
      <c r="B1780" s="1" t="n">
        <v>45356</v>
      </c>
      <c r="C1780" s="1" t="n">
        <v>45895</v>
      </c>
      <c r="D1780" t="inlineStr">
        <is>
          <t>NORRBOTTENS LÄN</t>
        </is>
      </c>
      <c r="E1780" t="inlineStr">
        <is>
          <t>PITEÅ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62139-2023</t>
        </is>
      </c>
      <c r="B1781" s="1" t="n">
        <v>45266</v>
      </c>
      <c r="C1781" s="1" t="n">
        <v>45895</v>
      </c>
      <c r="D1781" t="inlineStr">
        <is>
          <t>NORRBOTTENS LÄN</t>
        </is>
      </c>
      <c r="E1781" t="inlineStr">
        <is>
          <t>KALIX</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62150-2023</t>
        </is>
      </c>
      <c r="B1782" s="1" t="n">
        <v>45266</v>
      </c>
      <c r="C1782" s="1" t="n">
        <v>45895</v>
      </c>
      <c r="D1782" t="inlineStr">
        <is>
          <t>NORRBOTTENS LÄN</t>
        </is>
      </c>
      <c r="E1782" t="inlineStr">
        <is>
          <t>KALIX</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22688-2024</t>
        </is>
      </c>
      <c r="B1783" s="1" t="n">
        <v>45448</v>
      </c>
      <c r="C1783" s="1" t="n">
        <v>45895</v>
      </c>
      <c r="D1783" t="inlineStr">
        <is>
          <t>NORRBOTTENS LÄN</t>
        </is>
      </c>
      <c r="E1783" t="inlineStr">
        <is>
          <t>ARVIDSJAUR</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59678-2024</t>
        </is>
      </c>
      <c r="B1784" s="1" t="n">
        <v>45639.39559027777</v>
      </c>
      <c r="C1784" s="1" t="n">
        <v>45895</v>
      </c>
      <c r="D1784" t="inlineStr">
        <is>
          <t>NORRBOTTENS LÄN</t>
        </is>
      </c>
      <c r="E1784" t="inlineStr">
        <is>
          <t>PITEÅ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44713-2024</t>
        </is>
      </c>
      <c r="B1785" s="1" t="n">
        <v>45574.57422453703</v>
      </c>
      <c r="C1785" s="1" t="n">
        <v>45895</v>
      </c>
      <c r="D1785" t="inlineStr">
        <is>
          <t>NORRBOTTENS LÄN</t>
        </is>
      </c>
      <c r="E1785" t="inlineStr">
        <is>
          <t>PITEÅ</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44715-2024</t>
        </is>
      </c>
      <c r="B1786" s="1" t="n">
        <v>45574.57452546297</v>
      </c>
      <c r="C1786" s="1" t="n">
        <v>45895</v>
      </c>
      <c r="D1786" t="inlineStr">
        <is>
          <t>NORRBOTTENS LÄN</t>
        </is>
      </c>
      <c r="E1786" t="inlineStr">
        <is>
          <t>PITEÅ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23583-2021</t>
        </is>
      </c>
      <c r="B1787" s="1" t="n">
        <v>44334</v>
      </c>
      <c r="C1787" s="1" t="n">
        <v>45895</v>
      </c>
      <c r="D1787" t="inlineStr">
        <is>
          <t>NORRBOTTENS LÄN</t>
        </is>
      </c>
      <c r="E1787" t="inlineStr">
        <is>
          <t>ARVIDSJAUR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17980-2021</t>
        </is>
      </c>
      <c r="B1788" s="1" t="n">
        <v>44301.66649305556</v>
      </c>
      <c r="C1788" s="1" t="n">
        <v>45895</v>
      </c>
      <c r="D1788" t="inlineStr">
        <is>
          <t>NORRBOTTENS LÄN</t>
        </is>
      </c>
      <c r="E1788" t="inlineStr">
        <is>
          <t>BODEN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14869-2025</t>
        </is>
      </c>
      <c r="B1789" s="1" t="n">
        <v>45743.44828703703</v>
      </c>
      <c r="C1789" s="1" t="n">
        <v>45895</v>
      </c>
      <c r="D1789" t="inlineStr">
        <is>
          <t>NORRBOTTENS LÄN</t>
        </is>
      </c>
      <c r="E1789" t="inlineStr">
        <is>
          <t>JOKKMOKK</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28079-2024</t>
        </is>
      </c>
      <c r="B1790" s="1" t="n">
        <v>45476.58649305555</v>
      </c>
      <c r="C1790" s="1" t="n">
        <v>45895</v>
      </c>
      <c r="D1790" t="inlineStr">
        <is>
          <t>NORRBOTTENS LÄN</t>
        </is>
      </c>
      <c r="E1790" t="inlineStr">
        <is>
          <t>BODEN</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58691-2021</t>
        </is>
      </c>
      <c r="B1791" s="1" t="n">
        <v>44489.45143518518</v>
      </c>
      <c r="C1791" s="1" t="n">
        <v>45895</v>
      </c>
      <c r="D1791" t="inlineStr">
        <is>
          <t>NORRBOTTENS LÄN</t>
        </is>
      </c>
      <c r="E1791" t="inlineStr">
        <is>
          <t>ÖVERTORNEÅ</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41843-2024</t>
        </is>
      </c>
      <c r="B1792" s="1" t="n">
        <v>45561</v>
      </c>
      <c r="C1792" s="1" t="n">
        <v>45895</v>
      </c>
      <c r="D1792" t="inlineStr">
        <is>
          <t>NORRBOTTENS LÄN</t>
        </is>
      </c>
      <c r="E1792" t="inlineStr">
        <is>
          <t>GÄLLIVARE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17201-2024</t>
        </is>
      </c>
      <c r="B1793" s="1" t="n">
        <v>45413.59373842592</v>
      </c>
      <c r="C1793" s="1" t="n">
        <v>45895</v>
      </c>
      <c r="D1793" t="inlineStr">
        <is>
          <t>NORRBOTTENS LÄN</t>
        </is>
      </c>
      <c r="E1793" t="inlineStr">
        <is>
          <t>GÄLLIVARE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7650-2025</t>
        </is>
      </c>
      <c r="B1794" s="1" t="n">
        <v>45705</v>
      </c>
      <c r="C1794" s="1" t="n">
        <v>45895</v>
      </c>
      <c r="D1794" t="inlineStr">
        <is>
          <t>NORRBOTTENS LÄN</t>
        </is>
      </c>
      <c r="E1794" t="inlineStr">
        <is>
          <t>GÄLLIVARE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7651-2025</t>
        </is>
      </c>
      <c r="B1795" s="1" t="n">
        <v>45705</v>
      </c>
      <c r="C1795" s="1" t="n">
        <v>45895</v>
      </c>
      <c r="D1795" t="inlineStr">
        <is>
          <t>NORRBOTTENS LÄN</t>
        </is>
      </c>
      <c r="E1795" t="inlineStr">
        <is>
          <t>GÄLLIVARE</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19671-2025</t>
        </is>
      </c>
      <c r="B1796" s="1" t="n">
        <v>45770</v>
      </c>
      <c r="C1796" s="1" t="n">
        <v>45895</v>
      </c>
      <c r="D1796" t="inlineStr">
        <is>
          <t>NORRBOTTENS LÄN</t>
        </is>
      </c>
      <c r="E1796" t="inlineStr">
        <is>
          <t>PAJALA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55938-2024</t>
        </is>
      </c>
      <c r="B1797" s="1" t="n">
        <v>45622</v>
      </c>
      <c r="C1797" s="1" t="n">
        <v>45895</v>
      </c>
      <c r="D1797" t="inlineStr">
        <is>
          <t>NORRBOTTENS LÄN</t>
        </is>
      </c>
      <c r="E1797" t="inlineStr">
        <is>
          <t>ARVIDSJAUR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58306-2024</t>
        </is>
      </c>
      <c r="B1798" s="1" t="n">
        <v>45632</v>
      </c>
      <c r="C1798" s="1" t="n">
        <v>45895</v>
      </c>
      <c r="D1798" t="inlineStr">
        <is>
          <t>NORRBOTTENS LÄN</t>
        </is>
      </c>
      <c r="E1798" t="inlineStr">
        <is>
          <t>ÖVERTORNEÅ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63944-2020</t>
        </is>
      </c>
      <c r="B1799" s="1" t="n">
        <v>44165</v>
      </c>
      <c r="C1799" s="1" t="n">
        <v>45895</v>
      </c>
      <c r="D1799" t="inlineStr">
        <is>
          <t>NORRBOTTENS LÄN</t>
        </is>
      </c>
      <c r="E1799" t="inlineStr">
        <is>
          <t>KALIX</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8150-2025</t>
        </is>
      </c>
      <c r="B1800" s="1" t="n">
        <v>45708</v>
      </c>
      <c r="C1800" s="1" t="n">
        <v>45895</v>
      </c>
      <c r="D1800" t="inlineStr">
        <is>
          <t>NORRBOTTENS LÄN</t>
        </is>
      </c>
      <c r="E1800" t="inlineStr">
        <is>
          <t>BODEN</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73216-2021</t>
        </is>
      </c>
      <c r="B1801" s="1" t="n">
        <v>44547</v>
      </c>
      <c r="C1801" s="1" t="n">
        <v>45895</v>
      </c>
      <c r="D1801" t="inlineStr">
        <is>
          <t>NORRBOTTENS LÄN</t>
        </is>
      </c>
      <c r="E1801" t="inlineStr">
        <is>
          <t>ÖVERKALIX</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39346-2022</t>
        </is>
      </c>
      <c r="B1802" s="1" t="n">
        <v>44817.83398148148</v>
      </c>
      <c r="C1802" s="1" t="n">
        <v>45895</v>
      </c>
      <c r="D1802" t="inlineStr">
        <is>
          <t>NORRBOTTENS LÄN</t>
        </is>
      </c>
      <c r="E1802" t="inlineStr">
        <is>
          <t>PITEÅ</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39347-2022</t>
        </is>
      </c>
      <c r="B1803" s="1" t="n">
        <v>44817.83875</v>
      </c>
      <c r="C1803" s="1" t="n">
        <v>45895</v>
      </c>
      <c r="D1803" t="inlineStr">
        <is>
          <t>NORRBOTTENS LÄN</t>
        </is>
      </c>
      <c r="E1803" t="inlineStr">
        <is>
          <t>PITEÅ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40836-2021</t>
        </is>
      </c>
      <c r="B1804" s="1" t="n">
        <v>44421</v>
      </c>
      <c r="C1804" s="1" t="n">
        <v>45895</v>
      </c>
      <c r="D1804" t="inlineStr">
        <is>
          <t>NORRBOTTENS LÄN</t>
        </is>
      </c>
      <c r="E1804" t="inlineStr">
        <is>
          <t>ARVIDSJAUR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42103-2024</t>
        </is>
      </c>
      <c r="B1805" s="1" t="n">
        <v>45562</v>
      </c>
      <c r="C1805" s="1" t="n">
        <v>45895</v>
      </c>
      <c r="D1805" t="inlineStr">
        <is>
          <t>NORRBOTTENS LÄN</t>
        </is>
      </c>
      <c r="E1805" t="inlineStr">
        <is>
          <t>LULEÅ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19541-2024</t>
        </is>
      </c>
      <c r="B1806" s="1" t="n">
        <v>45429</v>
      </c>
      <c r="C1806" s="1" t="n">
        <v>45895</v>
      </c>
      <c r="D1806" t="inlineStr">
        <is>
          <t>NORRBOTTENS LÄN</t>
        </is>
      </c>
      <c r="E1806" t="inlineStr">
        <is>
          <t>ÖVERKALIX</t>
        </is>
      </c>
      <c r="F1806" t="inlineStr">
        <is>
          <t>Sveaskog</t>
        </is>
      </c>
      <c r="G1806" t="n">
        <v>22.7</v>
      </c>
      <c r="H1806" t="n">
        <v>0</v>
      </c>
      <c r="I1806" t="n">
        <v>0</v>
      </c>
      <c r="J1806" t="n">
        <v>0</v>
      </c>
      <c r="K1806" t="n">
        <v>0</v>
      </c>
      <c r="L1806" t="n">
        <v>0</v>
      </c>
      <c r="M1806" t="n">
        <v>0</v>
      </c>
      <c r="N1806" t="n">
        <v>0</v>
      </c>
      <c r="O1806" t="n">
        <v>0</v>
      </c>
      <c r="P1806" t="n">
        <v>0</v>
      </c>
      <c r="Q1806" t="n">
        <v>0</v>
      </c>
      <c r="R1806" s="2" t="inlineStr"/>
    </row>
    <row r="1807" ht="15" customHeight="1">
      <c r="A1807" t="inlineStr">
        <is>
          <t>A 34424-2023</t>
        </is>
      </c>
      <c r="B1807" s="1" t="n">
        <v>45139.60627314815</v>
      </c>
      <c r="C1807" s="1" t="n">
        <v>45895</v>
      </c>
      <c r="D1807" t="inlineStr">
        <is>
          <t>NORRBOTTENS LÄN</t>
        </is>
      </c>
      <c r="E1807" t="inlineStr">
        <is>
          <t>PITEÅ</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60537-2022</t>
        </is>
      </c>
      <c r="B1808" s="1" t="n">
        <v>44904</v>
      </c>
      <c r="C1808" s="1" t="n">
        <v>45895</v>
      </c>
      <c r="D1808" t="inlineStr">
        <is>
          <t>NORRBOTTENS LÄN</t>
        </is>
      </c>
      <c r="E1808" t="inlineStr">
        <is>
          <t>ÖVERTORNEÅ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46843-2022</t>
        </is>
      </c>
      <c r="B1809" s="1" t="n">
        <v>44848</v>
      </c>
      <c r="C1809" s="1" t="n">
        <v>45895</v>
      </c>
      <c r="D1809" t="inlineStr">
        <is>
          <t>NORRBOTTENS LÄN</t>
        </is>
      </c>
      <c r="E1809" t="inlineStr">
        <is>
          <t>PITEÅ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57939-2023</t>
        </is>
      </c>
      <c r="B1810" s="1" t="n">
        <v>45247</v>
      </c>
      <c r="C1810" s="1" t="n">
        <v>45895</v>
      </c>
      <c r="D1810" t="inlineStr">
        <is>
          <t>NORRBOTTENS LÄN</t>
        </is>
      </c>
      <c r="E1810" t="inlineStr">
        <is>
          <t>KALIX</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58064-2023</t>
        </is>
      </c>
      <c r="B1811" s="1" t="n">
        <v>45247</v>
      </c>
      <c r="C1811" s="1" t="n">
        <v>45895</v>
      </c>
      <c r="D1811" t="inlineStr">
        <is>
          <t>NORRBOTTENS LÄN</t>
        </is>
      </c>
      <c r="E1811" t="inlineStr">
        <is>
          <t>PITEÅ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42496-2024</t>
        </is>
      </c>
      <c r="B1812" s="1" t="n">
        <v>45565.49769675926</v>
      </c>
      <c r="C1812" s="1" t="n">
        <v>45895</v>
      </c>
      <c r="D1812" t="inlineStr">
        <is>
          <t>NORRBOTTENS LÄN</t>
        </is>
      </c>
      <c r="E1812" t="inlineStr">
        <is>
          <t>LULEÅ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1078-2025</t>
        </is>
      </c>
      <c r="B1813" s="1" t="n">
        <v>45665</v>
      </c>
      <c r="C1813" s="1" t="n">
        <v>45895</v>
      </c>
      <c r="D1813" t="inlineStr">
        <is>
          <t>NORRBOTTENS LÄN</t>
        </is>
      </c>
      <c r="E1813" t="inlineStr">
        <is>
          <t>PAJALA</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44897-2024</t>
        </is>
      </c>
      <c r="B1814" s="1" t="n">
        <v>45575.36655092592</v>
      </c>
      <c r="C1814" s="1" t="n">
        <v>45895</v>
      </c>
      <c r="D1814" t="inlineStr">
        <is>
          <t>NORRBOTTENS LÄN</t>
        </is>
      </c>
      <c r="E1814" t="inlineStr">
        <is>
          <t>KALIX</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2444-2021</t>
        </is>
      </c>
      <c r="B1815" s="1" t="n">
        <v>44211</v>
      </c>
      <c r="C1815" s="1" t="n">
        <v>45895</v>
      </c>
      <c r="D1815" t="inlineStr">
        <is>
          <t>NORRBOTTENS LÄN</t>
        </is>
      </c>
      <c r="E1815" t="inlineStr">
        <is>
          <t>BODEN</t>
        </is>
      </c>
      <c r="G1815" t="n">
        <v>16.4</v>
      </c>
      <c r="H1815" t="n">
        <v>0</v>
      </c>
      <c r="I1815" t="n">
        <v>0</v>
      </c>
      <c r="J1815" t="n">
        <v>0</v>
      </c>
      <c r="K1815" t="n">
        <v>0</v>
      </c>
      <c r="L1815" t="n">
        <v>0</v>
      </c>
      <c r="M1815" t="n">
        <v>0</v>
      </c>
      <c r="N1815" t="n">
        <v>0</v>
      </c>
      <c r="O1815" t="n">
        <v>0</v>
      </c>
      <c r="P1815" t="n">
        <v>0</v>
      </c>
      <c r="Q1815" t="n">
        <v>0</v>
      </c>
      <c r="R1815" s="2" t="inlineStr"/>
    </row>
    <row r="1816" ht="15" customHeight="1">
      <c r="A1816" t="inlineStr">
        <is>
          <t>A 37935-2024</t>
        </is>
      </c>
      <c r="B1816" s="1" t="n">
        <v>45544</v>
      </c>
      <c r="C1816" s="1" t="n">
        <v>45895</v>
      </c>
      <c r="D1816" t="inlineStr">
        <is>
          <t>NORRBOTTENS LÄN</t>
        </is>
      </c>
      <c r="E1816" t="inlineStr">
        <is>
          <t>LULEÅ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37993-2024</t>
        </is>
      </c>
      <c r="B1817" s="1" t="n">
        <v>45544.59535879629</v>
      </c>
      <c r="C1817" s="1" t="n">
        <v>45895</v>
      </c>
      <c r="D1817" t="inlineStr">
        <is>
          <t>NORRBOTTENS LÄN</t>
        </is>
      </c>
      <c r="E1817" t="inlineStr">
        <is>
          <t>BODEN</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33751-2021</t>
        </is>
      </c>
      <c r="B1818" s="1" t="n">
        <v>44377</v>
      </c>
      <c r="C1818" s="1" t="n">
        <v>45895</v>
      </c>
      <c r="D1818" t="inlineStr">
        <is>
          <t>NORRBOTTENS LÄN</t>
        </is>
      </c>
      <c r="E1818" t="inlineStr">
        <is>
          <t>KALIX</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3006-2024</t>
        </is>
      </c>
      <c r="B1819" s="1" t="n">
        <v>45315</v>
      </c>
      <c r="C1819" s="1" t="n">
        <v>45895</v>
      </c>
      <c r="D1819" t="inlineStr">
        <is>
          <t>NORRBOTTENS LÄN</t>
        </is>
      </c>
      <c r="E1819" t="inlineStr">
        <is>
          <t>ARJEPLOG</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24052-2023</t>
        </is>
      </c>
      <c r="B1820" s="1" t="n">
        <v>45078</v>
      </c>
      <c r="C1820" s="1" t="n">
        <v>45895</v>
      </c>
      <c r="D1820" t="inlineStr">
        <is>
          <t>NORRBOTTENS LÄN</t>
        </is>
      </c>
      <c r="E1820" t="inlineStr">
        <is>
          <t>JOKKMOKK</t>
        </is>
      </c>
      <c r="F1820" t="inlineStr">
        <is>
          <t>Naturvårdsverket</t>
        </is>
      </c>
      <c r="G1820" t="n">
        <v>58.1</v>
      </c>
      <c r="H1820" t="n">
        <v>0</v>
      </c>
      <c r="I1820" t="n">
        <v>0</v>
      </c>
      <c r="J1820" t="n">
        <v>0</v>
      </c>
      <c r="K1820" t="n">
        <v>0</v>
      </c>
      <c r="L1820" t="n">
        <v>0</v>
      </c>
      <c r="M1820" t="n">
        <v>0</v>
      </c>
      <c r="N1820" t="n">
        <v>0</v>
      </c>
      <c r="O1820" t="n">
        <v>0</v>
      </c>
      <c r="P1820" t="n">
        <v>0</v>
      </c>
      <c r="Q1820" t="n">
        <v>0</v>
      </c>
      <c r="R1820" s="2" t="inlineStr"/>
    </row>
    <row r="1821" ht="15" customHeight="1">
      <c r="A1821" t="inlineStr">
        <is>
          <t>A 21597-2024</t>
        </is>
      </c>
      <c r="B1821" s="1" t="n">
        <v>45441.9291087963</v>
      </c>
      <c r="C1821" s="1" t="n">
        <v>45895</v>
      </c>
      <c r="D1821" t="inlineStr">
        <is>
          <t>NORRBOTTENS LÄN</t>
        </is>
      </c>
      <c r="E1821" t="inlineStr">
        <is>
          <t>LULEÅ</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22726-2021</t>
        </is>
      </c>
      <c r="B1822" s="1" t="n">
        <v>44327</v>
      </c>
      <c r="C1822" s="1" t="n">
        <v>45895</v>
      </c>
      <c r="D1822" t="inlineStr">
        <is>
          <t>NORRBOTTENS LÄN</t>
        </is>
      </c>
      <c r="E1822" t="inlineStr">
        <is>
          <t>ÖVERTORNEÅ</t>
        </is>
      </c>
      <c r="G1822" t="n">
        <v>20.2</v>
      </c>
      <c r="H1822" t="n">
        <v>0</v>
      </c>
      <c r="I1822" t="n">
        <v>0</v>
      </c>
      <c r="J1822" t="n">
        <v>0</v>
      </c>
      <c r="K1822" t="n">
        <v>0</v>
      </c>
      <c r="L1822" t="n">
        <v>0</v>
      </c>
      <c r="M1822" t="n">
        <v>0</v>
      </c>
      <c r="N1822" t="n">
        <v>0</v>
      </c>
      <c r="O1822" t="n">
        <v>0</v>
      </c>
      <c r="P1822" t="n">
        <v>0</v>
      </c>
      <c r="Q1822" t="n">
        <v>0</v>
      </c>
      <c r="R1822" s="2" t="inlineStr"/>
    </row>
    <row r="1823" ht="15" customHeight="1">
      <c r="A1823" t="inlineStr">
        <is>
          <t>A 45302-2024</t>
        </is>
      </c>
      <c r="B1823" s="1" t="n">
        <v>45576</v>
      </c>
      <c r="C1823" s="1" t="n">
        <v>45895</v>
      </c>
      <c r="D1823" t="inlineStr">
        <is>
          <t>NORRBOTTENS LÄN</t>
        </is>
      </c>
      <c r="E1823" t="inlineStr">
        <is>
          <t>ÄLVSBYN</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20125-2025</t>
        </is>
      </c>
      <c r="B1824" s="1" t="n">
        <v>45772.49487268519</v>
      </c>
      <c r="C1824" s="1" t="n">
        <v>45895</v>
      </c>
      <c r="D1824" t="inlineStr">
        <is>
          <t>NORRBOTTENS LÄN</t>
        </is>
      </c>
      <c r="E1824" t="inlineStr">
        <is>
          <t>KALIX</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45767-2023</t>
        </is>
      </c>
      <c r="B1825" s="1" t="n">
        <v>45189</v>
      </c>
      <c r="C1825" s="1" t="n">
        <v>45895</v>
      </c>
      <c r="D1825" t="inlineStr">
        <is>
          <t>NORRBOTTENS LÄN</t>
        </is>
      </c>
      <c r="E1825" t="inlineStr">
        <is>
          <t>ÖVERKALIX</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14849-2021</t>
        </is>
      </c>
      <c r="B1826" s="1" t="n">
        <v>44280.9359375</v>
      </c>
      <c r="C1826" s="1" t="n">
        <v>45895</v>
      </c>
      <c r="D1826" t="inlineStr">
        <is>
          <t>NORRBOTTENS LÄN</t>
        </is>
      </c>
      <c r="E1826" t="inlineStr">
        <is>
          <t>PITEÅ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7283-2025</t>
        </is>
      </c>
      <c r="B1827" s="1" t="n">
        <v>45702.63587962963</v>
      </c>
      <c r="C1827" s="1" t="n">
        <v>45895</v>
      </c>
      <c r="D1827" t="inlineStr">
        <is>
          <t>NORRBOTTENS LÄN</t>
        </is>
      </c>
      <c r="E1827" t="inlineStr">
        <is>
          <t>BODEN</t>
        </is>
      </c>
      <c r="F1827" t="inlineStr">
        <is>
          <t>SCA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30289-2023</t>
        </is>
      </c>
      <c r="B1828" s="1" t="n">
        <v>45110</v>
      </c>
      <c r="C1828" s="1" t="n">
        <v>45895</v>
      </c>
      <c r="D1828" t="inlineStr">
        <is>
          <t>NORRBOTTENS LÄN</t>
        </is>
      </c>
      <c r="E1828" t="inlineStr">
        <is>
          <t>LULEÅ</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26962-2023</t>
        </is>
      </c>
      <c r="B1829" s="1" t="n">
        <v>45093</v>
      </c>
      <c r="C1829" s="1" t="n">
        <v>45895</v>
      </c>
      <c r="D1829" t="inlineStr">
        <is>
          <t>NORRBOTTENS LÄN</t>
        </is>
      </c>
      <c r="E1829" t="inlineStr">
        <is>
          <t>JOKKMOKK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61761-2023</t>
        </is>
      </c>
      <c r="B1830" s="1" t="n">
        <v>45265</v>
      </c>
      <c r="C1830" s="1" t="n">
        <v>45895</v>
      </c>
      <c r="D1830" t="inlineStr">
        <is>
          <t>NORRBOTTENS LÄN</t>
        </is>
      </c>
      <c r="E1830" t="inlineStr">
        <is>
          <t>PAJALA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55195-2022</t>
        </is>
      </c>
      <c r="B1831" s="1" t="n">
        <v>44886</v>
      </c>
      <c r="C1831" s="1" t="n">
        <v>45895</v>
      </c>
      <c r="D1831" t="inlineStr">
        <is>
          <t>NORRBOTTENS LÄN</t>
        </is>
      </c>
      <c r="E1831" t="inlineStr">
        <is>
          <t>LULEÅ</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17205-2024</t>
        </is>
      </c>
      <c r="B1832" s="1" t="n">
        <v>45413.65241898148</v>
      </c>
      <c r="C1832" s="1" t="n">
        <v>45895</v>
      </c>
      <c r="D1832" t="inlineStr">
        <is>
          <t>NORRBOTTENS LÄN</t>
        </is>
      </c>
      <c r="E1832" t="inlineStr">
        <is>
          <t>GÄLLIVARE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46765-2023</t>
        </is>
      </c>
      <c r="B1833" s="1" t="n">
        <v>45198.62413194445</v>
      </c>
      <c r="C1833" s="1" t="n">
        <v>45895</v>
      </c>
      <c r="D1833" t="inlineStr">
        <is>
          <t>NORRBOTTENS LÄN</t>
        </is>
      </c>
      <c r="E1833" t="inlineStr">
        <is>
          <t>KALIX</t>
        </is>
      </c>
      <c r="F1833" t="inlineStr">
        <is>
          <t>Sveaskog</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12023-2025</t>
        </is>
      </c>
      <c r="B1834" s="1" t="n">
        <v>45728</v>
      </c>
      <c r="C1834" s="1" t="n">
        <v>45895</v>
      </c>
      <c r="D1834" t="inlineStr">
        <is>
          <t>NORRBOTTENS LÄN</t>
        </is>
      </c>
      <c r="E1834" t="inlineStr">
        <is>
          <t>ARVIDSJAUR</t>
        </is>
      </c>
      <c r="F1834" t="inlineStr">
        <is>
          <t>Allmännings- och besparingsskogar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52280-2021</t>
        </is>
      </c>
      <c r="B1835" s="1" t="n">
        <v>44462</v>
      </c>
      <c r="C1835" s="1" t="n">
        <v>45895</v>
      </c>
      <c r="D1835" t="inlineStr">
        <is>
          <t>NORRBOTTENS LÄN</t>
        </is>
      </c>
      <c r="E1835" t="inlineStr">
        <is>
          <t>JOKKMOKK</t>
        </is>
      </c>
      <c r="F1835" t="inlineStr">
        <is>
          <t>Övriga statliga verk och myndigheter</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20558-2025</t>
        </is>
      </c>
      <c r="B1836" s="1" t="n">
        <v>45775</v>
      </c>
      <c r="C1836" s="1" t="n">
        <v>45895</v>
      </c>
      <c r="D1836" t="inlineStr">
        <is>
          <t>NORRBOTTENS LÄN</t>
        </is>
      </c>
      <c r="E1836" t="inlineStr">
        <is>
          <t>KIRUNA</t>
        </is>
      </c>
      <c r="G1836" t="n">
        <v>23.3</v>
      </c>
      <c r="H1836" t="n">
        <v>0</v>
      </c>
      <c r="I1836" t="n">
        <v>0</v>
      </c>
      <c r="J1836" t="n">
        <v>0</v>
      </c>
      <c r="K1836" t="n">
        <v>0</v>
      </c>
      <c r="L1836" t="n">
        <v>0</v>
      </c>
      <c r="M1836" t="n">
        <v>0</v>
      </c>
      <c r="N1836" t="n">
        <v>0</v>
      </c>
      <c r="O1836" t="n">
        <v>0</v>
      </c>
      <c r="P1836" t="n">
        <v>0</v>
      </c>
      <c r="Q1836" t="n">
        <v>0</v>
      </c>
      <c r="R1836" s="2" t="inlineStr"/>
    </row>
    <row r="1837" ht="15" customHeight="1">
      <c r="A1837" t="inlineStr">
        <is>
          <t>A 61912-2024</t>
        </is>
      </c>
      <c r="B1837" s="1" t="n">
        <v>45653.38663194444</v>
      </c>
      <c r="C1837" s="1" t="n">
        <v>45895</v>
      </c>
      <c r="D1837" t="inlineStr">
        <is>
          <t>NORRBOTTENS LÄN</t>
        </is>
      </c>
      <c r="E1837" t="inlineStr">
        <is>
          <t>PITEÅ</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61720-2023</t>
        </is>
      </c>
      <c r="B1838" s="1" t="n">
        <v>45265</v>
      </c>
      <c r="C1838" s="1" t="n">
        <v>45895</v>
      </c>
      <c r="D1838" t="inlineStr">
        <is>
          <t>NORRBOTTENS LÄN</t>
        </is>
      </c>
      <c r="E1838" t="inlineStr">
        <is>
          <t>KALIX</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50310-2024</t>
        </is>
      </c>
      <c r="B1839" s="1" t="n">
        <v>45600</v>
      </c>
      <c r="C1839" s="1" t="n">
        <v>45895</v>
      </c>
      <c r="D1839" t="inlineStr">
        <is>
          <t>NORRBOTTENS LÄN</t>
        </is>
      </c>
      <c r="E1839" t="inlineStr">
        <is>
          <t>ÄLVSBYN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38941-2024</t>
        </is>
      </c>
      <c r="B1840" s="1" t="n">
        <v>45548</v>
      </c>
      <c r="C1840" s="1" t="n">
        <v>45895</v>
      </c>
      <c r="D1840" t="inlineStr">
        <is>
          <t>NORRBOTTENS LÄN</t>
        </is>
      </c>
      <c r="E1840" t="inlineStr">
        <is>
          <t>ÖVERKALIX</t>
        </is>
      </c>
      <c r="F1840" t="inlineStr">
        <is>
          <t>SCA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14449-2025</t>
        </is>
      </c>
      <c r="B1841" s="1" t="n">
        <v>45741</v>
      </c>
      <c r="C1841" s="1" t="n">
        <v>45895</v>
      </c>
      <c r="D1841" t="inlineStr">
        <is>
          <t>NORRBOTTENS LÄN</t>
        </is>
      </c>
      <c r="E1841" t="inlineStr">
        <is>
          <t>ÄLVSBYN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19329-2025</t>
        </is>
      </c>
      <c r="B1842" s="1" t="n">
        <v>45769</v>
      </c>
      <c r="C1842" s="1" t="n">
        <v>45895</v>
      </c>
      <c r="D1842" t="inlineStr">
        <is>
          <t>NORRBOTTENS LÄN</t>
        </is>
      </c>
      <c r="E1842" t="inlineStr">
        <is>
          <t>PITEÅ</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19376-2025</t>
        </is>
      </c>
      <c r="B1843" s="1" t="n">
        <v>45769.64806712963</v>
      </c>
      <c r="C1843" s="1" t="n">
        <v>45895</v>
      </c>
      <c r="D1843" t="inlineStr">
        <is>
          <t>NORRBOTTENS LÄN</t>
        </is>
      </c>
      <c r="E1843" t="inlineStr">
        <is>
          <t>PITEÅ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806-2025</t>
        </is>
      </c>
      <c r="B1844" s="1" t="n">
        <v>45664</v>
      </c>
      <c r="C1844" s="1" t="n">
        <v>45895</v>
      </c>
      <c r="D1844" t="inlineStr">
        <is>
          <t>NORRBOTTENS LÄN</t>
        </is>
      </c>
      <c r="E1844" t="inlineStr">
        <is>
          <t>LULEÅ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19047-2024</t>
        </is>
      </c>
      <c r="B1845" s="1" t="n">
        <v>45427.74662037037</v>
      </c>
      <c r="C1845" s="1" t="n">
        <v>45895</v>
      </c>
      <c r="D1845" t="inlineStr">
        <is>
          <t>NORRBOTTENS LÄN</t>
        </is>
      </c>
      <c r="E1845" t="inlineStr">
        <is>
          <t>PAJALA</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64872-2023</t>
        </is>
      </c>
      <c r="B1846" s="1" t="n">
        <v>45282</v>
      </c>
      <c r="C1846" s="1" t="n">
        <v>45895</v>
      </c>
      <c r="D1846" t="inlineStr">
        <is>
          <t>NORRBOTTENS LÄN</t>
        </is>
      </c>
      <c r="E1846" t="inlineStr">
        <is>
          <t>ÄLVSBYN</t>
        </is>
      </c>
      <c r="F1846" t="inlineStr">
        <is>
          <t>Övriga Aktiebolag</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2691-2023</t>
        </is>
      </c>
      <c r="B1847" s="1" t="n">
        <v>44944.47784722222</v>
      </c>
      <c r="C1847" s="1" t="n">
        <v>45895</v>
      </c>
      <c r="D1847" t="inlineStr">
        <is>
          <t>NORRBOTTENS LÄN</t>
        </is>
      </c>
      <c r="E1847" t="inlineStr">
        <is>
          <t>PITEÅ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50705-2023</t>
        </is>
      </c>
      <c r="B1848" s="1" t="n">
        <v>45210</v>
      </c>
      <c r="C1848" s="1" t="n">
        <v>45895</v>
      </c>
      <c r="D1848" t="inlineStr">
        <is>
          <t>NORRBOTTENS LÄN</t>
        </is>
      </c>
      <c r="E1848" t="inlineStr">
        <is>
          <t>PAJALA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48614-2024</t>
        </is>
      </c>
      <c r="B1849" s="1" t="n">
        <v>45593</v>
      </c>
      <c r="C1849" s="1" t="n">
        <v>45895</v>
      </c>
      <c r="D1849" t="inlineStr">
        <is>
          <t>NORRBOTTENS LÄN</t>
        </is>
      </c>
      <c r="E1849" t="inlineStr">
        <is>
          <t>ARVIDSJAUR</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9152-2025</t>
        </is>
      </c>
      <c r="B1850" s="1" t="n">
        <v>45714.34454861111</v>
      </c>
      <c r="C1850" s="1" t="n">
        <v>45895</v>
      </c>
      <c r="D1850" t="inlineStr">
        <is>
          <t>NORRBOTTENS LÄN</t>
        </is>
      </c>
      <c r="E1850" t="inlineStr">
        <is>
          <t>PITEÅ</t>
        </is>
      </c>
      <c r="G1850" t="n">
        <v>14.9</v>
      </c>
      <c r="H1850" t="n">
        <v>0</v>
      </c>
      <c r="I1850" t="n">
        <v>0</v>
      </c>
      <c r="J1850" t="n">
        <v>0</v>
      </c>
      <c r="K1850" t="n">
        <v>0</v>
      </c>
      <c r="L1850" t="n">
        <v>0</v>
      </c>
      <c r="M1850" t="n">
        <v>0</v>
      </c>
      <c r="N1850" t="n">
        <v>0</v>
      </c>
      <c r="O1850" t="n">
        <v>0</v>
      </c>
      <c r="P1850" t="n">
        <v>0</v>
      </c>
      <c r="Q1850" t="n">
        <v>0</v>
      </c>
      <c r="R1850" s="2" t="inlineStr"/>
    </row>
    <row r="1851" ht="15" customHeight="1">
      <c r="A1851" t="inlineStr">
        <is>
          <t>A 11535-2024</t>
        </is>
      </c>
      <c r="B1851" s="1" t="n">
        <v>45372.92877314815</v>
      </c>
      <c r="C1851" s="1" t="n">
        <v>45895</v>
      </c>
      <c r="D1851" t="inlineStr">
        <is>
          <t>NORRBOTTENS LÄN</t>
        </is>
      </c>
      <c r="E1851" t="inlineStr">
        <is>
          <t>ÖVERKALIX</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61509-2023</t>
        </is>
      </c>
      <c r="B1852" s="1" t="n">
        <v>45265.27829861111</v>
      </c>
      <c r="C1852" s="1" t="n">
        <v>45895</v>
      </c>
      <c r="D1852" t="inlineStr">
        <is>
          <t>NORRBOTTENS LÄN</t>
        </is>
      </c>
      <c r="E1852" t="inlineStr">
        <is>
          <t>BODEN</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33761-2024</t>
        </is>
      </c>
      <c r="B1853" s="1" t="n">
        <v>45520.56951388889</v>
      </c>
      <c r="C1853" s="1" t="n">
        <v>45895</v>
      </c>
      <c r="D1853" t="inlineStr">
        <is>
          <t>NORRBOTTENS LÄN</t>
        </is>
      </c>
      <c r="E1853" t="inlineStr">
        <is>
          <t>ÖVERKALIX</t>
        </is>
      </c>
      <c r="F1853" t="inlineStr">
        <is>
          <t>Sveaskog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60488-2023</t>
        </is>
      </c>
      <c r="B1854" s="1" t="n">
        <v>45259.6208912037</v>
      </c>
      <c r="C1854" s="1" t="n">
        <v>45895</v>
      </c>
      <c r="D1854" t="inlineStr">
        <is>
          <t>NORRBOTTENS LÄN</t>
        </is>
      </c>
      <c r="E1854" t="inlineStr">
        <is>
          <t>KALIX</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19048-2025</t>
        </is>
      </c>
      <c r="B1855" s="1" t="n">
        <v>45764</v>
      </c>
      <c r="C1855" s="1" t="n">
        <v>45895</v>
      </c>
      <c r="D1855" t="inlineStr">
        <is>
          <t>NORRBOTTENS LÄN</t>
        </is>
      </c>
      <c r="E1855" t="inlineStr">
        <is>
          <t>BODEN</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19050-2025</t>
        </is>
      </c>
      <c r="B1856" s="1" t="n">
        <v>45764</v>
      </c>
      <c r="C1856" s="1" t="n">
        <v>45895</v>
      </c>
      <c r="D1856" t="inlineStr">
        <is>
          <t>NORRBOTTENS LÄN</t>
        </is>
      </c>
      <c r="E1856" t="inlineStr">
        <is>
          <t>BODEN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41293-2024</t>
        </is>
      </c>
      <c r="B1857" s="1" t="n">
        <v>45559</v>
      </c>
      <c r="C1857" s="1" t="n">
        <v>45895</v>
      </c>
      <c r="D1857" t="inlineStr">
        <is>
          <t>NORRBOTTENS LÄN</t>
        </is>
      </c>
      <c r="E1857" t="inlineStr">
        <is>
          <t>ÖVERTORNEÅ</t>
        </is>
      </c>
      <c r="F1857" t="inlineStr">
        <is>
          <t>Sveaskog</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59849-2021</t>
        </is>
      </c>
      <c r="B1858" s="1" t="n">
        <v>44493</v>
      </c>
      <c r="C1858" s="1" t="n">
        <v>45895</v>
      </c>
      <c r="D1858" t="inlineStr">
        <is>
          <t>NORRBOTTENS LÄN</t>
        </is>
      </c>
      <c r="E1858" t="inlineStr">
        <is>
          <t>JOKKMOKK</t>
        </is>
      </c>
      <c r="F1858" t="inlineStr">
        <is>
          <t>Övriga Aktiebolag</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55845-2022</t>
        </is>
      </c>
      <c r="B1859" s="1" t="n">
        <v>44888</v>
      </c>
      <c r="C1859" s="1" t="n">
        <v>45895</v>
      </c>
      <c r="D1859" t="inlineStr">
        <is>
          <t>NORRBOTTENS LÄN</t>
        </is>
      </c>
      <c r="E1859" t="inlineStr">
        <is>
          <t>PITEÅ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61762-2024</t>
        </is>
      </c>
      <c r="B1860" s="1" t="n">
        <v>45649</v>
      </c>
      <c r="C1860" s="1" t="n">
        <v>45895</v>
      </c>
      <c r="D1860" t="inlineStr">
        <is>
          <t>NORRBOTTENS LÄN</t>
        </is>
      </c>
      <c r="E1860" t="inlineStr">
        <is>
          <t>JOKKMOKK</t>
        </is>
      </c>
      <c r="F1860" t="inlineStr">
        <is>
          <t>Övriga statliga verk och myndigheter</t>
        </is>
      </c>
      <c r="G1860" t="n">
        <v>15.4</v>
      </c>
      <c r="H1860" t="n">
        <v>0</v>
      </c>
      <c r="I1860" t="n">
        <v>0</v>
      </c>
      <c r="J1860" t="n">
        <v>0</v>
      </c>
      <c r="K1860" t="n">
        <v>0</v>
      </c>
      <c r="L1860" t="n">
        <v>0</v>
      </c>
      <c r="M1860" t="n">
        <v>0</v>
      </c>
      <c r="N1860" t="n">
        <v>0</v>
      </c>
      <c r="O1860" t="n">
        <v>0</v>
      </c>
      <c r="P1860" t="n">
        <v>0</v>
      </c>
      <c r="Q1860" t="n">
        <v>0</v>
      </c>
      <c r="R1860" s="2" t="inlineStr"/>
    </row>
    <row r="1861" ht="15" customHeight="1">
      <c r="A1861" t="inlineStr">
        <is>
          <t>A 61768-2024</t>
        </is>
      </c>
      <c r="B1861" s="1" t="n">
        <v>45649.45255787037</v>
      </c>
      <c r="C1861" s="1" t="n">
        <v>45895</v>
      </c>
      <c r="D1861" t="inlineStr">
        <is>
          <t>NORRBOTTENS LÄN</t>
        </is>
      </c>
      <c r="E1861" t="inlineStr">
        <is>
          <t>BODEN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36764-2024</t>
        </is>
      </c>
      <c r="B1862" s="1" t="n">
        <v>45538</v>
      </c>
      <c r="C1862" s="1" t="n">
        <v>45895</v>
      </c>
      <c r="D1862" t="inlineStr">
        <is>
          <t>NORRBOTTENS LÄN</t>
        </is>
      </c>
      <c r="E1862" t="inlineStr">
        <is>
          <t>ARVIDSJAUR</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30305-2024</t>
        </is>
      </c>
      <c r="B1863" s="1" t="n">
        <v>45490</v>
      </c>
      <c r="C1863" s="1" t="n">
        <v>45895</v>
      </c>
      <c r="D1863" t="inlineStr">
        <is>
          <t>NORRBOTTENS LÄN</t>
        </is>
      </c>
      <c r="E1863" t="inlineStr">
        <is>
          <t>JOKKMOKK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30308-2024</t>
        </is>
      </c>
      <c r="B1864" s="1" t="n">
        <v>45490</v>
      </c>
      <c r="C1864" s="1" t="n">
        <v>45895</v>
      </c>
      <c r="D1864" t="inlineStr">
        <is>
          <t>NORRBOTTENS LÄN</t>
        </is>
      </c>
      <c r="E1864" t="inlineStr">
        <is>
          <t>JOKKMOKK</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30310-2024</t>
        </is>
      </c>
      <c r="B1865" s="1" t="n">
        <v>45490</v>
      </c>
      <c r="C1865" s="1" t="n">
        <v>45895</v>
      </c>
      <c r="D1865" t="inlineStr">
        <is>
          <t>NORRBOTTENS LÄN</t>
        </is>
      </c>
      <c r="E1865" t="inlineStr">
        <is>
          <t>JOKKMOKK</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30312-2024</t>
        </is>
      </c>
      <c r="B1866" s="1" t="n">
        <v>45490</v>
      </c>
      <c r="C1866" s="1" t="n">
        <v>45895</v>
      </c>
      <c r="D1866" t="inlineStr">
        <is>
          <t>NORRBOTTENS LÄN</t>
        </is>
      </c>
      <c r="E1866" t="inlineStr">
        <is>
          <t>JOKKMOKK</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69886-2021</t>
        </is>
      </c>
      <c r="B1867" s="1" t="n">
        <v>44532.91938657407</v>
      </c>
      <c r="C1867" s="1" t="n">
        <v>45895</v>
      </c>
      <c r="D1867" t="inlineStr">
        <is>
          <t>NORRBOTTENS LÄN</t>
        </is>
      </c>
      <c r="E1867" t="inlineStr">
        <is>
          <t>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69898-2021</t>
        </is>
      </c>
      <c r="B1868" s="1" t="n">
        <v>44532</v>
      </c>
      <c r="C1868" s="1" t="n">
        <v>45895</v>
      </c>
      <c r="D1868" t="inlineStr">
        <is>
          <t>NORRBOTTENS LÄN</t>
        </is>
      </c>
      <c r="E1868" t="inlineStr">
        <is>
          <t>ÖVERTORNEÅ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30299-2023</t>
        </is>
      </c>
      <c r="B1869" s="1" t="n">
        <v>45110</v>
      </c>
      <c r="C1869" s="1" t="n">
        <v>45895</v>
      </c>
      <c r="D1869" t="inlineStr">
        <is>
          <t>NORRBOTTENS LÄN</t>
        </is>
      </c>
      <c r="E1869" t="inlineStr">
        <is>
          <t>BODEN</t>
        </is>
      </c>
      <c r="F1869" t="inlineStr">
        <is>
          <t>SCA</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14680-2021</t>
        </is>
      </c>
      <c r="B1870" s="1" t="n">
        <v>44280.43743055555</v>
      </c>
      <c r="C1870" s="1" t="n">
        <v>45895</v>
      </c>
      <c r="D1870" t="inlineStr">
        <is>
          <t>NORRBOTTENS LÄN</t>
        </is>
      </c>
      <c r="E1870" t="inlineStr">
        <is>
          <t>HAPARANDA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54859-2023</t>
        </is>
      </c>
      <c r="B1871" s="1" t="n">
        <v>45229</v>
      </c>
      <c r="C1871" s="1" t="n">
        <v>45895</v>
      </c>
      <c r="D1871" t="inlineStr">
        <is>
          <t>NORRBOTTENS LÄN</t>
        </is>
      </c>
      <c r="E1871" t="inlineStr">
        <is>
          <t>PITEÅ</t>
        </is>
      </c>
      <c r="F1871" t="inlineStr">
        <is>
          <t>Kommuner</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13063-2024</t>
        </is>
      </c>
      <c r="B1872" s="1" t="n">
        <v>45385</v>
      </c>
      <c r="C1872" s="1" t="n">
        <v>45895</v>
      </c>
      <c r="D1872" t="inlineStr">
        <is>
          <t>NORRBOTTENS LÄN</t>
        </is>
      </c>
      <c r="E1872" t="inlineStr">
        <is>
          <t>LULEÅ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13065-2024</t>
        </is>
      </c>
      <c r="B1873" s="1" t="n">
        <v>45385</v>
      </c>
      <c r="C1873" s="1" t="n">
        <v>45895</v>
      </c>
      <c r="D1873" t="inlineStr">
        <is>
          <t>NORRBOTTENS LÄN</t>
        </is>
      </c>
      <c r="E1873" t="inlineStr">
        <is>
          <t>LULEÅ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19872-2024</t>
        </is>
      </c>
      <c r="B1874" s="1" t="n">
        <v>45433.45890046296</v>
      </c>
      <c r="C1874" s="1" t="n">
        <v>45895</v>
      </c>
      <c r="D1874" t="inlineStr">
        <is>
          <t>NORRBOTTENS LÄN</t>
        </is>
      </c>
      <c r="E1874" t="inlineStr">
        <is>
          <t>LULEÅ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53891-2024</t>
        </is>
      </c>
      <c r="B1875" s="1" t="n">
        <v>45614</v>
      </c>
      <c r="C1875" s="1" t="n">
        <v>45895</v>
      </c>
      <c r="D1875" t="inlineStr">
        <is>
          <t>NORRBOTTENS LÄN</t>
        </is>
      </c>
      <c r="E1875" t="inlineStr">
        <is>
          <t>GÄLLIVARE</t>
        </is>
      </c>
      <c r="F1875" t="inlineStr">
        <is>
          <t>Allmännings- och besparingsskogar</t>
        </is>
      </c>
      <c r="G1875" t="n">
        <v>27.3</v>
      </c>
      <c r="H1875" t="n">
        <v>0</v>
      </c>
      <c r="I1875" t="n">
        <v>0</v>
      </c>
      <c r="J1875" t="n">
        <v>0</v>
      </c>
      <c r="K1875" t="n">
        <v>0</v>
      </c>
      <c r="L1875" t="n">
        <v>0</v>
      </c>
      <c r="M1875" t="n">
        <v>0</v>
      </c>
      <c r="N1875" t="n">
        <v>0</v>
      </c>
      <c r="O1875" t="n">
        <v>0</v>
      </c>
      <c r="P1875" t="n">
        <v>0</v>
      </c>
      <c r="Q1875" t="n">
        <v>0</v>
      </c>
      <c r="R1875" s="2" t="inlineStr"/>
    </row>
    <row r="1876" ht="15" customHeight="1">
      <c r="A1876" t="inlineStr">
        <is>
          <t>A 55196-2024</t>
        </is>
      </c>
      <c r="B1876" s="1" t="n">
        <v>45621.5512962963</v>
      </c>
      <c r="C1876" s="1" t="n">
        <v>45895</v>
      </c>
      <c r="D1876" t="inlineStr">
        <is>
          <t>NORRBOTTENS LÄN</t>
        </is>
      </c>
      <c r="E1876" t="inlineStr">
        <is>
          <t>ÖVERTORNEÅ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23613-2024</t>
        </is>
      </c>
      <c r="B1877" s="1" t="n">
        <v>45454</v>
      </c>
      <c r="C1877" s="1" t="n">
        <v>45895</v>
      </c>
      <c r="D1877" t="inlineStr">
        <is>
          <t>NORRBOTTENS LÄN</t>
        </is>
      </c>
      <c r="E1877" t="inlineStr">
        <is>
          <t>GÄLLIVARE</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23655-2024</t>
        </is>
      </c>
      <c r="B1878" s="1" t="n">
        <v>45454</v>
      </c>
      <c r="C1878" s="1" t="n">
        <v>45895</v>
      </c>
      <c r="D1878" t="inlineStr">
        <is>
          <t>NORRBOTTENS LÄN</t>
        </is>
      </c>
      <c r="E1878" t="inlineStr">
        <is>
          <t>ÖVERTORNEÅ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58450-2023</t>
        </is>
      </c>
      <c r="B1879" s="1" t="n">
        <v>45250</v>
      </c>
      <c r="C1879" s="1" t="n">
        <v>45895</v>
      </c>
      <c r="D1879" t="inlineStr">
        <is>
          <t>NORRBOTTENS LÄN</t>
        </is>
      </c>
      <c r="E1879" t="inlineStr">
        <is>
          <t>ÄLVSBYN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53172-2024</t>
        </is>
      </c>
      <c r="B1880" s="1" t="n">
        <v>45611.65689814815</v>
      </c>
      <c r="C1880" s="1" t="n">
        <v>45895</v>
      </c>
      <c r="D1880" t="inlineStr">
        <is>
          <t>NORRBOTTENS LÄN</t>
        </is>
      </c>
      <c r="E1880" t="inlineStr">
        <is>
          <t>JOKKMOKK</t>
        </is>
      </c>
      <c r="F1880" t="inlineStr">
        <is>
          <t>Allmännings- och besparingsskogar</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24135-2023</t>
        </is>
      </c>
      <c r="B1881" s="1" t="n">
        <v>45079</v>
      </c>
      <c r="C1881" s="1" t="n">
        <v>45895</v>
      </c>
      <c r="D1881" t="inlineStr">
        <is>
          <t>NORRBOTTENS LÄN</t>
        </is>
      </c>
      <c r="E1881" t="inlineStr">
        <is>
          <t>KALIX</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25835-2024</t>
        </is>
      </c>
      <c r="B1882" s="1" t="n">
        <v>45467.41854166667</v>
      </c>
      <c r="C1882" s="1" t="n">
        <v>45895</v>
      </c>
      <c r="D1882" t="inlineStr">
        <is>
          <t>NORRBOTTENS LÄN</t>
        </is>
      </c>
      <c r="E1882" t="inlineStr">
        <is>
          <t>PITEÅ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2037-2025</t>
        </is>
      </c>
      <c r="B1883" s="1" t="n">
        <v>45671</v>
      </c>
      <c r="C1883" s="1" t="n">
        <v>45895</v>
      </c>
      <c r="D1883" t="inlineStr">
        <is>
          <t>NORRBOTTENS LÄN</t>
        </is>
      </c>
      <c r="E1883" t="inlineStr">
        <is>
          <t>JOKKMOKK</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1267-2023</t>
        </is>
      </c>
      <c r="B1884" s="1" t="n">
        <v>44936.40097222223</v>
      </c>
      <c r="C1884" s="1" t="n">
        <v>45895</v>
      </c>
      <c r="D1884" t="inlineStr">
        <is>
          <t>NORRBOTTENS LÄN</t>
        </is>
      </c>
      <c r="E1884" t="inlineStr">
        <is>
          <t>KALIX</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40836-2022</t>
        </is>
      </c>
      <c r="B1885" s="1" t="n">
        <v>44824</v>
      </c>
      <c r="C1885" s="1" t="n">
        <v>45895</v>
      </c>
      <c r="D1885" t="inlineStr">
        <is>
          <t>NORRBOTTENS LÄN</t>
        </is>
      </c>
      <c r="E1885" t="inlineStr">
        <is>
          <t>JOKKMOKK</t>
        </is>
      </c>
      <c r="F1885" t="inlineStr">
        <is>
          <t>SCA</t>
        </is>
      </c>
      <c r="G1885" t="n">
        <v>229.8</v>
      </c>
      <c r="H1885" t="n">
        <v>0</v>
      </c>
      <c r="I1885" t="n">
        <v>0</v>
      </c>
      <c r="J1885" t="n">
        <v>0</v>
      </c>
      <c r="K1885" t="n">
        <v>0</v>
      </c>
      <c r="L1885" t="n">
        <v>0</v>
      </c>
      <c r="M1885" t="n">
        <v>0</v>
      </c>
      <c r="N1885" t="n">
        <v>0</v>
      </c>
      <c r="O1885" t="n">
        <v>0</v>
      </c>
      <c r="P1885" t="n">
        <v>0</v>
      </c>
      <c r="Q1885" t="n">
        <v>0</v>
      </c>
      <c r="R1885" s="2" t="inlineStr"/>
    </row>
    <row r="1886" ht="15" customHeight="1">
      <c r="A1886" t="inlineStr">
        <is>
          <t>A 54236-2022</t>
        </is>
      </c>
      <c r="B1886" s="1" t="n">
        <v>44881.9272337963</v>
      </c>
      <c r="C1886" s="1" t="n">
        <v>45895</v>
      </c>
      <c r="D1886" t="inlineStr">
        <is>
          <t>NORRBOTTENS LÄN</t>
        </is>
      </c>
      <c r="E1886" t="inlineStr">
        <is>
          <t>BODEN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14999-2024</t>
        </is>
      </c>
      <c r="B1887" s="1" t="n">
        <v>45399</v>
      </c>
      <c r="C1887" s="1" t="n">
        <v>45895</v>
      </c>
      <c r="D1887" t="inlineStr">
        <is>
          <t>NORRBOTTENS LÄN</t>
        </is>
      </c>
      <c r="E1887" t="inlineStr">
        <is>
          <t>GÄLLIVARE</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21302-2024</t>
        </is>
      </c>
      <c r="B1888" s="1" t="n">
        <v>45440</v>
      </c>
      <c r="C1888" s="1" t="n">
        <v>45895</v>
      </c>
      <c r="D1888" t="inlineStr">
        <is>
          <t>NORRBOTTENS LÄN</t>
        </is>
      </c>
      <c r="E1888" t="inlineStr">
        <is>
          <t>ÖVERKALIX</t>
        </is>
      </c>
      <c r="F1888" t="inlineStr">
        <is>
          <t>Sveaskog</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69078-2021</t>
        </is>
      </c>
      <c r="B1889" s="1" t="n">
        <v>44529</v>
      </c>
      <c r="C1889" s="1" t="n">
        <v>45895</v>
      </c>
      <c r="D1889" t="inlineStr">
        <is>
          <t>NORRBOTTENS LÄN</t>
        </is>
      </c>
      <c r="E1889" t="inlineStr">
        <is>
          <t>PITEÅ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31039-2024</t>
        </is>
      </c>
      <c r="B1890" s="1" t="n">
        <v>45501.91951388889</v>
      </c>
      <c r="C1890" s="1" t="n">
        <v>45895</v>
      </c>
      <c r="D1890" t="inlineStr">
        <is>
          <t>NORRBOTTENS LÄN</t>
        </is>
      </c>
      <c r="E1890" t="inlineStr">
        <is>
          <t>LULEÅ</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20405-2024</t>
        </is>
      </c>
      <c r="B1891" s="1" t="n">
        <v>45435.56417824074</v>
      </c>
      <c r="C1891" s="1" t="n">
        <v>45895</v>
      </c>
      <c r="D1891" t="inlineStr">
        <is>
          <t>NORRBOTTENS LÄN</t>
        </is>
      </c>
      <c r="E1891" t="inlineStr">
        <is>
          <t>ÖVERTORNEÅ</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19046-2024</t>
        </is>
      </c>
      <c r="B1892" s="1" t="n">
        <v>45427.7460300926</v>
      </c>
      <c r="C1892" s="1" t="n">
        <v>45895</v>
      </c>
      <c r="D1892" t="inlineStr">
        <is>
          <t>NORRBOTTENS LÄN</t>
        </is>
      </c>
      <c r="E1892" t="inlineStr">
        <is>
          <t>PAJALA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38755-2022</t>
        </is>
      </c>
      <c r="B1893" s="1" t="n">
        <v>44813</v>
      </c>
      <c r="C1893" s="1" t="n">
        <v>45895</v>
      </c>
      <c r="D1893" t="inlineStr">
        <is>
          <t>NORRBOTTENS LÄN</t>
        </is>
      </c>
      <c r="E1893" t="inlineStr">
        <is>
          <t>PITEÅ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54210-2023</t>
        </is>
      </c>
      <c r="B1894" s="1" t="n">
        <v>45232.56853009259</v>
      </c>
      <c r="C1894" s="1" t="n">
        <v>45895</v>
      </c>
      <c r="D1894" t="inlineStr">
        <is>
          <t>NORRBOTTENS LÄN</t>
        </is>
      </c>
      <c r="E1894" t="inlineStr">
        <is>
          <t>PITEÅ</t>
        </is>
      </c>
      <c r="F1894" t="inlineStr">
        <is>
          <t>Sveaskog</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14801-2024</t>
        </is>
      </c>
      <c r="B1895" s="1" t="n">
        <v>45397</v>
      </c>
      <c r="C1895" s="1" t="n">
        <v>45895</v>
      </c>
      <c r="D1895" t="inlineStr">
        <is>
          <t>NORRBOTTENS LÄN</t>
        </is>
      </c>
      <c r="E1895" t="inlineStr">
        <is>
          <t>BODEN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14802-2024</t>
        </is>
      </c>
      <c r="B1896" s="1" t="n">
        <v>45397</v>
      </c>
      <c r="C1896" s="1" t="n">
        <v>45895</v>
      </c>
      <c r="D1896" t="inlineStr">
        <is>
          <t>NORRBOTTENS LÄN</t>
        </is>
      </c>
      <c r="E1896" t="inlineStr">
        <is>
          <t>BODEN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43109-2023</t>
        </is>
      </c>
      <c r="B1897" s="1" t="n">
        <v>45182.94725694445</v>
      </c>
      <c r="C1897" s="1" t="n">
        <v>45895</v>
      </c>
      <c r="D1897" t="inlineStr">
        <is>
          <t>NORRBOTTENS LÄN</t>
        </is>
      </c>
      <c r="E1897" t="inlineStr">
        <is>
          <t>GÄLLIVARE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4920-2025</t>
        </is>
      </c>
      <c r="B1898" s="1" t="n">
        <v>45688.68412037037</v>
      </c>
      <c r="C1898" s="1" t="n">
        <v>45895</v>
      </c>
      <c r="D1898" t="inlineStr">
        <is>
          <t>NORRBOTTENS LÄN</t>
        </is>
      </c>
      <c r="E1898" t="inlineStr">
        <is>
          <t>LULEÅ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4929-2025</t>
        </is>
      </c>
      <c r="B1899" s="1" t="n">
        <v>45688.68466435185</v>
      </c>
      <c r="C1899" s="1" t="n">
        <v>45895</v>
      </c>
      <c r="D1899" t="inlineStr">
        <is>
          <t>NORRBOTTENS LÄN</t>
        </is>
      </c>
      <c r="E1899" t="inlineStr">
        <is>
          <t>ÄLVSBYN</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42695-2023</t>
        </is>
      </c>
      <c r="B1900" s="1" t="n">
        <v>45176</v>
      </c>
      <c r="C1900" s="1" t="n">
        <v>45895</v>
      </c>
      <c r="D1900" t="inlineStr">
        <is>
          <t>NORRBOTTENS LÄN</t>
        </is>
      </c>
      <c r="E1900" t="inlineStr">
        <is>
          <t>ARVIDSJAUR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60584-2024</t>
        </is>
      </c>
      <c r="B1901" s="1" t="n">
        <v>45644.34611111111</v>
      </c>
      <c r="C1901" s="1" t="n">
        <v>45895</v>
      </c>
      <c r="D1901" t="inlineStr">
        <is>
          <t>NORRBOTTENS LÄN</t>
        </is>
      </c>
      <c r="E1901" t="inlineStr">
        <is>
          <t>LULEÅ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60587-2024</t>
        </is>
      </c>
      <c r="B1902" s="1" t="n">
        <v>45642</v>
      </c>
      <c r="C1902" s="1" t="n">
        <v>45895</v>
      </c>
      <c r="D1902" t="inlineStr">
        <is>
          <t>NORRBOTTENS LÄN</t>
        </is>
      </c>
      <c r="E1902" t="inlineStr">
        <is>
          <t>BODEN</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60589-2024</t>
        </is>
      </c>
      <c r="B1903" s="1" t="n">
        <v>45642</v>
      </c>
      <c r="C1903" s="1" t="n">
        <v>45895</v>
      </c>
      <c r="D1903" t="inlineStr">
        <is>
          <t>NORRBOTTENS LÄN</t>
        </is>
      </c>
      <c r="E1903" t="inlineStr">
        <is>
          <t>ÄLVSBYN</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1230-2025</t>
        </is>
      </c>
      <c r="B1904" s="1" t="n">
        <v>45667.44277777777</v>
      </c>
      <c r="C1904" s="1" t="n">
        <v>45895</v>
      </c>
      <c r="D1904" t="inlineStr">
        <is>
          <t>NORRBOTTENS LÄN</t>
        </is>
      </c>
      <c r="E1904" t="inlineStr">
        <is>
          <t>KALIX</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53037-2024</t>
        </is>
      </c>
      <c r="B1905" s="1" t="n">
        <v>45611</v>
      </c>
      <c r="C1905" s="1" t="n">
        <v>45895</v>
      </c>
      <c r="D1905" t="inlineStr">
        <is>
          <t>NORRBOTTENS LÄN</t>
        </is>
      </c>
      <c r="E1905" t="inlineStr">
        <is>
          <t>PAJALA</t>
        </is>
      </c>
      <c r="G1905" t="n">
        <v>11.7</v>
      </c>
      <c r="H1905" t="n">
        <v>0</v>
      </c>
      <c r="I1905" t="n">
        <v>0</v>
      </c>
      <c r="J1905" t="n">
        <v>0</v>
      </c>
      <c r="K1905" t="n">
        <v>0</v>
      </c>
      <c r="L1905" t="n">
        <v>0</v>
      </c>
      <c r="M1905" t="n">
        <v>0</v>
      </c>
      <c r="N1905" t="n">
        <v>0</v>
      </c>
      <c r="O1905" t="n">
        <v>0</v>
      </c>
      <c r="P1905" t="n">
        <v>0</v>
      </c>
      <c r="Q1905" t="n">
        <v>0</v>
      </c>
      <c r="R1905" s="2" t="inlineStr"/>
    </row>
    <row r="1906" ht="15" customHeight="1">
      <c r="A1906" t="inlineStr">
        <is>
          <t>A 47805-2022</t>
        </is>
      </c>
      <c r="B1906" s="1" t="n">
        <v>44854</v>
      </c>
      <c r="C1906" s="1" t="n">
        <v>45895</v>
      </c>
      <c r="D1906" t="inlineStr">
        <is>
          <t>NORRBOTTENS LÄN</t>
        </is>
      </c>
      <c r="E1906" t="inlineStr">
        <is>
          <t>GÄLLIVARE</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55557-2023</t>
        </is>
      </c>
      <c r="B1907" s="1" t="n">
        <v>45232</v>
      </c>
      <c r="C1907" s="1" t="n">
        <v>45895</v>
      </c>
      <c r="D1907" t="inlineStr">
        <is>
          <t>NORRBOTTENS LÄN</t>
        </is>
      </c>
      <c r="E1907" t="inlineStr">
        <is>
          <t>ARVIDSJAUR</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14337-2024</t>
        </is>
      </c>
      <c r="B1908" s="1" t="n">
        <v>45393</v>
      </c>
      <c r="C1908" s="1" t="n">
        <v>45895</v>
      </c>
      <c r="D1908" t="inlineStr">
        <is>
          <t>NORRBOTTENS LÄN</t>
        </is>
      </c>
      <c r="E1908" t="inlineStr">
        <is>
          <t>LULEÅ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39466-2024</t>
        </is>
      </c>
      <c r="B1909" s="1" t="n">
        <v>45551.63429398148</v>
      </c>
      <c r="C1909" s="1" t="n">
        <v>45895</v>
      </c>
      <c r="D1909" t="inlineStr">
        <is>
          <t>NORRBOTTENS LÄN</t>
        </is>
      </c>
      <c r="E1909" t="inlineStr">
        <is>
          <t>PITEÅ</t>
        </is>
      </c>
      <c r="G1909" t="n">
        <v>10.5</v>
      </c>
      <c r="H1909" t="n">
        <v>0</v>
      </c>
      <c r="I1909" t="n">
        <v>0</v>
      </c>
      <c r="J1909" t="n">
        <v>0</v>
      </c>
      <c r="K1909" t="n">
        <v>0</v>
      </c>
      <c r="L1909" t="n">
        <v>0</v>
      </c>
      <c r="M1909" t="n">
        <v>0</v>
      </c>
      <c r="N1909" t="n">
        <v>0</v>
      </c>
      <c r="O1909" t="n">
        <v>0</v>
      </c>
      <c r="P1909" t="n">
        <v>0</v>
      </c>
      <c r="Q1909" t="n">
        <v>0</v>
      </c>
      <c r="R1909" s="2" t="inlineStr"/>
    </row>
    <row r="1910" ht="15" customHeight="1">
      <c r="A1910" t="inlineStr">
        <is>
          <t>A 44680-2021</t>
        </is>
      </c>
      <c r="B1910" s="1" t="n">
        <v>44435</v>
      </c>
      <c r="C1910" s="1" t="n">
        <v>45895</v>
      </c>
      <c r="D1910" t="inlineStr">
        <is>
          <t>NORRBOTTENS LÄN</t>
        </is>
      </c>
      <c r="E1910" t="inlineStr">
        <is>
          <t>LULEÅ</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51376-2024</t>
        </is>
      </c>
      <c r="B1911" s="1" t="n">
        <v>45603</v>
      </c>
      <c r="C1911" s="1" t="n">
        <v>45895</v>
      </c>
      <c r="D1911" t="inlineStr">
        <is>
          <t>NORRBOTTENS LÄN</t>
        </is>
      </c>
      <c r="E1911" t="inlineStr">
        <is>
          <t>HAPARANDA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1023-2023</t>
        </is>
      </c>
      <c r="B1912" s="1" t="n">
        <v>44935.46053240741</v>
      </c>
      <c r="C1912" s="1" t="n">
        <v>45895</v>
      </c>
      <c r="D1912" t="inlineStr">
        <is>
          <t>NORRBOTTENS LÄN</t>
        </is>
      </c>
      <c r="E1912" t="inlineStr">
        <is>
          <t>BODEN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53100-2022</t>
        </is>
      </c>
      <c r="B1913" s="1" t="n">
        <v>44873</v>
      </c>
      <c r="C1913" s="1" t="n">
        <v>45895</v>
      </c>
      <c r="D1913" t="inlineStr">
        <is>
          <t>NORRBOTTENS LÄN</t>
        </is>
      </c>
      <c r="E1913" t="inlineStr">
        <is>
          <t>JOKKMOKK</t>
        </is>
      </c>
      <c r="F1913" t="inlineStr">
        <is>
          <t>Övriga statliga verk och myndigheter</t>
        </is>
      </c>
      <c r="G1913" t="n">
        <v>37.1</v>
      </c>
      <c r="H1913" t="n">
        <v>0</v>
      </c>
      <c r="I1913" t="n">
        <v>0</v>
      </c>
      <c r="J1913" t="n">
        <v>0</v>
      </c>
      <c r="K1913" t="n">
        <v>0</v>
      </c>
      <c r="L1913" t="n">
        <v>0</v>
      </c>
      <c r="M1913" t="n">
        <v>0</v>
      </c>
      <c r="N1913" t="n">
        <v>0</v>
      </c>
      <c r="O1913" t="n">
        <v>0</v>
      </c>
      <c r="P1913" t="n">
        <v>0</v>
      </c>
      <c r="Q1913" t="n">
        <v>0</v>
      </c>
      <c r="R1913" s="2" t="inlineStr"/>
    </row>
    <row r="1914" ht="15" customHeight="1">
      <c r="A1914" t="inlineStr">
        <is>
          <t>A 17961-2024</t>
        </is>
      </c>
      <c r="B1914" s="1" t="n">
        <v>45419.6787962963</v>
      </c>
      <c r="C1914" s="1" t="n">
        <v>45895</v>
      </c>
      <c r="D1914" t="inlineStr">
        <is>
          <t>NORRBOTTENS LÄN</t>
        </is>
      </c>
      <c r="E1914" t="inlineStr">
        <is>
          <t>BODEN</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24836-2024</t>
        </is>
      </c>
      <c r="B1915" s="1" t="n">
        <v>45461</v>
      </c>
      <c r="C1915" s="1" t="n">
        <v>45895</v>
      </c>
      <c r="D1915" t="inlineStr">
        <is>
          <t>NORRBOTTENS LÄN</t>
        </is>
      </c>
      <c r="E1915" t="inlineStr">
        <is>
          <t>ARVIDSJAUR</t>
        </is>
      </c>
      <c r="F1915" t="inlineStr">
        <is>
          <t>Allmännings- och besparingsskogar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52837-2024</t>
        </is>
      </c>
      <c r="B1916" s="1" t="n">
        <v>45610</v>
      </c>
      <c r="C1916" s="1" t="n">
        <v>45895</v>
      </c>
      <c r="D1916" t="inlineStr">
        <is>
          <t>NORRBOTTENS LÄN</t>
        </is>
      </c>
      <c r="E1916" t="inlineStr">
        <is>
          <t>ARVIDSJAUR</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26362-2021</t>
        </is>
      </c>
      <c r="B1917" s="1" t="n">
        <v>44347</v>
      </c>
      <c r="C1917" s="1" t="n">
        <v>45895</v>
      </c>
      <c r="D1917" t="inlineStr">
        <is>
          <t>NORRBOTTENS LÄN</t>
        </is>
      </c>
      <c r="E1917" t="inlineStr">
        <is>
          <t>ÖVERKALIX</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43678-2024</t>
        </is>
      </c>
      <c r="B1918" s="1" t="n">
        <v>45569</v>
      </c>
      <c r="C1918" s="1" t="n">
        <v>45895</v>
      </c>
      <c r="D1918" t="inlineStr">
        <is>
          <t>NORRBOTTENS LÄN</t>
        </is>
      </c>
      <c r="E1918" t="inlineStr">
        <is>
          <t>KALIX</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7552-2024</t>
        </is>
      </c>
      <c r="B1919" s="1" t="n">
        <v>45348.42684027777</v>
      </c>
      <c r="C1919" s="1" t="n">
        <v>45895</v>
      </c>
      <c r="D1919" t="inlineStr">
        <is>
          <t>NORRBOTTENS LÄN</t>
        </is>
      </c>
      <c r="E1919" t="inlineStr">
        <is>
          <t>PITEÅ</t>
        </is>
      </c>
      <c r="F1919" t="inlineStr">
        <is>
          <t>Sveaskog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4128-2023</t>
        </is>
      </c>
      <c r="B1920" s="1" t="n">
        <v>44952</v>
      </c>
      <c r="C1920" s="1" t="n">
        <v>45895</v>
      </c>
      <c r="D1920" t="inlineStr">
        <is>
          <t>NORRBOTTENS LÄN</t>
        </is>
      </c>
      <c r="E1920" t="inlineStr">
        <is>
          <t>ÄLVSBYN</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33600-2024</t>
        </is>
      </c>
      <c r="B1921" s="1" t="n">
        <v>45520</v>
      </c>
      <c r="C1921" s="1" t="n">
        <v>45895</v>
      </c>
      <c r="D1921" t="inlineStr">
        <is>
          <t>NORRBOTTENS LÄN</t>
        </is>
      </c>
      <c r="E1921" t="inlineStr">
        <is>
          <t>ÖVERTORNEÅ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58379-2022</t>
        </is>
      </c>
      <c r="B1922" s="1" t="n">
        <v>44901.63513888889</v>
      </c>
      <c r="C1922" s="1" t="n">
        <v>45895</v>
      </c>
      <c r="D1922" t="inlineStr">
        <is>
          <t>NORRBOTTENS LÄN</t>
        </is>
      </c>
      <c r="E1922" t="inlineStr">
        <is>
          <t>HAPARANDA</t>
        </is>
      </c>
      <c r="G1922" t="n">
        <v>12.1</v>
      </c>
      <c r="H1922" t="n">
        <v>0</v>
      </c>
      <c r="I1922" t="n">
        <v>0</v>
      </c>
      <c r="J1922" t="n">
        <v>0</v>
      </c>
      <c r="K1922" t="n">
        <v>0</v>
      </c>
      <c r="L1922" t="n">
        <v>0</v>
      </c>
      <c r="M1922" t="n">
        <v>0</v>
      </c>
      <c r="N1922" t="n">
        <v>0</v>
      </c>
      <c r="O1922" t="n">
        <v>0</v>
      </c>
      <c r="P1922" t="n">
        <v>0</v>
      </c>
      <c r="Q1922" t="n">
        <v>0</v>
      </c>
      <c r="R1922" s="2" t="inlineStr"/>
    </row>
    <row r="1923" ht="15" customHeight="1">
      <c r="A1923" t="inlineStr">
        <is>
          <t>A 40284-2024</t>
        </is>
      </c>
      <c r="B1923" s="1" t="n">
        <v>45554.66608796296</v>
      </c>
      <c r="C1923" s="1" t="n">
        <v>45895</v>
      </c>
      <c r="D1923" t="inlineStr">
        <is>
          <t>NORRBOTTENS LÄN</t>
        </is>
      </c>
      <c r="E1923" t="inlineStr">
        <is>
          <t>ÄLVSBYN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20753-2025</t>
        </is>
      </c>
      <c r="B1924" s="1" t="n">
        <v>45776</v>
      </c>
      <c r="C1924" s="1" t="n">
        <v>45895</v>
      </c>
      <c r="D1924" t="inlineStr">
        <is>
          <t>NORRBOTTENS LÄN</t>
        </is>
      </c>
      <c r="E1924" t="inlineStr">
        <is>
          <t>ÄLVSBYN</t>
        </is>
      </c>
      <c r="F1924" t="inlineStr">
        <is>
          <t>Övriga Aktiebolag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20764-2025</t>
        </is>
      </c>
      <c r="B1925" s="1" t="n">
        <v>45776</v>
      </c>
      <c r="C1925" s="1" t="n">
        <v>45895</v>
      </c>
      <c r="D1925" t="inlineStr">
        <is>
          <t>NORRBOTTENS LÄN</t>
        </is>
      </c>
      <c r="E1925" t="inlineStr">
        <is>
          <t>KIRUNA</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20632-2025</t>
        </is>
      </c>
      <c r="B1926" s="1" t="n">
        <v>45776</v>
      </c>
      <c r="C1926" s="1" t="n">
        <v>45895</v>
      </c>
      <c r="D1926" t="inlineStr">
        <is>
          <t>NORRBOTTENS LÄN</t>
        </is>
      </c>
      <c r="E1926" t="inlineStr">
        <is>
          <t>PITEÅ</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26181-2024</t>
        </is>
      </c>
      <c r="B1927" s="1" t="n">
        <v>45467</v>
      </c>
      <c r="C1927" s="1" t="n">
        <v>45895</v>
      </c>
      <c r="D1927" t="inlineStr">
        <is>
          <t>NORRBOTTENS LÄN</t>
        </is>
      </c>
      <c r="E1927" t="inlineStr">
        <is>
          <t>ÖVERTORNEÅ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20770-2025</t>
        </is>
      </c>
      <c r="B1928" s="1" t="n">
        <v>45776</v>
      </c>
      <c r="C1928" s="1" t="n">
        <v>45895</v>
      </c>
      <c r="D1928" t="inlineStr">
        <is>
          <t>NORRBOTTENS LÄN</t>
        </is>
      </c>
      <c r="E1928" t="inlineStr">
        <is>
          <t>KIRUNA</t>
        </is>
      </c>
      <c r="F1928" t="inlineStr">
        <is>
          <t>Sveaskog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1081-2024</t>
        </is>
      </c>
      <c r="B1929" s="1" t="n">
        <v>45301</v>
      </c>
      <c r="C1929" s="1" t="n">
        <v>45895</v>
      </c>
      <c r="D1929" t="inlineStr">
        <is>
          <t>NORRBOTTENS LÄN</t>
        </is>
      </c>
      <c r="E1929" t="inlineStr">
        <is>
          <t>BODEN</t>
        </is>
      </c>
      <c r="F1929" t="inlineStr">
        <is>
          <t>Övriga statliga verk och myndigheter</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39328-2023</t>
        </is>
      </c>
      <c r="B1930" s="1" t="n">
        <v>45166</v>
      </c>
      <c r="C1930" s="1" t="n">
        <v>45895</v>
      </c>
      <c r="D1930" t="inlineStr">
        <is>
          <t>NORRBOTTENS LÄN</t>
        </is>
      </c>
      <c r="E1930" t="inlineStr">
        <is>
          <t>ARVIDSJAUR</t>
        </is>
      </c>
      <c r="F1930" t="inlineStr">
        <is>
          <t>Sveaskog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20128-2025</t>
        </is>
      </c>
      <c r="B1931" s="1" t="n">
        <v>45772.49703703704</v>
      </c>
      <c r="C1931" s="1" t="n">
        <v>45895</v>
      </c>
      <c r="D1931" t="inlineStr">
        <is>
          <t>NORRBOTTENS LÄN</t>
        </is>
      </c>
      <c r="E1931" t="inlineStr">
        <is>
          <t>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60862-2022</t>
        </is>
      </c>
      <c r="B1932" s="1" t="n">
        <v>44908</v>
      </c>
      <c r="C1932" s="1" t="n">
        <v>45895</v>
      </c>
      <c r="D1932" t="inlineStr">
        <is>
          <t>NORRBOTTENS LÄN</t>
        </is>
      </c>
      <c r="E1932" t="inlineStr">
        <is>
          <t>PAJALA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20727-2025</t>
        </is>
      </c>
      <c r="B1933" s="1" t="n">
        <v>45776</v>
      </c>
      <c r="C1933" s="1" t="n">
        <v>45895</v>
      </c>
      <c r="D1933" t="inlineStr">
        <is>
          <t>NORRBOTTENS LÄN</t>
        </is>
      </c>
      <c r="E1933" t="inlineStr">
        <is>
          <t>HAPARANDA</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2647-2023</t>
        </is>
      </c>
      <c r="B1934" s="1" t="n">
        <v>44944</v>
      </c>
      <c r="C1934" s="1" t="n">
        <v>45895</v>
      </c>
      <c r="D1934" t="inlineStr">
        <is>
          <t>NORRBOTTENS LÄN</t>
        </is>
      </c>
      <c r="E1934" t="inlineStr">
        <is>
          <t>PAJALA</t>
        </is>
      </c>
      <c r="G1934" t="n">
        <v>18.4</v>
      </c>
      <c r="H1934" t="n">
        <v>0</v>
      </c>
      <c r="I1934" t="n">
        <v>0</v>
      </c>
      <c r="J1934" t="n">
        <v>0</v>
      </c>
      <c r="K1934" t="n">
        <v>0</v>
      </c>
      <c r="L1934" t="n">
        <v>0</v>
      </c>
      <c r="M1934" t="n">
        <v>0</v>
      </c>
      <c r="N1934" t="n">
        <v>0</v>
      </c>
      <c r="O1934" t="n">
        <v>0</v>
      </c>
      <c r="P1934" t="n">
        <v>0</v>
      </c>
      <c r="Q1934" t="n">
        <v>0</v>
      </c>
      <c r="R1934" s="2" t="inlineStr"/>
    </row>
    <row r="1935" ht="15" customHeight="1">
      <c r="A1935" t="inlineStr">
        <is>
          <t>A 11971-2024</t>
        </is>
      </c>
      <c r="B1935" s="1" t="n">
        <v>45376</v>
      </c>
      <c r="C1935" s="1" t="n">
        <v>45895</v>
      </c>
      <c r="D1935" t="inlineStr">
        <is>
          <t>NORRBOTTENS LÄN</t>
        </is>
      </c>
      <c r="E1935" t="inlineStr">
        <is>
          <t>PITEÅ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11972-2024</t>
        </is>
      </c>
      <c r="B1936" s="1" t="n">
        <v>45376</v>
      </c>
      <c r="C1936" s="1" t="n">
        <v>45895</v>
      </c>
      <c r="D1936" t="inlineStr">
        <is>
          <t>NORRBOTTENS LÄN</t>
        </is>
      </c>
      <c r="E1936" t="inlineStr">
        <is>
          <t>ÖVERTORNEÅ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11998-2024</t>
        </is>
      </c>
      <c r="B1937" s="1" t="n">
        <v>45377.23140046297</v>
      </c>
      <c r="C1937" s="1" t="n">
        <v>45895</v>
      </c>
      <c r="D1937" t="inlineStr">
        <is>
          <t>NORRBOTTENS LÄN</t>
        </is>
      </c>
      <c r="E1937" t="inlineStr">
        <is>
          <t>PITEÅ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56024-2022</t>
        </is>
      </c>
      <c r="B1938" s="1" t="n">
        <v>44889.53895833333</v>
      </c>
      <c r="C1938" s="1" t="n">
        <v>45895</v>
      </c>
      <c r="D1938" t="inlineStr">
        <is>
          <t>NORRBOTTENS LÄN</t>
        </is>
      </c>
      <c r="E1938" t="inlineStr">
        <is>
          <t>HAPARANDA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2290-2023</t>
        </is>
      </c>
      <c r="B1939" s="1" t="n">
        <v>44942</v>
      </c>
      <c r="C1939" s="1" t="n">
        <v>45895</v>
      </c>
      <c r="D1939" t="inlineStr">
        <is>
          <t>NORRBOTTENS LÄN</t>
        </is>
      </c>
      <c r="E1939" t="inlineStr">
        <is>
          <t>ÄLVSBYN</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12591-2024</t>
        </is>
      </c>
      <c r="B1940" s="1" t="n">
        <v>45379.93701388889</v>
      </c>
      <c r="C1940" s="1" t="n">
        <v>45895</v>
      </c>
      <c r="D1940" t="inlineStr">
        <is>
          <t>NORRBOTTENS LÄN</t>
        </is>
      </c>
      <c r="E1940" t="inlineStr">
        <is>
          <t>ÖVERKALIX</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31329-2024</t>
        </is>
      </c>
      <c r="B1941" s="1" t="n">
        <v>45504</v>
      </c>
      <c r="C1941" s="1" t="n">
        <v>45895</v>
      </c>
      <c r="D1941" t="inlineStr">
        <is>
          <t>NORRBOTTENS LÄN</t>
        </is>
      </c>
      <c r="E1941" t="inlineStr">
        <is>
          <t>ÖVERTORNEÅ</t>
        </is>
      </c>
      <c r="F1941" t="inlineStr">
        <is>
          <t>Sveaskog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23819-2023</t>
        </is>
      </c>
      <c r="B1942" s="1" t="n">
        <v>45075</v>
      </c>
      <c r="C1942" s="1" t="n">
        <v>45895</v>
      </c>
      <c r="D1942" t="inlineStr">
        <is>
          <t>NORRBOTTENS LÄN</t>
        </is>
      </c>
      <c r="E1942" t="inlineStr">
        <is>
          <t>LULEÅ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4232-2024</t>
        </is>
      </c>
      <c r="B1943" s="1" t="n">
        <v>45324.43004629629</v>
      </c>
      <c r="C1943" s="1" t="n">
        <v>45895</v>
      </c>
      <c r="D1943" t="inlineStr">
        <is>
          <t>NORRBOTTENS LÄN</t>
        </is>
      </c>
      <c r="E1943" t="inlineStr">
        <is>
          <t>PITEÅ</t>
        </is>
      </c>
      <c r="F1943" t="inlineStr">
        <is>
          <t>Sveaskog</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39272-2024</t>
        </is>
      </c>
      <c r="B1944" s="1" t="n">
        <v>45551.34525462963</v>
      </c>
      <c r="C1944" s="1" t="n">
        <v>45895</v>
      </c>
      <c r="D1944" t="inlineStr">
        <is>
          <t>NORRBOTTENS LÄN</t>
        </is>
      </c>
      <c r="E1944" t="inlineStr">
        <is>
          <t>BODEN</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24653-2024</t>
        </is>
      </c>
      <c r="B1945" s="1" t="n">
        <v>45460</v>
      </c>
      <c r="C1945" s="1" t="n">
        <v>45895</v>
      </c>
      <c r="D1945" t="inlineStr">
        <is>
          <t>NORRBOTTENS LÄN</t>
        </is>
      </c>
      <c r="E1945" t="inlineStr">
        <is>
          <t>ÖVERTORNEÅ</t>
        </is>
      </c>
      <c r="F1945" t="inlineStr">
        <is>
          <t>Sveaskog</t>
        </is>
      </c>
      <c r="G1945" t="n">
        <v>9.699999999999999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24658-2024</t>
        </is>
      </c>
      <c r="B1946" s="1" t="n">
        <v>45460</v>
      </c>
      <c r="C1946" s="1" t="n">
        <v>45895</v>
      </c>
      <c r="D1946" t="inlineStr">
        <is>
          <t>NORRBOTTENS LÄN</t>
        </is>
      </c>
      <c r="E1946" t="inlineStr">
        <is>
          <t>ÖVERTORNEÅ</t>
        </is>
      </c>
      <c r="F1946" t="inlineStr">
        <is>
          <t>Sveaskog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25440-2024</t>
        </is>
      </c>
      <c r="B1947" s="1" t="n">
        <v>45463</v>
      </c>
      <c r="C1947" s="1" t="n">
        <v>45895</v>
      </c>
      <c r="D1947" t="inlineStr">
        <is>
          <t>NORRBOTTENS LÄN</t>
        </is>
      </c>
      <c r="E1947" t="inlineStr">
        <is>
          <t>ARJEPLOG</t>
        </is>
      </c>
      <c r="F1947" t="inlineStr">
        <is>
          <t>Allmännings- och besparingsskogar</t>
        </is>
      </c>
      <c r="G1947" t="n">
        <v>30.7</v>
      </c>
      <c r="H1947" t="n">
        <v>0</v>
      </c>
      <c r="I1947" t="n">
        <v>0</v>
      </c>
      <c r="J1947" t="n">
        <v>0</v>
      </c>
      <c r="K1947" t="n">
        <v>0</v>
      </c>
      <c r="L1947" t="n">
        <v>0</v>
      </c>
      <c r="M1947" t="n">
        <v>0</v>
      </c>
      <c r="N1947" t="n">
        <v>0</v>
      </c>
      <c r="O1947" t="n">
        <v>0</v>
      </c>
      <c r="P1947" t="n">
        <v>0</v>
      </c>
      <c r="Q1947" t="n">
        <v>0</v>
      </c>
      <c r="R1947" s="2" t="inlineStr"/>
    </row>
    <row r="1948" ht="15" customHeight="1">
      <c r="A1948" t="inlineStr">
        <is>
          <t>A 59529-2023</t>
        </is>
      </c>
      <c r="B1948" s="1" t="n">
        <v>45254</v>
      </c>
      <c r="C1948" s="1" t="n">
        <v>45895</v>
      </c>
      <c r="D1948" t="inlineStr">
        <is>
          <t>NORRBOTTENS LÄN</t>
        </is>
      </c>
      <c r="E1948" t="inlineStr">
        <is>
          <t>PITEÅ</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59584-2023</t>
        </is>
      </c>
      <c r="B1949" s="1" t="n">
        <v>45254</v>
      </c>
      <c r="C1949" s="1" t="n">
        <v>45895</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20646-2025</t>
        </is>
      </c>
      <c r="B1950" s="1" t="n">
        <v>45776.38480324074</v>
      </c>
      <c r="C1950" s="1" t="n">
        <v>45895</v>
      </c>
      <c r="D1950" t="inlineStr">
        <is>
          <t>NORRBOTTENS LÄN</t>
        </is>
      </c>
      <c r="E1950" t="inlineStr">
        <is>
          <t>PITEÅ</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23102-2024</t>
        </is>
      </c>
      <c r="B1951" s="1" t="n">
        <v>45450.5350925926</v>
      </c>
      <c r="C1951" s="1" t="n">
        <v>45895</v>
      </c>
      <c r="D1951" t="inlineStr">
        <is>
          <t>NORRBOTTENS LÄN</t>
        </is>
      </c>
      <c r="E1951" t="inlineStr">
        <is>
          <t>PAJALA</t>
        </is>
      </c>
      <c r="F1951" t="inlineStr">
        <is>
          <t>Sveaskog</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34752-2021</t>
        </is>
      </c>
      <c r="B1952" s="1" t="n">
        <v>44382</v>
      </c>
      <c r="C1952" s="1" t="n">
        <v>45895</v>
      </c>
      <c r="D1952" t="inlineStr">
        <is>
          <t>NORRBOTTENS LÄN</t>
        </is>
      </c>
      <c r="E1952" t="inlineStr">
        <is>
          <t>JOKKMOKK</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25575-2024</t>
        </is>
      </c>
      <c r="B1953" s="1" t="n">
        <v>45463.58862268519</v>
      </c>
      <c r="C1953" s="1" t="n">
        <v>45895</v>
      </c>
      <c r="D1953" t="inlineStr">
        <is>
          <t>NORRBOTTENS LÄN</t>
        </is>
      </c>
      <c r="E1953" t="inlineStr">
        <is>
          <t>BODEN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46131-2020</t>
        </is>
      </c>
      <c r="B1954" s="1" t="n">
        <v>44091</v>
      </c>
      <c r="C1954" s="1" t="n">
        <v>45895</v>
      </c>
      <c r="D1954" t="inlineStr">
        <is>
          <t>NORRBOTTENS LÄN</t>
        </is>
      </c>
      <c r="E1954" t="inlineStr">
        <is>
          <t>GÄLLIVARE</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12539-2024</t>
        </is>
      </c>
      <c r="B1955" s="1" t="n">
        <v>45379</v>
      </c>
      <c r="C1955" s="1" t="n">
        <v>45895</v>
      </c>
      <c r="D1955" t="inlineStr">
        <is>
          <t>NORRBOTTENS LÄN</t>
        </is>
      </c>
      <c r="E1955" t="inlineStr">
        <is>
          <t>LULEÅ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12574-2024</t>
        </is>
      </c>
      <c r="B1956" s="1" t="n">
        <v>45379</v>
      </c>
      <c r="C1956" s="1" t="n">
        <v>45895</v>
      </c>
      <c r="D1956" t="inlineStr">
        <is>
          <t>NORRBOTTENS LÄN</t>
        </is>
      </c>
      <c r="E1956" t="inlineStr">
        <is>
          <t>PITEÅ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12580-2024</t>
        </is>
      </c>
      <c r="B1957" s="1" t="n">
        <v>45379.92288194445</v>
      </c>
      <c r="C1957" s="1" t="n">
        <v>45895</v>
      </c>
      <c r="D1957" t="inlineStr">
        <is>
          <t>NORRBOTTENS LÄN</t>
        </is>
      </c>
      <c r="E1957" t="inlineStr">
        <is>
          <t>ÖVERKALIX</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62580-2023</t>
        </is>
      </c>
      <c r="B1958" s="1" t="n">
        <v>45270.6325462963</v>
      </c>
      <c r="C1958" s="1" t="n">
        <v>45895</v>
      </c>
      <c r="D1958" t="inlineStr">
        <is>
          <t>NORRBOTTENS LÄN</t>
        </is>
      </c>
      <c r="E1958" t="inlineStr">
        <is>
          <t>PAJALA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13925-2024</t>
        </is>
      </c>
      <c r="B1959" s="1" t="n">
        <v>45391.93160879629</v>
      </c>
      <c r="C1959" s="1" t="n">
        <v>45895</v>
      </c>
      <c r="D1959" t="inlineStr">
        <is>
          <t>NORRBOTTENS LÄN</t>
        </is>
      </c>
      <c r="E1959" t="inlineStr">
        <is>
          <t>BODEN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20801-2025</t>
        </is>
      </c>
      <c r="B1960" s="1" t="n">
        <v>45776</v>
      </c>
      <c r="C1960" s="1" t="n">
        <v>45895</v>
      </c>
      <c r="D1960" t="inlineStr">
        <is>
          <t>NORRBOTTENS LÄN</t>
        </is>
      </c>
      <c r="E1960" t="inlineStr">
        <is>
          <t>KALIX</t>
        </is>
      </c>
      <c r="F1960" t="inlineStr">
        <is>
          <t>Sveaskog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59233-2023</t>
        </is>
      </c>
      <c r="B1961" s="1" t="n">
        <v>45253</v>
      </c>
      <c r="C1961" s="1" t="n">
        <v>45895</v>
      </c>
      <c r="D1961" t="inlineStr">
        <is>
          <t>NORRBOTTENS LÄN</t>
        </is>
      </c>
      <c r="E1961" t="inlineStr">
        <is>
          <t>KALIX</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54818-2023</t>
        </is>
      </c>
      <c r="B1962" s="1" t="n">
        <v>45236</v>
      </c>
      <c r="C1962" s="1" t="n">
        <v>45895</v>
      </c>
      <c r="D1962" t="inlineStr">
        <is>
          <t>NORRBOTTENS LÄN</t>
        </is>
      </c>
      <c r="E1962" t="inlineStr">
        <is>
          <t>PAJALA</t>
        </is>
      </c>
      <c r="G1962" t="n">
        <v>25.4</v>
      </c>
      <c r="H1962" t="n">
        <v>0</v>
      </c>
      <c r="I1962" t="n">
        <v>0</v>
      </c>
      <c r="J1962" t="n">
        <v>0</v>
      </c>
      <c r="K1962" t="n">
        <v>0</v>
      </c>
      <c r="L1962" t="n">
        <v>0</v>
      </c>
      <c r="M1962" t="n">
        <v>0</v>
      </c>
      <c r="N1962" t="n">
        <v>0</v>
      </c>
      <c r="O1962" t="n">
        <v>0</v>
      </c>
      <c r="P1962" t="n">
        <v>0</v>
      </c>
      <c r="Q1962" t="n">
        <v>0</v>
      </c>
      <c r="R1962" s="2" t="inlineStr"/>
    </row>
    <row r="1963" ht="15" customHeight="1">
      <c r="A1963" t="inlineStr">
        <is>
          <t>A 14207-2024</t>
        </is>
      </c>
      <c r="B1963" s="1" t="n">
        <v>45393</v>
      </c>
      <c r="C1963" s="1" t="n">
        <v>45895</v>
      </c>
      <c r="D1963" t="inlineStr">
        <is>
          <t>NORRBOTTENS LÄN</t>
        </is>
      </c>
      <c r="E1963" t="inlineStr">
        <is>
          <t>KALIX</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20649-2025</t>
        </is>
      </c>
      <c r="B1964" s="1" t="n">
        <v>45776.3900462963</v>
      </c>
      <c r="C1964" s="1" t="n">
        <v>45895</v>
      </c>
      <c r="D1964" t="inlineStr">
        <is>
          <t>NORRBOTTENS LÄN</t>
        </is>
      </c>
      <c r="E1964" t="inlineStr">
        <is>
          <t>PITEÅ</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55796-2023</t>
        </is>
      </c>
      <c r="B1965" s="1" t="n">
        <v>45239.54928240741</v>
      </c>
      <c r="C1965" s="1" t="n">
        <v>45895</v>
      </c>
      <c r="D1965" t="inlineStr">
        <is>
          <t>NORRBOTTENS LÄN</t>
        </is>
      </c>
      <c r="E1965" t="inlineStr">
        <is>
          <t>PITEÅ</t>
        </is>
      </c>
      <c r="G1965" t="n">
        <v>38.2</v>
      </c>
      <c r="H1965" t="n">
        <v>0</v>
      </c>
      <c r="I1965" t="n">
        <v>0</v>
      </c>
      <c r="J1965" t="n">
        <v>0</v>
      </c>
      <c r="K1965" t="n">
        <v>0</v>
      </c>
      <c r="L1965" t="n">
        <v>0</v>
      </c>
      <c r="M1965" t="n">
        <v>0</v>
      </c>
      <c r="N1965" t="n">
        <v>0</v>
      </c>
      <c r="O1965" t="n">
        <v>0</v>
      </c>
      <c r="P1965" t="n">
        <v>0</v>
      </c>
      <c r="Q1965" t="n">
        <v>0</v>
      </c>
      <c r="R1965" s="2" t="inlineStr"/>
    </row>
    <row r="1966" ht="15" customHeight="1">
      <c r="A1966" t="inlineStr">
        <is>
          <t>A 20668-2025</t>
        </is>
      </c>
      <c r="B1966" s="1" t="n">
        <v>45776.43038194445</v>
      </c>
      <c r="C1966" s="1" t="n">
        <v>45895</v>
      </c>
      <c r="D1966" t="inlineStr">
        <is>
          <t>NORRBOTTENS LÄN</t>
        </is>
      </c>
      <c r="E1966" t="inlineStr">
        <is>
          <t>PITEÅ</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26964-2023</t>
        </is>
      </c>
      <c r="B1967" s="1" t="n">
        <v>45093.68881944445</v>
      </c>
      <c r="C1967" s="1" t="n">
        <v>45895</v>
      </c>
      <c r="D1967" t="inlineStr">
        <is>
          <t>NORRBOTTENS LÄN</t>
        </is>
      </c>
      <c r="E1967" t="inlineStr">
        <is>
          <t>BODEN</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61161-2022</t>
        </is>
      </c>
      <c r="B1968" s="1" t="n">
        <v>44908</v>
      </c>
      <c r="C1968" s="1" t="n">
        <v>45895</v>
      </c>
      <c r="D1968" t="inlineStr">
        <is>
          <t>NORRBOTTENS LÄN</t>
        </is>
      </c>
      <c r="E1968" t="inlineStr">
        <is>
          <t>HAPARANDA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36984-2023</t>
        </is>
      </c>
      <c r="B1969" s="1" t="n">
        <v>45154.95511574074</v>
      </c>
      <c r="C1969" s="1" t="n">
        <v>45895</v>
      </c>
      <c r="D1969" t="inlineStr">
        <is>
          <t>NORRBOTTENS LÄN</t>
        </is>
      </c>
      <c r="E1969" t="inlineStr">
        <is>
          <t>GÄLLIVARE</t>
        </is>
      </c>
      <c r="F1969" t="inlineStr">
        <is>
          <t>SCA</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26092-2021</t>
        </is>
      </c>
      <c r="B1970" s="1" t="n">
        <v>44344</v>
      </c>
      <c r="C1970" s="1" t="n">
        <v>45895</v>
      </c>
      <c r="D1970" t="inlineStr">
        <is>
          <t>NORRBOTTENS LÄN</t>
        </is>
      </c>
      <c r="E1970" t="inlineStr">
        <is>
          <t>PITEÅ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46308-2022</t>
        </is>
      </c>
      <c r="B1971" s="1" t="n">
        <v>44847</v>
      </c>
      <c r="C1971" s="1" t="n">
        <v>45895</v>
      </c>
      <c r="D1971" t="inlineStr">
        <is>
          <t>NORRBOTTENS LÄN</t>
        </is>
      </c>
      <c r="E1971" t="inlineStr">
        <is>
          <t>ÄLVSBYN</t>
        </is>
      </c>
      <c r="G1971" t="n">
        <v>18.7</v>
      </c>
      <c r="H1971" t="n">
        <v>0</v>
      </c>
      <c r="I1971" t="n">
        <v>0</v>
      </c>
      <c r="J1971" t="n">
        <v>0</v>
      </c>
      <c r="K1971" t="n">
        <v>0</v>
      </c>
      <c r="L1971" t="n">
        <v>0</v>
      </c>
      <c r="M1971" t="n">
        <v>0</v>
      </c>
      <c r="N1971" t="n">
        <v>0</v>
      </c>
      <c r="O1971" t="n">
        <v>0</v>
      </c>
      <c r="P1971" t="n">
        <v>0</v>
      </c>
      <c r="Q1971" t="n">
        <v>0</v>
      </c>
      <c r="R1971" s="2" t="inlineStr"/>
    </row>
    <row r="1972" ht="15" customHeight="1">
      <c r="A1972" t="inlineStr">
        <is>
          <t>A 20884-2025</t>
        </is>
      </c>
      <c r="B1972" s="1" t="n">
        <v>45777</v>
      </c>
      <c r="C1972" s="1" t="n">
        <v>45895</v>
      </c>
      <c r="D1972" t="inlineStr">
        <is>
          <t>NORRBOTTENS LÄN</t>
        </is>
      </c>
      <c r="E1972" t="inlineStr">
        <is>
          <t>GÄLLIVARE</t>
        </is>
      </c>
      <c r="F1972" t="inlineStr">
        <is>
          <t>Sveaskog</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37014-2023</t>
        </is>
      </c>
      <c r="B1973" s="1" t="n">
        <v>45155</v>
      </c>
      <c r="C1973" s="1" t="n">
        <v>45895</v>
      </c>
      <c r="D1973" t="inlineStr">
        <is>
          <t>NORRBOTTENS LÄN</t>
        </is>
      </c>
      <c r="E1973" t="inlineStr">
        <is>
          <t>BODEN</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24802-2021</t>
        </is>
      </c>
      <c r="B1974" s="1" t="n">
        <v>44340.65699074074</v>
      </c>
      <c r="C1974" s="1" t="n">
        <v>45895</v>
      </c>
      <c r="D1974" t="inlineStr">
        <is>
          <t>NORRBOTTENS LÄN</t>
        </is>
      </c>
      <c r="E1974" t="inlineStr">
        <is>
          <t>KALIX</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40813-2022</t>
        </is>
      </c>
      <c r="B1975" s="1" t="n">
        <v>44824</v>
      </c>
      <c r="C1975" s="1" t="n">
        <v>45895</v>
      </c>
      <c r="D1975" t="inlineStr">
        <is>
          <t>NORRBOTTENS LÄN</t>
        </is>
      </c>
      <c r="E1975" t="inlineStr">
        <is>
          <t>PITEÅ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22042-2024</t>
        </is>
      </c>
      <c r="B1976" s="1" t="n">
        <v>45443</v>
      </c>
      <c r="C1976" s="1" t="n">
        <v>45895</v>
      </c>
      <c r="D1976" t="inlineStr">
        <is>
          <t>NORRBOTTENS LÄN</t>
        </is>
      </c>
      <c r="E1976" t="inlineStr">
        <is>
          <t>PAJALA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22071-2024</t>
        </is>
      </c>
      <c r="B1977" s="1" t="n">
        <v>45443.63476851852</v>
      </c>
      <c r="C1977" s="1" t="n">
        <v>45895</v>
      </c>
      <c r="D1977" t="inlineStr">
        <is>
          <t>NORRBOTTENS LÄN</t>
        </is>
      </c>
      <c r="E1977" t="inlineStr">
        <is>
          <t>ÖVERKALIX</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597-2023</t>
        </is>
      </c>
      <c r="B1978" s="1" t="n">
        <v>44930.56168981481</v>
      </c>
      <c r="C1978" s="1" t="n">
        <v>45895</v>
      </c>
      <c r="D1978" t="inlineStr">
        <is>
          <t>NORRBOTTENS LÄN</t>
        </is>
      </c>
      <c r="E1978" t="inlineStr">
        <is>
          <t>ÖVERTORNEÅ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6122-2023</t>
        </is>
      </c>
      <c r="B1979" s="1" t="n">
        <v>44964.60572916667</v>
      </c>
      <c r="C1979" s="1" t="n">
        <v>45895</v>
      </c>
      <c r="D1979" t="inlineStr">
        <is>
          <t>NORRBOTTENS LÄN</t>
        </is>
      </c>
      <c r="E1979" t="inlineStr">
        <is>
          <t>ÖVERKALIX</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20895-2025</t>
        </is>
      </c>
      <c r="B1980" s="1" t="n">
        <v>45777.39760416667</v>
      </c>
      <c r="C1980" s="1" t="n">
        <v>45895</v>
      </c>
      <c r="D1980" t="inlineStr">
        <is>
          <t>NORRBOTTENS LÄN</t>
        </is>
      </c>
      <c r="E1980" t="inlineStr">
        <is>
          <t>KALIX</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20158-2025</t>
        </is>
      </c>
      <c r="B1981" s="1" t="n">
        <v>45772</v>
      </c>
      <c r="C1981" s="1" t="n">
        <v>45895</v>
      </c>
      <c r="D1981" t="inlineStr">
        <is>
          <t>NORRBOTTENS LÄN</t>
        </is>
      </c>
      <c r="E1981" t="inlineStr">
        <is>
          <t>ÄLVSBYN</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47343-2020</t>
        </is>
      </c>
      <c r="B1982" s="1" t="n">
        <v>44092</v>
      </c>
      <c r="C1982" s="1" t="n">
        <v>45895</v>
      </c>
      <c r="D1982" t="inlineStr">
        <is>
          <t>NORRBOTTENS LÄN</t>
        </is>
      </c>
      <c r="E1982" t="inlineStr">
        <is>
          <t>PITEÅ</t>
        </is>
      </c>
      <c r="G1982" t="n">
        <v>16.5</v>
      </c>
      <c r="H1982" t="n">
        <v>0</v>
      </c>
      <c r="I1982" t="n">
        <v>0</v>
      </c>
      <c r="J1982" t="n">
        <v>0</v>
      </c>
      <c r="K1982" t="n">
        <v>0</v>
      </c>
      <c r="L1982" t="n">
        <v>0</v>
      </c>
      <c r="M1982" t="n">
        <v>0</v>
      </c>
      <c r="N1982" t="n">
        <v>0</v>
      </c>
      <c r="O1982" t="n">
        <v>0</v>
      </c>
      <c r="P1982" t="n">
        <v>0</v>
      </c>
      <c r="Q1982" t="n">
        <v>0</v>
      </c>
      <c r="R1982" s="2" t="inlineStr"/>
    </row>
    <row r="1983" ht="15" customHeight="1">
      <c r="A1983" t="inlineStr">
        <is>
          <t>A 15959-2024</t>
        </is>
      </c>
      <c r="B1983" s="1" t="n">
        <v>45405</v>
      </c>
      <c r="C1983" s="1" t="n">
        <v>45895</v>
      </c>
      <c r="D1983" t="inlineStr">
        <is>
          <t>NORRBOTTENS LÄN</t>
        </is>
      </c>
      <c r="E1983" t="inlineStr">
        <is>
          <t>ÄLVSBYN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20879-2025</t>
        </is>
      </c>
      <c r="B1984" s="1" t="n">
        <v>45777</v>
      </c>
      <c r="C1984" s="1" t="n">
        <v>45895</v>
      </c>
      <c r="D1984" t="inlineStr">
        <is>
          <t>NORRBOTTENS LÄN</t>
        </is>
      </c>
      <c r="E1984" t="inlineStr">
        <is>
          <t>ÄLVSBYN</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52901-2023</t>
        </is>
      </c>
      <c r="B1985" s="1" t="n">
        <v>45222</v>
      </c>
      <c r="C1985" s="1" t="n">
        <v>45895</v>
      </c>
      <c r="D1985" t="inlineStr">
        <is>
          <t>NORRBOTTENS LÄN</t>
        </is>
      </c>
      <c r="E1985" t="inlineStr">
        <is>
          <t>JOKKMOKK</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21058-2025</t>
        </is>
      </c>
      <c r="B1986" s="1" t="n">
        <v>45777.5744212963</v>
      </c>
      <c r="C1986" s="1" t="n">
        <v>45895</v>
      </c>
      <c r="D1986" t="inlineStr">
        <is>
          <t>NORRBOTTENS LÄN</t>
        </is>
      </c>
      <c r="E1986" t="inlineStr">
        <is>
          <t>PAJALA</t>
        </is>
      </c>
      <c r="F1986" t="inlineStr">
        <is>
          <t>Sveaskog</t>
        </is>
      </c>
      <c r="G1986" t="n">
        <v>44.2</v>
      </c>
      <c r="H1986" t="n">
        <v>0</v>
      </c>
      <c r="I1986" t="n">
        <v>0</v>
      </c>
      <c r="J1986" t="n">
        <v>0</v>
      </c>
      <c r="K1986" t="n">
        <v>0</v>
      </c>
      <c r="L1986" t="n">
        <v>0</v>
      </c>
      <c r="M1986" t="n">
        <v>0</v>
      </c>
      <c r="N1986" t="n">
        <v>0</v>
      </c>
      <c r="O1986" t="n">
        <v>0</v>
      </c>
      <c r="P1986" t="n">
        <v>0</v>
      </c>
      <c r="Q1986" t="n">
        <v>0</v>
      </c>
      <c r="R1986" s="2" t="inlineStr"/>
    </row>
    <row r="1987" ht="15" customHeight="1">
      <c r="A1987" t="inlineStr">
        <is>
          <t>A 19045-2024</t>
        </is>
      </c>
      <c r="B1987" s="1" t="n">
        <v>45427</v>
      </c>
      <c r="C1987" s="1" t="n">
        <v>45895</v>
      </c>
      <c r="D1987" t="inlineStr">
        <is>
          <t>NORRBOTTENS LÄN</t>
        </is>
      </c>
      <c r="E1987" t="inlineStr">
        <is>
          <t>PAJALA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21053-2025</t>
        </is>
      </c>
      <c r="B1988" s="1" t="n">
        <v>45777.5672337963</v>
      </c>
      <c r="C1988" s="1" t="n">
        <v>45895</v>
      </c>
      <c r="D1988" t="inlineStr">
        <is>
          <t>NORRBOTTENS LÄN</t>
        </is>
      </c>
      <c r="E1988" t="inlineStr">
        <is>
          <t>ÖVERKALIX</t>
        </is>
      </c>
      <c r="F1988" t="inlineStr">
        <is>
          <t>Sveaskog</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52400-2023</t>
        </is>
      </c>
      <c r="B1989" s="1" t="n">
        <v>45224</v>
      </c>
      <c r="C1989" s="1" t="n">
        <v>45895</v>
      </c>
      <c r="D1989" t="inlineStr">
        <is>
          <t>NORRBOTTENS LÄN</t>
        </is>
      </c>
      <c r="E1989" t="inlineStr">
        <is>
          <t>LULEÅ</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9282-2023</t>
        </is>
      </c>
      <c r="B1990" s="1" t="n">
        <v>44977</v>
      </c>
      <c r="C1990" s="1" t="n">
        <v>45895</v>
      </c>
      <c r="D1990" t="inlineStr">
        <is>
          <t>NORRBOTTENS LÄN</t>
        </is>
      </c>
      <c r="E1990" t="inlineStr">
        <is>
          <t>LULEÅ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32900-2023</t>
        </is>
      </c>
      <c r="B1991" s="1" t="n">
        <v>45124</v>
      </c>
      <c r="C1991" s="1" t="n">
        <v>45895</v>
      </c>
      <c r="D1991" t="inlineStr">
        <is>
          <t>NORRBOTTENS LÄN</t>
        </is>
      </c>
      <c r="E1991" t="inlineStr">
        <is>
          <t>JOKKMOKK</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51269-2024</t>
        </is>
      </c>
      <c r="B1992" s="1" t="n">
        <v>45603.71284722222</v>
      </c>
      <c r="C1992" s="1" t="n">
        <v>45895</v>
      </c>
      <c r="D1992" t="inlineStr">
        <is>
          <t>NORRBOTTENS LÄN</t>
        </is>
      </c>
      <c r="E1992" t="inlineStr">
        <is>
          <t>JOKKMOKK</t>
        </is>
      </c>
      <c r="F1992" t="inlineStr">
        <is>
          <t>Allmännings- och besparingsskogar</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21141-2025</t>
        </is>
      </c>
      <c r="B1993" s="1" t="n">
        <v>45777</v>
      </c>
      <c r="C1993" s="1" t="n">
        <v>45895</v>
      </c>
      <c r="D1993" t="inlineStr">
        <is>
          <t>NORRBOTTENS LÄN</t>
        </is>
      </c>
      <c r="E1993" t="inlineStr">
        <is>
          <t>KALIX</t>
        </is>
      </c>
      <c r="G1993" t="n">
        <v>16.1</v>
      </c>
      <c r="H1993" t="n">
        <v>0</v>
      </c>
      <c r="I1993" t="n">
        <v>0</v>
      </c>
      <c r="J1993" t="n">
        <v>0</v>
      </c>
      <c r="K1993" t="n">
        <v>0</v>
      </c>
      <c r="L1993" t="n">
        <v>0</v>
      </c>
      <c r="M1993" t="n">
        <v>0</v>
      </c>
      <c r="N1993" t="n">
        <v>0</v>
      </c>
      <c r="O1993" t="n">
        <v>0</v>
      </c>
      <c r="P1993" t="n">
        <v>0</v>
      </c>
      <c r="Q1993" t="n">
        <v>0</v>
      </c>
      <c r="R1993" s="2" t="inlineStr"/>
    </row>
    <row r="1994" ht="15" customHeight="1">
      <c r="A1994" t="inlineStr">
        <is>
          <t>A 69202-2021</t>
        </is>
      </c>
      <c r="B1994" s="1" t="n">
        <v>44529</v>
      </c>
      <c r="C1994" s="1" t="n">
        <v>45895</v>
      </c>
      <c r="D1994" t="inlineStr">
        <is>
          <t>NORRBOTTENS LÄN</t>
        </is>
      </c>
      <c r="E1994" t="inlineStr">
        <is>
          <t>KALIX</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23495-2024</t>
        </is>
      </c>
      <c r="B1995" s="1" t="n">
        <v>45453</v>
      </c>
      <c r="C1995" s="1" t="n">
        <v>45895</v>
      </c>
      <c r="D1995" t="inlineStr">
        <is>
          <t>NORRBOTTENS LÄN</t>
        </is>
      </c>
      <c r="E1995" t="inlineStr">
        <is>
          <t>GÄLLIVARE</t>
        </is>
      </c>
      <c r="F1995" t="inlineStr">
        <is>
          <t>Allmännings- och besparingsskogar</t>
        </is>
      </c>
      <c r="G1995" t="n">
        <v>15.4</v>
      </c>
      <c r="H1995" t="n">
        <v>0</v>
      </c>
      <c r="I1995" t="n">
        <v>0</v>
      </c>
      <c r="J1995" t="n">
        <v>0</v>
      </c>
      <c r="K1995" t="n">
        <v>0</v>
      </c>
      <c r="L1995" t="n">
        <v>0</v>
      </c>
      <c r="M1995" t="n">
        <v>0</v>
      </c>
      <c r="N1995" t="n">
        <v>0</v>
      </c>
      <c r="O1995" t="n">
        <v>0</v>
      </c>
      <c r="P1995" t="n">
        <v>0</v>
      </c>
      <c r="Q1995" t="n">
        <v>0</v>
      </c>
      <c r="R1995" s="2" t="inlineStr"/>
    </row>
    <row r="1996" ht="15" customHeight="1">
      <c r="A1996" t="inlineStr">
        <is>
          <t>A 46945-2021</t>
        </is>
      </c>
      <c r="B1996" s="1" t="n">
        <v>44446</v>
      </c>
      <c r="C1996" s="1" t="n">
        <v>45895</v>
      </c>
      <c r="D1996" t="inlineStr">
        <is>
          <t>NORRBOTTENS LÄN</t>
        </is>
      </c>
      <c r="E1996" t="inlineStr">
        <is>
          <t>ÖVERKALIX</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31208-2023</t>
        </is>
      </c>
      <c r="B1997" s="1" t="n">
        <v>45113.95083333334</v>
      </c>
      <c r="C1997" s="1" t="n">
        <v>45895</v>
      </c>
      <c r="D1997" t="inlineStr">
        <is>
          <t>NORRBOTTENS LÄN</t>
        </is>
      </c>
      <c r="E1997" t="inlineStr">
        <is>
          <t>JOKKMOKK</t>
        </is>
      </c>
      <c r="F1997" t="inlineStr">
        <is>
          <t>SCA</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31238-2023</t>
        </is>
      </c>
      <c r="B1998" s="1" t="n">
        <v>45103</v>
      </c>
      <c r="C1998" s="1" t="n">
        <v>45895</v>
      </c>
      <c r="D1998" t="inlineStr">
        <is>
          <t>NORRBOTTENS LÄN</t>
        </is>
      </c>
      <c r="E1998" t="inlineStr">
        <is>
          <t>HAPARANDA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29490-2023</t>
        </is>
      </c>
      <c r="B1999" s="1" t="n">
        <v>45098</v>
      </c>
      <c r="C1999" s="1" t="n">
        <v>45895</v>
      </c>
      <c r="D1999" t="inlineStr">
        <is>
          <t>NORRBOTTENS LÄN</t>
        </is>
      </c>
      <c r="E1999" t="inlineStr">
        <is>
          <t>LULEÅ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29510-2023</t>
        </is>
      </c>
      <c r="B2000" s="1" t="n">
        <v>45098</v>
      </c>
      <c r="C2000" s="1" t="n">
        <v>45895</v>
      </c>
      <c r="D2000" t="inlineStr">
        <is>
          <t>NORRBOTTENS LÄN</t>
        </is>
      </c>
      <c r="E2000" t="inlineStr">
        <is>
          <t>LULEÅ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38230-2021</t>
        </is>
      </c>
      <c r="B2001" s="1" t="n">
        <v>44405.61335648148</v>
      </c>
      <c r="C2001" s="1" t="n">
        <v>45895</v>
      </c>
      <c r="D2001" t="inlineStr">
        <is>
          <t>NORRBOTTENS LÄN</t>
        </is>
      </c>
      <c r="E2001" t="inlineStr">
        <is>
          <t>PITEÅ</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58591-2022</t>
        </is>
      </c>
      <c r="B2002" s="1" t="n">
        <v>44894</v>
      </c>
      <c r="C2002" s="1" t="n">
        <v>45895</v>
      </c>
      <c r="D2002" t="inlineStr">
        <is>
          <t>NORRBOTTENS LÄN</t>
        </is>
      </c>
      <c r="E2002" t="inlineStr">
        <is>
          <t>KALIX</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1312-2024</t>
        </is>
      </c>
      <c r="B2003" s="1" t="n">
        <v>45303</v>
      </c>
      <c r="C2003" s="1" t="n">
        <v>45895</v>
      </c>
      <c r="D2003" t="inlineStr">
        <is>
          <t>NORRBOTTENS LÄN</t>
        </is>
      </c>
      <c r="E2003" t="inlineStr">
        <is>
          <t>LULEÅ</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21101-2025</t>
        </is>
      </c>
      <c r="B2004" s="1" t="n">
        <v>45777</v>
      </c>
      <c r="C2004" s="1" t="n">
        <v>45895</v>
      </c>
      <c r="D2004" t="inlineStr">
        <is>
          <t>NORRBOTTENS LÄN</t>
        </is>
      </c>
      <c r="E2004" t="inlineStr">
        <is>
          <t>PAJALA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21103-2025</t>
        </is>
      </c>
      <c r="B2005" s="1" t="n">
        <v>45777.65921296296</v>
      </c>
      <c r="C2005" s="1" t="n">
        <v>45895</v>
      </c>
      <c r="D2005" t="inlineStr">
        <is>
          <t>NORRBOTTENS LÄN</t>
        </is>
      </c>
      <c r="E2005" t="inlineStr">
        <is>
          <t>PAJALA</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23039-2024</t>
        </is>
      </c>
      <c r="B2006" s="1" t="n">
        <v>45449</v>
      </c>
      <c r="C2006" s="1" t="n">
        <v>45895</v>
      </c>
      <c r="D2006" t="inlineStr">
        <is>
          <t>NORRBOTTENS LÄN</t>
        </is>
      </c>
      <c r="E2006" t="inlineStr">
        <is>
          <t>ÖVERTORNEÅ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21128-2025</t>
        </is>
      </c>
      <c r="B2007" s="1" t="n">
        <v>45778</v>
      </c>
      <c r="C2007" s="1" t="n">
        <v>45895</v>
      </c>
      <c r="D2007" t="inlineStr">
        <is>
          <t>NORRBOTTENS LÄN</t>
        </is>
      </c>
      <c r="E2007" t="inlineStr">
        <is>
          <t>BODEN</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16700-2024</t>
        </is>
      </c>
      <c r="B2008" s="1" t="n">
        <v>45408.96738425926</v>
      </c>
      <c r="C2008" s="1" t="n">
        <v>45895</v>
      </c>
      <c r="D2008" t="inlineStr">
        <is>
          <t>NORRBOTTENS LÄN</t>
        </is>
      </c>
      <c r="E2008" t="inlineStr">
        <is>
          <t>BODEN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50554-2024</t>
        </is>
      </c>
      <c r="B2009" s="1" t="n">
        <v>45601.59497685185</v>
      </c>
      <c r="C2009" s="1" t="n">
        <v>45895</v>
      </c>
      <c r="D2009" t="inlineStr">
        <is>
          <t>NORRBOTTENS LÄN</t>
        </is>
      </c>
      <c r="E2009" t="inlineStr">
        <is>
          <t>GÄLLIVARE</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37866-2024</t>
        </is>
      </c>
      <c r="B2010" s="1" t="n">
        <v>45544.39978009259</v>
      </c>
      <c r="C2010" s="1" t="n">
        <v>45895</v>
      </c>
      <c r="D2010" t="inlineStr">
        <is>
          <t>NORRBOTTENS LÄN</t>
        </is>
      </c>
      <c r="E2010" t="inlineStr">
        <is>
          <t>BODEN</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37976-2024</t>
        </is>
      </c>
      <c r="B2011" s="1" t="n">
        <v>45544.57657407408</v>
      </c>
      <c r="C2011" s="1" t="n">
        <v>45895</v>
      </c>
      <c r="D2011" t="inlineStr">
        <is>
          <t>NORRBOTTENS LÄN</t>
        </is>
      </c>
      <c r="E2011" t="inlineStr">
        <is>
          <t>BODEN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25578-2024</t>
        </is>
      </c>
      <c r="B2012" s="1" t="n">
        <v>45463</v>
      </c>
      <c r="C2012" s="1" t="n">
        <v>45895</v>
      </c>
      <c r="D2012" t="inlineStr">
        <is>
          <t>NORRBOTTENS LÄN</t>
        </is>
      </c>
      <c r="E2012" t="inlineStr">
        <is>
          <t>LULEÅ</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21187-2025</t>
        </is>
      </c>
      <c r="B2013" s="1" t="n">
        <v>45779</v>
      </c>
      <c r="C2013" s="1" t="n">
        <v>45895</v>
      </c>
      <c r="D2013" t="inlineStr">
        <is>
          <t>NORRBOTTENS LÄN</t>
        </is>
      </c>
      <c r="E2013" t="inlineStr">
        <is>
          <t>ÖVERKALIX</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21295-2025</t>
        </is>
      </c>
      <c r="B2014" s="1" t="n">
        <v>45780</v>
      </c>
      <c r="C2014" s="1" t="n">
        <v>45895</v>
      </c>
      <c r="D2014" t="inlineStr">
        <is>
          <t>NORRBOTTENS LÄN</t>
        </is>
      </c>
      <c r="E2014" t="inlineStr">
        <is>
          <t>PAJALA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44530-2024</t>
        </is>
      </c>
      <c r="B2015" s="1" t="n">
        <v>45574</v>
      </c>
      <c r="C2015" s="1" t="n">
        <v>45895</v>
      </c>
      <c r="D2015" t="inlineStr">
        <is>
          <t>NORRBOTTENS LÄN</t>
        </is>
      </c>
      <c r="E2015" t="inlineStr">
        <is>
          <t>GÄLLIVARE</t>
        </is>
      </c>
      <c r="F2015" t="inlineStr">
        <is>
          <t>Sveaskog</t>
        </is>
      </c>
      <c r="G2015" t="n">
        <v>15.9</v>
      </c>
      <c r="H2015" t="n">
        <v>0</v>
      </c>
      <c r="I2015" t="n">
        <v>0</v>
      </c>
      <c r="J2015" t="n">
        <v>0</v>
      </c>
      <c r="K2015" t="n">
        <v>0</v>
      </c>
      <c r="L2015" t="n">
        <v>0</v>
      </c>
      <c r="M2015" t="n">
        <v>0</v>
      </c>
      <c r="N2015" t="n">
        <v>0</v>
      </c>
      <c r="O2015" t="n">
        <v>0</v>
      </c>
      <c r="P2015" t="n">
        <v>0</v>
      </c>
      <c r="Q2015" t="n">
        <v>0</v>
      </c>
      <c r="R2015" s="2" t="inlineStr"/>
    </row>
    <row r="2016" ht="15" customHeight="1">
      <c r="A2016" t="inlineStr">
        <is>
          <t>A 44553-2024</t>
        </is>
      </c>
      <c r="B2016" s="1" t="n">
        <v>45574.46930555555</v>
      </c>
      <c r="C2016" s="1" t="n">
        <v>45895</v>
      </c>
      <c r="D2016" t="inlineStr">
        <is>
          <t>NORRBOTTENS LÄN</t>
        </is>
      </c>
      <c r="E2016" t="inlineStr">
        <is>
          <t>BODEN</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44567-2024</t>
        </is>
      </c>
      <c r="B2017" s="1" t="n">
        <v>45574</v>
      </c>
      <c r="C2017" s="1" t="n">
        <v>45895</v>
      </c>
      <c r="D2017" t="inlineStr">
        <is>
          <t>NORRBOTTENS LÄN</t>
        </is>
      </c>
      <c r="E2017" t="inlineStr">
        <is>
          <t>BODEN</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41578-2024</t>
        </is>
      </c>
      <c r="B2018" s="1" t="n">
        <v>45560.5528125</v>
      </c>
      <c r="C2018" s="1" t="n">
        <v>45895</v>
      </c>
      <c r="D2018" t="inlineStr">
        <is>
          <t>NORRBOTTENS LÄN</t>
        </is>
      </c>
      <c r="E2018" t="inlineStr">
        <is>
          <t>KALIX</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5498-2023</t>
        </is>
      </c>
      <c r="B2019" s="1" t="n">
        <v>44957</v>
      </c>
      <c r="C2019" s="1" t="n">
        <v>45895</v>
      </c>
      <c r="D2019" t="inlineStr">
        <is>
          <t>NORRBOTTENS LÄN</t>
        </is>
      </c>
      <c r="E2019" t="inlineStr">
        <is>
          <t>HAPARANDA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9112-2024</t>
        </is>
      </c>
      <c r="B2020" s="1" t="n">
        <v>45357.96129629629</v>
      </c>
      <c r="C2020" s="1" t="n">
        <v>45895</v>
      </c>
      <c r="D2020" t="inlineStr">
        <is>
          <t>NORRBOTTENS LÄN</t>
        </is>
      </c>
      <c r="E2020" t="inlineStr">
        <is>
          <t>PITEÅ</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54175-2020</t>
        </is>
      </c>
      <c r="B2021" s="1" t="n">
        <v>44125</v>
      </c>
      <c r="C2021" s="1" t="n">
        <v>45895</v>
      </c>
      <c r="D2021" t="inlineStr">
        <is>
          <t>NORRBOTTENS LÄN</t>
        </is>
      </c>
      <c r="E2021" t="inlineStr">
        <is>
          <t>PAJALA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26835-2024</t>
        </is>
      </c>
      <c r="B2022" s="1" t="n">
        <v>45470.57364583333</v>
      </c>
      <c r="C2022" s="1" t="n">
        <v>45895</v>
      </c>
      <c r="D2022" t="inlineStr">
        <is>
          <t>NORRBOTTENS LÄN</t>
        </is>
      </c>
      <c r="E2022" t="inlineStr">
        <is>
          <t>ARVIDSJAUR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38577-2024</t>
        </is>
      </c>
      <c r="B2023" s="1" t="n">
        <v>45546</v>
      </c>
      <c r="C2023" s="1" t="n">
        <v>45895</v>
      </c>
      <c r="D2023" t="inlineStr">
        <is>
          <t>NORRBOTTENS LÄN</t>
        </is>
      </c>
      <c r="E2023" t="inlineStr">
        <is>
          <t>KIRUNA</t>
        </is>
      </c>
      <c r="G2023" t="n">
        <v>39.8</v>
      </c>
      <c r="H2023" t="n">
        <v>0</v>
      </c>
      <c r="I2023" t="n">
        <v>0</v>
      </c>
      <c r="J2023" t="n">
        <v>0</v>
      </c>
      <c r="K2023" t="n">
        <v>0</v>
      </c>
      <c r="L2023" t="n">
        <v>0</v>
      </c>
      <c r="M2023" t="n">
        <v>0</v>
      </c>
      <c r="N2023" t="n">
        <v>0</v>
      </c>
      <c r="O2023" t="n">
        <v>0</v>
      </c>
      <c r="P2023" t="n">
        <v>0</v>
      </c>
      <c r="Q2023" t="n">
        <v>0</v>
      </c>
      <c r="R2023" s="2" t="inlineStr"/>
    </row>
    <row r="2024" ht="15" customHeight="1">
      <c r="A2024" t="inlineStr">
        <is>
          <t>A 54173-2020</t>
        </is>
      </c>
      <c r="B2024" s="1" t="n">
        <v>44125</v>
      </c>
      <c r="C2024" s="1" t="n">
        <v>45895</v>
      </c>
      <c r="D2024" t="inlineStr">
        <is>
          <t>NORRBOTTENS LÄN</t>
        </is>
      </c>
      <c r="E2024" t="inlineStr">
        <is>
          <t>PAJALA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25510-2024</t>
        </is>
      </c>
      <c r="B2025" s="1" t="n">
        <v>45463</v>
      </c>
      <c r="C2025" s="1" t="n">
        <v>45895</v>
      </c>
      <c r="D2025" t="inlineStr">
        <is>
          <t>NORRBOTTENS LÄN</t>
        </is>
      </c>
      <c r="E2025" t="inlineStr">
        <is>
          <t>ÖVERKALIX</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21380-2025</t>
        </is>
      </c>
      <c r="B2026" s="1" t="n">
        <v>45782</v>
      </c>
      <c r="C2026" s="1" t="n">
        <v>45895</v>
      </c>
      <c r="D2026" t="inlineStr">
        <is>
          <t>NORRBOTTENS LÄN</t>
        </is>
      </c>
      <c r="E2026" t="inlineStr">
        <is>
          <t>PAJALA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1486-2024</t>
        </is>
      </c>
      <c r="B2027" s="1" t="n">
        <v>45305</v>
      </c>
      <c r="C2027" s="1" t="n">
        <v>45895</v>
      </c>
      <c r="D2027" t="inlineStr">
        <is>
          <t>NORRBOTTENS LÄN</t>
        </is>
      </c>
      <c r="E2027" t="inlineStr">
        <is>
          <t>ÄLVSBYN</t>
        </is>
      </c>
      <c r="G2027" t="n">
        <v>92.09999999999999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47063-2020</t>
        </is>
      </c>
      <c r="B2028" s="1" t="n">
        <v>44096</v>
      </c>
      <c r="C2028" s="1" t="n">
        <v>45895</v>
      </c>
      <c r="D2028" t="inlineStr">
        <is>
          <t>NORRBOTTENS LÄN</t>
        </is>
      </c>
      <c r="E2028" t="inlineStr">
        <is>
          <t>LULEÅ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28721-2024</t>
        </is>
      </c>
      <c r="B2029" s="1" t="n">
        <v>45478.54922453704</v>
      </c>
      <c r="C2029" s="1" t="n">
        <v>45895</v>
      </c>
      <c r="D2029" t="inlineStr">
        <is>
          <t>NORRBOTTENS LÄN</t>
        </is>
      </c>
      <c r="E2029" t="inlineStr">
        <is>
          <t>PITEÅ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2908-2024</t>
        </is>
      </c>
      <c r="B2030" s="1" t="n">
        <v>45315</v>
      </c>
      <c r="C2030" s="1" t="n">
        <v>45895</v>
      </c>
      <c r="D2030" t="inlineStr">
        <is>
          <t>NORRBOTTENS LÄN</t>
        </is>
      </c>
      <c r="E2030" t="inlineStr">
        <is>
          <t>ARVIDSJAUR</t>
        </is>
      </c>
      <c r="F2030" t="inlineStr">
        <is>
          <t>Allmännings- och besparingsskogar</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28727-2024</t>
        </is>
      </c>
      <c r="B2031" s="1" t="n">
        <v>45478.55758101852</v>
      </c>
      <c r="C2031" s="1" t="n">
        <v>45895</v>
      </c>
      <c r="D2031" t="inlineStr">
        <is>
          <t>NORRBOTTENS LÄN</t>
        </is>
      </c>
      <c r="E2031" t="inlineStr">
        <is>
          <t>PITEÅ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10921-2024</t>
        </is>
      </c>
      <c r="B2032" s="1" t="n">
        <v>45370</v>
      </c>
      <c r="C2032" s="1" t="n">
        <v>45895</v>
      </c>
      <c r="D2032" t="inlineStr">
        <is>
          <t>NORRBOTTENS LÄN</t>
        </is>
      </c>
      <c r="E2032" t="inlineStr">
        <is>
          <t>BODEN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44559-2024</t>
        </is>
      </c>
      <c r="B2033" s="1" t="n">
        <v>45574.47001157407</v>
      </c>
      <c r="C2033" s="1" t="n">
        <v>45895</v>
      </c>
      <c r="D2033" t="inlineStr">
        <is>
          <t>NORRBOTTENS LÄN</t>
        </is>
      </c>
      <c r="E2033" t="inlineStr">
        <is>
          <t>PITEÅ</t>
        </is>
      </c>
      <c r="F2033" t="inlineStr">
        <is>
          <t>Sveaskog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22997-2024</t>
        </is>
      </c>
      <c r="B2034" s="1" t="n">
        <v>45450</v>
      </c>
      <c r="C2034" s="1" t="n">
        <v>45895</v>
      </c>
      <c r="D2034" t="inlineStr">
        <is>
          <t>NORRBOTTENS LÄN</t>
        </is>
      </c>
      <c r="E2034" t="inlineStr">
        <is>
          <t>ARVIDSJAUR</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16044-2024</t>
        </is>
      </c>
      <c r="B2035" s="1" t="n">
        <v>45405.96737268518</v>
      </c>
      <c r="C2035" s="1" t="n">
        <v>45895</v>
      </c>
      <c r="D2035" t="inlineStr">
        <is>
          <t>NORRBOTTENS LÄN</t>
        </is>
      </c>
      <c r="E2035" t="inlineStr">
        <is>
          <t>PITEÅ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21777-2024</t>
        </is>
      </c>
      <c r="B2036" s="1" t="n">
        <v>45442</v>
      </c>
      <c r="C2036" s="1" t="n">
        <v>45895</v>
      </c>
      <c r="D2036" t="inlineStr">
        <is>
          <t>NORRBOTTENS LÄN</t>
        </is>
      </c>
      <c r="E2036" t="inlineStr">
        <is>
          <t>ÖVERKALIX</t>
        </is>
      </c>
      <c r="F2036" t="inlineStr">
        <is>
          <t>Sveaskog</t>
        </is>
      </c>
      <c r="G2036" t="n">
        <v>30.5</v>
      </c>
      <c r="H2036" t="n">
        <v>0</v>
      </c>
      <c r="I2036" t="n">
        <v>0</v>
      </c>
      <c r="J2036" t="n">
        <v>0</v>
      </c>
      <c r="K2036" t="n">
        <v>0</v>
      </c>
      <c r="L2036" t="n">
        <v>0</v>
      </c>
      <c r="M2036" t="n">
        <v>0</v>
      </c>
      <c r="N2036" t="n">
        <v>0</v>
      </c>
      <c r="O2036" t="n">
        <v>0</v>
      </c>
      <c r="P2036" t="n">
        <v>0</v>
      </c>
      <c r="Q2036" t="n">
        <v>0</v>
      </c>
      <c r="R2036" s="2" t="inlineStr"/>
    </row>
    <row r="2037" ht="15" customHeight="1">
      <c r="A2037" t="inlineStr">
        <is>
          <t>A 64649-2023</t>
        </is>
      </c>
      <c r="B2037" s="1" t="n">
        <v>45281.57570601852</v>
      </c>
      <c r="C2037" s="1" t="n">
        <v>45895</v>
      </c>
      <c r="D2037" t="inlineStr">
        <is>
          <t>NORRBOTTENS LÄN</t>
        </is>
      </c>
      <c r="E2037" t="inlineStr">
        <is>
          <t>BODEN</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21534-2025</t>
        </is>
      </c>
      <c r="B2038" s="1" t="n">
        <v>45782.6568287037</v>
      </c>
      <c r="C2038" s="1" t="n">
        <v>45895</v>
      </c>
      <c r="D2038" t="inlineStr">
        <is>
          <t>NORRBOTTENS LÄN</t>
        </is>
      </c>
      <c r="E2038" t="inlineStr">
        <is>
          <t>HAPARANDA</t>
        </is>
      </c>
      <c r="F2038" t="inlineStr">
        <is>
          <t>Kommuner</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26366-2024</t>
        </is>
      </c>
      <c r="B2039" s="1" t="n">
        <v>45469.38991898148</v>
      </c>
      <c r="C2039" s="1" t="n">
        <v>45895</v>
      </c>
      <c r="D2039" t="inlineStr">
        <is>
          <t>NORRBOTTENS LÄN</t>
        </is>
      </c>
      <c r="E2039" t="inlineStr">
        <is>
          <t>ÖVERKALIX</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36980-2023</t>
        </is>
      </c>
      <c r="B2040" s="1" t="n">
        <v>45154.95482638889</v>
      </c>
      <c r="C2040" s="1" t="n">
        <v>45895</v>
      </c>
      <c r="D2040" t="inlineStr">
        <is>
          <t>NORRBOTTENS LÄN</t>
        </is>
      </c>
      <c r="E2040" t="inlineStr">
        <is>
          <t>GÄLLIVARE</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36403-2023</t>
        </is>
      </c>
      <c r="B2041" s="1" t="n">
        <v>45152</v>
      </c>
      <c r="C2041" s="1" t="n">
        <v>45895</v>
      </c>
      <c r="D2041" t="inlineStr">
        <is>
          <t>NORRBOTTENS LÄN</t>
        </is>
      </c>
      <c r="E2041" t="inlineStr">
        <is>
          <t>ARVIDSJAUR</t>
        </is>
      </c>
      <c r="F2041" t="inlineStr">
        <is>
          <t>Sveaskog</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21547-2025</t>
        </is>
      </c>
      <c r="B2042" s="1" t="n">
        <v>45782.6719212963</v>
      </c>
      <c r="C2042" s="1" t="n">
        <v>45895</v>
      </c>
      <c r="D2042" t="inlineStr">
        <is>
          <t>NORRBOTTENS LÄN</t>
        </is>
      </c>
      <c r="E2042" t="inlineStr">
        <is>
          <t>HAPARANDA</t>
        </is>
      </c>
      <c r="F2042" t="inlineStr">
        <is>
          <t>Kommuner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21577-2025</t>
        </is>
      </c>
      <c r="B2043" s="1" t="n">
        <v>45782</v>
      </c>
      <c r="C2043" s="1" t="n">
        <v>45895</v>
      </c>
      <c r="D2043" t="inlineStr">
        <is>
          <t>NORRBOTTENS LÄN</t>
        </is>
      </c>
      <c r="E2043" t="inlineStr">
        <is>
          <t>HAPARANDA</t>
        </is>
      </c>
      <c r="F2043" t="inlineStr">
        <is>
          <t>Kommuner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21643-2024</t>
        </is>
      </c>
      <c r="B2044" s="1" t="n">
        <v>45442.35251157408</v>
      </c>
      <c r="C2044" s="1" t="n">
        <v>45895</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21349-2025</t>
        </is>
      </c>
      <c r="B2045" s="1" t="n">
        <v>45782.40684027778</v>
      </c>
      <c r="C2045" s="1" t="n">
        <v>45895</v>
      </c>
      <c r="D2045" t="inlineStr">
        <is>
          <t>NORRBOTTENS LÄN</t>
        </is>
      </c>
      <c r="E2045" t="inlineStr">
        <is>
          <t>BODEN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35169-2022</t>
        </is>
      </c>
      <c r="B2046" s="1" t="n">
        <v>44797.6012962963</v>
      </c>
      <c r="C2046" s="1" t="n">
        <v>45895</v>
      </c>
      <c r="D2046" t="inlineStr">
        <is>
          <t>NORRBOTTENS LÄN</t>
        </is>
      </c>
      <c r="E2046" t="inlineStr">
        <is>
          <t>ÖVERKALIX</t>
        </is>
      </c>
      <c r="F2046" t="inlineStr">
        <is>
          <t>Sveaskog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31281-2024</t>
        </is>
      </c>
      <c r="B2047" s="1" t="n">
        <v>45504.41072916667</v>
      </c>
      <c r="C2047" s="1" t="n">
        <v>45895</v>
      </c>
      <c r="D2047" t="inlineStr">
        <is>
          <t>NORRBOTTENS LÄN</t>
        </is>
      </c>
      <c r="E2047" t="inlineStr">
        <is>
          <t>PITEÅ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31355-2024</t>
        </is>
      </c>
      <c r="B2048" s="1" t="n">
        <v>45505</v>
      </c>
      <c r="C2048" s="1" t="n">
        <v>45895</v>
      </c>
      <c r="D2048" t="inlineStr">
        <is>
          <t>NORRBOTTENS LÄN</t>
        </is>
      </c>
      <c r="E2048" t="inlineStr">
        <is>
          <t>PAJALA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13526-2024</t>
        </is>
      </c>
      <c r="B2049" s="1" t="n">
        <v>45387</v>
      </c>
      <c r="C2049" s="1" t="n">
        <v>45895</v>
      </c>
      <c r="D2049" t="inlineStr">
        <is>
          <t>NORRBOTTENS LÄN</t>
        </is>
      </c>
      <c r="E2049" t="inlineStr">
        <is>
          <t>KIRUNA</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18489-2024</t>
        </is>
      </c>
      <c r="B2050" s="1" t="n">
        <v>45425</v>
      </c>
      <c r="C2050" s="1" t="n">
        <v>45895</v>
      </c>
      <c r="D2050" t="inlineStr">
        <is>
          <t>NORRBOTTENS LÄN</t>
        </is>
      </c>
      <c r="E2050" t="inlineStr">
        <is>
          <t>ÖVERTORNEÅ</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36057-2023</t>
        </is>
      </c>
      <c r="B2051" s="1" t="n">
        <v>45149.44966435185</v>
      </c>
      <c r="C2051" s="1" t="n">
        <v>45895</v>
      </c>
      <c r="D2051" t="inlineStr">
        <is>
          <t>NORRBOTTENS LÄN</t>
        </is>
      </c>
      <c r="E2051" t="inlineStr">
        <is>
          <t>ÖVERTORNEÅ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21209-2025</t>
        </is>
      </c>
      <c r="B2052" s="1" t="n">
        <v>45779.48663194444</v>
      </c>
      <c r="C2052" s="1" t="n">
        <v>45895</v>
      </c>
      <c r="D2052" t="inlineStr">
        <is>
          <t>NORRBOTTENS LÄN</t>
        </is>
      </c>
      <c r="E2052" t="inlineStr">
        <is>
          <t>ÖVERKALIX</t>
        </is>
      </c>
      <c r="F2052" t="inlineStr">
        <is>
          <t>Sveaskog</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21329-2024</t>
        </is>
      </c>
      <c r="B2053" s="1" t="n">
        <v>45440.84460648148</v>
      </c>
      <c r="C2053" s="1" t="n">
        <v>45895</v>
      </c>
      <c r="D2053" t="inlineStr">
        <is>
          <t>NORRBOTTENS LÄN</t>
        </is>
      </c>
      <c r="E2053" t="inlineStr">
        <is>
          <t>BODEN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21335-2024</t>
        </is>
      </c>
      <c r="B2054" s="1" t="n">
        <v>45429</v>
      </c>
      <c r="C2054" s="1" t="n">
        <v>45895</v>
      </c>
      <c r="D2054" t="inlineStr">
        <is>
          <t>NORRBOTTENS LÄN</t>
        </is>
      </c>
      <c r="E2054" t="inlineStr">
        <is>
          <t>BODEN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20082-2024</t>
        </is>
      </c>
      <c r="B2055" s="1" t="n">
        <v>45434.44953703704</v>
      </c>
      <c r="C2055" s="1" t="n">
        <v>45895</v>
      </c>
      <c r="D2055" t="inlineStr">
        <is>
          <t>NORRBOTTENS LÄN</t>
        </is>
      </c>
      <c r="E2055" t="inlineStr">
        <is>
          <t>PITEÅ</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40947-2024</t>
        </is>
      </c>
      <c r="B2056" s="1" t="n">
        <v>45558</v>
      </c>
      <c r="C2056" s="1" t="n">
        <v>45895</v>
      </c>
      <c r="D2056" t="inlineStr">
        <is>
          <t>NORRBOTTENS LÄN</t>
        </is>
      </c>
      <c r="E2056" t="inlineStr">
        <is>
          <t>PAJALA</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47371-2024</t>
        </is>
      </c>
      <c r="B2057" s="1" t="n">
        <v>45587</v>
      </c>
      <c r="C2057" s="1" t="n">
        <v>45895</v>
      </c>
      <c r="D2057" t="inlineStr">
        <is>
          <t>NORRBOTTENS LÄN</t>
        </is>
      </c>
      <c r="E2057" t="inlineStr">
        <is>
          <t>ÄLVSBYN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68611-2021</t>
        </is>
      </c>
      <c r="B2058" s="1" t="n">
        <v>44529</v>
      </c>
      <c r="C2058" s="1" t="n">
        <v>45895</v>
      </c>
      <c r="D2058" t="inlineStr">
        <is>
          <t>NORRBOTTENS LÄN</t>
        </is>
      </c>
      <c r="E2058" t="inlineStr">
        <is>
          <t>BODEN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26841-2024</t>
        </is>
      </c>
      <c r="B2059" s="1" t="n">
        <v>45470.57751157408</v>
      </c>
      <c r="C2059" s="1" t="n">
        <v>45895</v>
      </c>
      <c r="D2059" t="inlineStr">
        <is>
          <t>NORRBOTTENS LÄN</t>
        </is>
      </c>
      <c r="E2059" t="inlineStr">
        <is>
          <t>ARVIDSJAUR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34202-2024</t>
        </is>
      </c>
      <c r="B2060" s="1" t="n">
        <v>45524</v>
      </c>
      <c r="C2060" s="1" t="n">
        <v>45895</v>
      </c>
      <c r="D2060" t="inlineStr">
        <is>
          <t>NORRBOTTENS LÄN</t>
        </is>
      </c>
      <c r="E2060" t="inlineStr">
        <is>
          <t>PAJALA</t>
        </is>
      </c>
      <c r="G2060" t="n">
        <v>14.2</v>
      </c>
      <c r="H2060" t="n">
        <v>0</v>
      </c>
      <c r="I2060" t="n">
        <v>0</v>
      </c>
      <c r="J2060" t="n">
        <v>0</v>
      </c>
      <c r="K2060" t="n">
        <v>0</v>
      </c>
      <c r="L2060" t="n">
        <v>0</v>
      </c>
      <c r="M2060" t="n">
        <v>0</v>
      </c>
      <c r="N2060" t="n">
        <v>0</v>
      </c>
      <c r="O2060" t="n">
        <v>0</v>
      </c>
      <c r="P2060" t="n">
        <v>0</v>
      </c>
      <c r="Q2060" t="n">
        <v>0</v>
      </c>
      <c r="R2060" s="2" t="inlineStr"/>
    </row>
    <row r="2061" ht="15" customHeight="1">
      <c r="A2061" t="inlineStr">
        <is>
          <t>A 21444-2025</t>
        </is>
      </c>
      <c r="B2061" s="1" t="n">
        <v>45782.54247685185</v>
      </c>
      <c r="C2061" s="1" t="n">
        <v>45895</v>
      </c>
      <c r="D2061" t="inlineStr">
        <is>
          <t>NORRBOTTENS LÄN</t>
        </is>
      </c>
      <c r="E2061" t="inlineStr">
        <is>
          <t>PITEÅ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23166-2024</t>
        </is>
      </c>
      <c r="B2062" s="1" t="n">
        <v>45450</v>
      </c>
      <c r="C2062" s="1" t="n">
        <v>45895</v>
      </c>
      <c r="D2062" t="inlineStr">
        <is>
          <t>NORRBOTTENS LÄN</t>
        </is>
      </c>
      <c r="E2062" t="inlineStr">
        <is>
          <t>PAJALA</t>
        </is>
      </c>
      <c r="F2062" t="inlineStr">
        <is>
          <t>Allmännings- och besparingsskogar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55772-2022</t>
        </is>
      </c>
      <c r="B2063" s="1" t="n">
        <v>44886</v>
      </c>
      <c r="C2063" s="1" t="n">
        <v>45895</v>
      </c>
      <c r="D2063" t="inlineStr">
        <is>
          <t>NORRBOTTENS LÄN</t>
        </is>
      </c>
      <c r="E2063" t="inlineStr">
        <is>
          <t>ÖVERKALIX</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56111-2021</t>
        </is>
      </c>
      <c r="B2064" s="1" t="n">
        <v>44477</v>
      </c>
      <c r="C2064" s="1" t="n">
        <v>45895</v>
      </c>
      <c r="D2064" t="inlineStr">
        <is>
          <t>NORRBOTTENS LÄN</t>
        </is>
      </c>
      <c r="E2064" t="inlineStr">
        <is>
          <t>BODEN</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56166-2021</t>
        </is>
      </c>
      <c r="B2065" s="1" t="n">
        <v>44477.66917824074</v>
      </c>
      <c r="C2065" s="1" t="n">
        <v>45895</v>
      </c>
      <c r="D2065" t="inlineStr">
        <is>
          <t>NORRBOTTENS LÄN</t>
        </is>
      </c>
      <c r="E2065" t="inlineStr">
        <is>
          <t>PAJALA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21494-2025</t>
        </is>
      </c>
      <c r="B2066" s="1" t="n">
        <v>45782.5971412037</v>
      </c>
      <c r="C2066" s="1" t="n">
        <v>45895</v>
      </c>
      <c r="D2066" t="inlineStr">
        <is>
          <t>NORRBOTTENS LÄN</t>
        </is>
      </c>
      <c r="E2066" t="inlineStr">
        <is>
          <t>PITEÅ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29961-2023</t>
        </is>
      </c>
      <c r="B2067" s="1" t="n">
        <v>45107.93931712963</v>
      </c>
      <c r="C2067" s="1" t="n">
        <v>45895</v>
      </c>
      <c r="D2067" t="inlineStr">
        <is>
          <t>NORRBOTTENS LÄN</t>
        </is>
      </c>
      <c r="E2067" t="inlineStr">
        <is>
          <t>ÖVERKALIX</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21498-2025</t>
        </is>
      </c>
      <c r="B2068" s="1" t="n">
        <v>45782.60648148148</v>
      </c>
      <c r="C2068" s="1" t="n">
        <v>45895</v>
      </c>
      <c r="D2068" t="inlineStr">
        <is>
          <t>NORRBOTTENS LÄN</t>
        </is>
      </c>
      <c r="E2068" t="inlineStr">
        <is>
          <t>PITEÅ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21540-2025</t>
        </is>
      </c>
      <c r="B2069" s="1" t="n">
        <v>45782.66539351852</v>
      </c>
      <c r="C2069" s="1" t="n">
        <v>45895</v>
      </c>
      <c r="D2069" t="inlineStr">
        <is>
          <t>NORRBOTTENS LÄN</t>
        </is>
      </c>
      <c r="E2069" t="inlineStr">
        <is>
          <t>PITEÅ</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21386-2025</t>
        </is>
      </c>
      <c r="B2070" s="1" t="n">
        <v>45782</v>
      </c>
      <c r="C2070" s="1" t="n">
        <v>45895</v>
      </c>
      <c r="D2070" t="inlineStr">
        <is>
          <t>NORRBOTTENS LÄN</t>
        </is>
      </c>
      <c r="E2070" t="inlineStr">
        <is>
          <t>ÖVERTORNEÅ</t>
        </is>
      </c>
      <c r="G2070" t="n">
        <v>30</v>
      </c>
      <c r="H2070" t="n">
        <v>0</v>
      </c>
      <c r="I2070" t="n">
        <v>0</v>
      </c>
      <c r="J2070" t="n">
        <v>0</v>
      </c>
      <c r="K2070" t="n">
        <v>0</v>
      </c>
      <c r="L2070" t="n">
        <v>0</v>
      </c>
      <c r="M2070" t="n">
        <v>0</v>
      </c>
      <c r="N2070" t="n">
        <v>0</v>
      </c>
      <c r="O2070" t="n">
        <v>0</v>
      </c>
      <c r="P2070" t="n">
        <v>0</v>
      </c>
      <c r="Q2070" t="n">
        <v>0</v>
      </c>
      <c r="R2070" s="2" t="inlineStr"/>
    </row>
    <row r="2071" ht="15" customHeight="1">
      <c r="A2071" t="inlineStr">
        <is>
          <t>A 52812-2024</t>
        </is>
      </c>
      <c r="B2071" s="1" t="n">
        <v>45610.58070601852</v>
      </c>
      <c r="C2071" s="1" t="n">
        <v>45895</v>
      </c>
      <c r="D2071" t="inlineStr">
        <is>
          <t>NORRBOTTENS LÄN</t>
        </is>
      </c>
      <c r="E2071" t="inlineStr">
        <is>
          <t>JOKKMOKK</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18166-2023</t>
        </is>
      </c>
      <c r="B2072" s="1" t="n">
        <v>45040.94335648148</v>
      </c>
      <c r="C2072" s="1" t="n">
        <v>45895</v>
      </c>
      <c r="D2072" t="inlineStr">
        <is>
          <t>NORRBOTTENS LÄN</t>
        </is>
      </c>
      <c r="E2072" t="inlineStr">
        <is>
          <t>LULEÅ</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23302-2023</t>
        </is>
      </c>
      <c r="B2073" s="1" t="n">
        <v>45075</v>
      </c>
      <c r="C2073" s="1" t="n">
        <v>45895</v>
      </c>
      <c r="D2073" t="inlineStr">
        <is>
          <t>NORRBOTTENS LÄN</t>
        </is>
      </c>
      <c r="E2073" t="inlineStr">
        <is>
          <t>ÖVERKALIX</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21520-2025</t>
        </is>
      </c>
      <c r="B2074" s="1" t="n">
        <v>45782</v>
      </c>
      <c r="C2074" s="1" t="n">
        <v>45895</v>
      </c>
      <c r="D2074" t="inlineStr">
        <is>
          <t>NORRBOTTENS LÄN</t>
        </is>
      </c>
      <c r="E2074" t="inlineStr">
        <is>
          <t>ÖVERKALIX</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58447-2023</t>
        </is>
      </c>
      <c r="B2075" s="1" t="n">
        <v>45250</v>
      </c>
      <c r="C2075" s="1" t="n">
        <v>45895</v>
      </c>
      <c r="D2075" t="inlineStr">
        <is>
          <t>NORRBOTTENS LÄN</t>
        </is>
      </c>
      <c r="E2075" t="inlineStr">
        <is>
          <t>ÄLVSBYN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21516-2025</t>
        </is>
      </c>
      <c r="B2076" s="1" t="n">
        <v>45782</v>
      </c>
      <c r="C2076" s="1" t="n">
        <v>45895</v>
      </c>
      <c r="D2076" t="inlineStr">
        <is>
          <t>NORRBOTTENS LÄN</t>
        </is>
      </c>
      <c r="E2076" t="inlineStr">
        <is>
          <t>ÖVERKALIX</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9585-2024</t>
        </is>
      </c>
      <c r="B2077" s="1" t="n">
        <v>45360.62126157407</v>
      </c>
      <c r="C2077" s="1" t="n">
        <v>45895</v>
      </c>
      <c r="D2077" t="inlineStr">
        <is>
          <t>NORRBOTTENS LÄN</t>
        </is>
      </c>
      <c r="E2077" t="inlineStr">
        <is>
          <t>PAJALA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31326-2023</t>
        </is>
      </c>
      <c r="B2078" s="1" t="n">
        <v>45114</v>
      </c>
      <c r="C2078" s="1" t="n">
        <v>45895</v>
      </c>
      <c r="D2078" t="inlineStr">
        <is>
          <t>NORRBOTTENS LÄN</t>
        </is>
      </c>
      <c r="E2078" t="inlineStr">
        <is>
          <t>PAJALA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33134-2023</t>
        </is>
      </c>
      <c r="B2079" s="1" t="n">
        <v>45114</v>
      </c>
      <c r="C2079" s="1" t="n">
        <v>45895</v>
      </c>
      <c r="D2079" t="inlineStr">
        <is>
          <t>NORRBOTTENS LÄN</t>
        </is>
      </c>
      <c r="E2079" t="inlineStr">
        <is>
          <t>ARVIDSJAUR</t>
        </is>
      </c>
      <c r="G2079" t="n">
        <v>16.3</v>
      </c>
      <c r="H2079" t="n">
        <v>0</v>
      </c>
      <c r="I2079" t="n">
        <v>0</v>
      </c>
      <c r="J2079" t="n">
        <v>0</v>
      </c>
      <c r="K2079" t="n">
        <v>0</v>
      </c>
      <c r="L2079" t="n">
        <v>0</v>
      </c>
      <c r="M2079" t="n">
        <v>0</v>
      </c>
      <c r="N2079" t="n">
        <v>0</v>
      </c>
      <c r="O2079" t="n">
        <v>0</v>
      </c>
      <c r="P2079" t="n">
        <v>0</v>
      </c>
      <c r="Q2079" t="n">
        <v>0</v>
      </c>
      <c r="R2079" s="2" t="inlineStr"/>
    </row>
    <row r="2080" ht="15" customHeight="1">
      <c r="A2080" t="inlineStr">
        <is>
          <t>A 30727-2023</t>
        </is>
      </c>
      <c r="B2080" s="1" t="n">
        <v>45112</v>
      </c>
      <c r="C2080" s="1" t="n">
        <v>45895</v>
      </c>
      <c r="D2080" t="inlineStr">
        <is>
          <t>NORRBOTTENS LÄN</t>
        </is>
      </c>
      <c r="E2080" t="inlineStr">
        <is>
          <t>LULEÅ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52145-2024</t>
        </is>
      </c>
      <c r="B2081" s="1" t="n">
        <v>45608.51888888889</v>
      </c>
      <c r="C2081" s="1" t="n">
        <v>45895</v>
      </c>
      <c r="D2081" t="inlineStr">
        <is>
          <t>NORRBOTTENS LÄN</t>
        </is>
      </c>
      <c r="E2081" t="inlineStr">
        <is>
          <t>ARVIDSJAUR</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21423-2025</t>
        </is>
      </c>
      <c r="B2082" s="1" t="n">
        <v>45782</v>
      </c>
      <c r="C2082" s="1" t="n">
        <v>45895</v>
      </c>
      <c r="D2082" t="inlineStr">
        <is>
          <t>NORRBOTTENS LÄN</t>
        </is>
      </c>
      <c r="E2082" t="inlineStr">
        <is>
          <t>ÖVERKALIX</t>
        </is>
      </c>
      <c r="F2082" t="inlineStr">
        <is>
          <t>Sveaskog</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5693-2023</t>
        </is>
      </c>
      <c r="B2083" s="1" t="n">
        <v>44960.94096064815</v>
      </c>
      <c r="C2083" s="1" t="n">
        <v>45895</v>
      </c>
      <c r="D2083" t="inlineStr">
        <is>
          <t>NORRBOTTENS LÄN</t>
        </is>
      </c>
      <c r="E2083" t="inlineStr">
        <is>
          <t>PAJALA</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29625-2023</t>
        </is>
      </c>
      <c r="B2084" s="1" t="n">
        <v>45106.94556712963</v>
      </c>
      <c r="C2084" s="1" t="n">
        <v>45895</v>
      </c>
      <c r="D2084" t="inlineStr">
        <is>
          <t>NORRBOTTENS LÄN</t>
        </is>
      </c>
      <c r="E2084" t="inlineStr">
        <is>
          <t>JOKKMOKK</t>
        </is>
      </c>
      <c r="F2084" t="inlineStr">
        <is>
          <t>SCA</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21919-2025</t>
        </is>
      </c>
      <c r="B2085" s="1" t="n">
        <v>45784.51063657407</v>
      </c>
      <c r="C2085" s="1" t="n">
        <v>45895</v>
      </c>
      <c r="D2085" t="inlineStr">
        <is>
          <t>NORRBOTTENS LÄN</t>
        </is>
      </c>
      <c r="E2085" t="inlineStr">
        <is>
          <t>KALIX</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8626-2023</t>
        </is>
      </c>
      <c r="B2086" s="1" t="n">
        <v>44977</v>
      </c>
      <c r="C2086" s="1" t="n">
        <v>45895</v>
      </c>
      <c r="D2086" t="inlineStr">
        <is>
          <t>NORRBOTTENS LÄN</t>
        </is>
      </c>
      <c r="E2086" t="inlineStr">
        <is>
          <t>ARVIDSJAUR</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38271-2024</t>
        </is>
      </c>
      <c r="B2087" s="1" t="n">
        <v>45545</v>
      </c>
      <c r="C2087" s="1" t="n">
        <v>45895</v>
      </c>
      <c r="D2087" t="inlineStr">
        <is>
          <t>NORRBOTTENS LÄN</t>
        </is>
      </c>
      <c r="E2087" t="inlineStr">
        <is>
          <t>ARVIDSJAUR</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51304-2022</t>
        </is>
      </c>
      <c r="B2088" s="1" t="n">
        <v>44868</v>
      </c>
      <c r="C2088" s="1" t="n">
        <v>45895</v>
      </c>
      <c r="D2088" t="inlineStr">
        <is>
          <t>NORRBOTTENS LÄN</t>
        </is>
      </c>
      <c r="E2088" t="inlineStr">
        <is>
          <t>JOKKMOKK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24979-2024</t>
        </is>
      </c>
      <c r="B2089" s="1" t="n">
        <v>45461</v>
      </c>
      <c r="C2089" s="1" t="n">
        <v>45895</v>
      </c>
      <c r="D2089" t="inlineStr">
        <is>
          <t>NORRBOTTENS LÄN</t>
        </is>
      </c>
      <c r="E2089" t="inlineStr">
        <is>
          <t>LULEÅ</t>
        </is>
      </c>
      <c r="G2089" t="n">
        <v>16.3</v>
      </c>
      <c r="H2089" t="n">
        <v>0</v>
      </c>
      <c r="I2089" t="n">
        <v>0</v>
      </c>
      <c r="J2089" t="n">
        <v>0</v>
      </c>
      <c r="K2089" t="n">
        <v>0</v>
      </c>
      <c r="L2089" t="n">
        <v>0</v>
      </c>
      <c r="M2089" t="n">
        <v>0</v>
      </c>
      <c r="N2089" t="n">
        <v>0</v>
      </c>
      <c r="O2089" t="n">
        <v>0</v>
      </c>
      <c r="P2089" t="n">
        <v>0</v>
      </c>
      <c r="Q2089" t="n">
        <v>0</v>
      </c>
      <c r="R2089" s="2" t="inlineStr"/>
    </row>
    <row r="2090" ht="15" customHeight="1">
      <c r="A2090" t="inlineStr">
        <is>
          <t>A 15854-2024</t>
        </is>
      </c>
      <c r="B2090" s="1" t="n">
        <v>45404.96539351852</v>
      </c>
      <c r="C2090" s="1" t="n">
        <v>45895</v>
      </c>
      <c r="D2090" t="inlineStr">
        <is>
          <t>NORRBOTTENS LÄN</t>
        </is>
      </c>
      <c r="E2090" t="inlineStr">
        <is>
          <t>ÖVERKALIX</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72756-2021</t>
        </is>
      </c>
      <c r="B2091" s="1" t="n">
        <v>44546.92277777778</v>
      </c>
      <c r="C2091" s="1" t="n">
        <v>45895</v>
      </c>
      <c r="D2091" t="inlineStr">
        <is>
          <t>NORRBOTTENS LÄN</t>
        </is>
      </c>
      <c r="E2091" t="inlineStr">
        <is>
          <t>LULEÅ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72752-2021</t>
        </is>
      </c>
      <c r="B2092" s="1" t="n">
        <v>44546.92262731482</v>
      </c>
      <c r="C2092" s="1" t="n">
        <v>45895</v>
      </c>
      <c r="D2092" t="inlineStr">
        <is>
          <t>NORRBOTTENS LÄN</t>
        </is>
      </c>
      <c r="E2092" t="inlineStr">
        <is>
          <t>LULEÅ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34092-2024</t>
        </is>
      </c>
      <c r="B2093" s="1" t="n">
        <v>45523</v>
      </c>
      <c r="C2093" s="1" t="n">
        <v>45895</v>
      </c>
      <c r="D2093" t="inlineStr">
        <is>
          <t>NORRBOTTENS LÄN</t>
        </is>
      </c>
      <c r="E2093" t="inlineStr">
        <is>
          <t>PAJALA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72809-2021</t>
        </is>
      </c>
      <c r="B2094" s="1" t="n">
        <v>44546</v>
      </c>
      <c r="C2094" s="1" t="n">
        <v>45895</v>
      </c>
      <c r="D2094" t="inlineStr">
        <is>
          <t>NORRBOTTENS LÄN</t>
        </is>
      </c>
      <c r="E2094" t="inlineStr">
        <is>
          <t>ÖVERKALIX</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20187-2025</t>
        </is>
      </c>
      <c r="B2095" s="1" t="n">
        <v>45772</v>
      </c>
      <c r="C2095" s="1" t="n">
        <v>45895</v>
      </c>
      <c r="D2095" t="inlineStr">
        <is>
          <t>NORRBOTTENS LÄN</t>
        </is>
      </c>
      <c r="E2095" t="inlineStr">
        <is>
          <t>ÄLVSBYN</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1770-2022</t>
        </is>
      </c>
      <c r="B2096" s="1" t="n">
        <v>44574</v>
      </c>
      <c r="C2096" s="1" t="n">
        <v>45895</v>
      </c>
      <c r="D2096" t="inlineStr">
        <is>
          <t>NORRBOTTENS LÄN</t>
        </is>
      </c>
      <c r="E2096" t="inlineStr">
        <is>
          <t>PAJALA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28434-2024</t>
        </is>
      </c>
      <c r="B2097" s="1" t="n">
        <v>45477.65798611111</v>
      </c>
      <c r="C2097" s="1" t="n">
        <v>45895</v>
      </c>
      <c r="D2097" t="inlineStr">
        <is>
          <t>NORRBOTTENS LÄN</t>
        </is>
      </c>
      <c r="E2097" t="inlineStr">
        <is>
          <t>PAJALA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21593-2025</t>
        </is>
      </c>
      <c r="B2098" s="1" t="n">
        <v>45783.34435185185</v>
      </c>
      <c r="C2098" s="1" t="n">
        <v>45895</v>
      </c>
      <c r="D2098" t="inlineStr">
        <is>
          <t>NORRBOTTENS LÄN</t>
        </is>
      </c>
      <c r="E2098" t="inlineStr">
        <is>
          <t>PITEÅ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21829-2025</t>
        </is>
      </c>
      <c r="B2099" s="1" t="n">
        <v>45783.96920138889</v>
      </c>
      <c r="C2099" s="1" t="n">
        <v>45895</v>
      </c>
      <c r="D2099" t="inlineStr">
        <is>
          <t>NORRBOTTENS LÄN</t>
        </is>
      </c>
      <c r="E2099" t="inlineStr">
        <is>
          <t>JOKKMOKK</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25420-2024</t>
        </is>
      </c>
      <c r="B2100" s="1" t="n">
        <v>45463</v>
      </c>
      <c r="C2100" s="1" t="n">
        <v>45895</v>
      </c>
      <c r="D2100" t="inlineStr">
        <is>
          <t>NORRBOTTENS LÄN</t>
        </is>
      </c>
      <c r="E2100" t="inlineStr">
        <is>
          <t>ÄLVSBYN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21875-2025</t>
        </is>
      </c>
      <c r="B2101" s="1" t="n">
        <v>45784</v>
      </c>
      <c r="C2101" s="1" t="n">
        <v>45895</v>
      </c>
      <c r="D2101" t="inlineStr">
        <is>
          <t>NORRBOTTENS LÄN</t>
        </is>
      </c>
      <c r="E2101" t="inlineStr">
        <is>
          <t>KALIX</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24785-2024</t>
        </is>
      </c>
      <c r="B2102" s="1" t="n">
        <v>45460.81047453704</v>
      </c>
      <c r="C2102" s="1" t="n">
        <v>45895</v>
      </c>
      <c r="D2102" t="inlineStr">
        <is>
          <t>NORRBOTTENS LÄN</t>
        </is>
      </c>
      <c r="E2102" t="inlineStr">
        <is>
          <t>ÖVERTORNEÅ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36090-2023</t>
        </is>
      </c>
      <c r="B2103" s="1" t="n">
        <v>45149</v>
      </c>
      <c r="C2103" s="1" t="n">
        <v>45895</v>
      </c>
      <c r="D2103" t="inlineStr">
        <is>
          <t>NORRBOTTENS LÄN</t>
        </is>
      </c>
      <c r="E2103" t="inlineStr">
        <is>
          <t>ARVIDSJAUR</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20166-2025</t>
        </is>
      </c>
      <c r="B2104" s="1" t="n">
        <v>45772</v>
      </c>
      <c r="C2104" s="1" t="n">
        <v>45895</v>
      </c>
      <c r="D2104" t="inlineStr">
        <is>
          <t>NORRBOTTENS LÄN</t>
        </is>
      </c>
      <c r="E2104" t="inlineStr">
        <is>
          <t>ÄLVSBYN</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24827-2024</t>
        </is>
      </c>
      <c r="B2105" s="1" t="n">
        <v>45461.37427083333</v>
      </c>
      <c r="C2105" s="1" t="n">
        <v>45895</v>
      </c>
      <c r="D2105" t="inlineStr">
        <is>
          <t>NORRBOTTENS LÄN</t>
        </is>
      </c>
      <c r="E2105" t="inlineStr">
        <is>
          <t>PITEÅ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26109-2024</t>
        </is>
      </c>
      <c r="B2106" s="1" t="n">
        <v>45467</v>
      </c>
      <c r="C2106" s="1" t="n">
        <v>45895</v>
      </c>
      <c r="D2106" t="inlineStr">
        <is>
          <t>NORRBOTTENS LÄN</t>
        </is>
      </c>
      <c r="E2106" t="inlineStr">
        <is>
          <t>ARJEPLOG</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17803-2024</t>
        </is>
      </c>
      <c r="B2107" s="1" t="n">
        <v>45418</v>
      </c>
      <c r="C2107" s="1" t="n">
        <v>45895</v>
      </c>
      <c r="D2107" t="inlineStr">
        <is>
          <t>NORRBOTTENS LÄN</t>
        </is>
      </c>
      <c r="E2107" t="inlineStr">
        <is>
          <t>PAJALA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17807-2024</t>
        </is>
      </c>
      <c r="B2108" s="1" t="n">
        <v>45418.92701388889</v>
      </c>
      <c r="C2108" s="1" t="n">
        <v>45895</v>
      </c>
      <c r="D2108" t="inlineStr">
        <is>
          <t>NORRBOTTENS LÄN</t>
        </is>
      </c>
      <c r="E2108" t="inlineStr">
        <is>
          <t>ÖVERTORNEÅ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50568-2022</t>
        </is>
      </c>
      <c r="B2109" s="1" t="n">
        <v>44866</v>
      </c>
      <c r="C2109" s="1" t="n">
        <v>45895</v>
      </c>
      <c r="D2109" t="inlineStr">
        <is>
          <t>NORRBOTTENS LÄN</t>
        </is>
      </c>
      <c r="E2109" t="inlineStr">
        <is>
          <t>JOKKMOKK</t>
        </is>
      </c>
      <c r="F2109" t="inlineStr">
        <is>
          <t>Sveaskog</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26162-2024</t>
        </is>
      </c>
      <c r="B2110" s="1" t="n">
        <v>45467</v>
      </c>
      <c r="C2110" s="1" t="n">
        <v>45895</v>
      </c>
      <c r="D2110" t="inlineStr">
        <is>
          <t>NORRBOTTENS LÄN</t>
        </is>
      </c>
      <c r="E2110" t="inlineStr">
        <is>
          <t>ÖVERTORNEÅ</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56707-2024</t>
        </is>
      </c>
      <c r="B2111" s="1" t="n">
        <v>45627.84545138889</v>
      </c>
      <c r="C2111" s="1" t="n">
        <v>45895</v>
      </c>
      <c r="D2111" t="inlineStr">
        <is>
          <t>NORRBOTTENS LÄN</t>
        </is>
      </c>
      <c r="E2111" t="inlineStr">
        <is>
          <t>PITEÅ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21990-2025</t>
        </is>
      </c>
      <c r="B2112" s="1" t="n">
        <v>45784</v>
      </c>
      <c r="C2112" s="1" t="n">
        <v>45895</v>
      </c>
      <c r="D2112" t="inlineStr">
        <is>
          <t>NORRBOTTENS LÄN</t>
        </is>
      </c>
      <c r="E2112" t="inlineStr">
        <is>
          <t>ÄLVSBYN</t>
        </is>
      </c>
      <c r="F2112" t="inlineStr">
        <is>
          <t>Övriga Aktiebolag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24424-2024</t>
        </is>
      </c>
      <c r="B2113" s="1" t="n">
        <v>45457</v>
      </c>
      <c r="C2113" s="1" t="n">
        <v>45895</v>
      </c>
      <c r="D2113" t="inlineStr">
        <is>
          <t>NORRBOTTENS LÄN</t>
        </is>
      </c>
      <c r="E2113" t="inlineStr">
        <is>
          <t>PITEÅ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58274-2024</t>
        </is>
      </c>
      <c r="B2114" s="1" t="n">
        <v>45632.57121527778</v>
      </c>
      <c r="C2114" s="1" t="n">
        <v>45895</v>
      </c>
      <c r="D2114" t="inlineStr">
        <is>
          <t>NORRBOTTENS LÄN</t>
        </is>
      </c>
      <c r="E2114" t="inlineStr">
        <is>
          <t>KALIX</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23623-2024</t>
        </is>
      </c>
      <c r="B2115" s="1" t="n">
        <v>45454</v>
      </c>
      <c r="C2115" s="1" t="n">
        <v>45895</v>
      </c>
      <c r="D2115" t="inlineStr">
        <is>
          <t>NORRBOTTENS LÄN</t>
        </is>
      </c>
      <c r="E2115" t="inlineStr">
        <is>
          <t>PAJALA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24854-2024</t>
        </is>
      </c>
      <c r="B2116" s="1" t="n">
        <v>45461</v>
      </c>
      <c r="C2116" s="1" t="n">
        <v>45895</v>
      </c>
      <c r="D2116" t="inlineStr">
        <is>
          <t>NORRBOTTENS LÄN</t>
        </is>
      </c>
      <c r="E2116" t="inlineStr">
        <is>
          <t>ARVIDSJAUR</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39974-2021</t>
        </is>
      </c>
      <c r="B2117" s="1" t="n">
        <v>44417</v>
      </c>
      <c r="C2117" s="1" t="n">
        <v>45895</v>
      </c>
      <c r="D2117" t="inlineStr">
        <is>
          <t>NORRBOTTENS LÄN</t>
        </is>
      </c>
      <c r="E2117" t="inlineStr">
        <is>
          <t>ÖVERKALIX</t>
        </is>
      </c>
      <c r="G2117" t="n">
        <v>21.6</v>
      </c>
      <c r="H2117" t="n">
        <v>0</v>
      </c>
      <c r="I2117" t="n">
        <v>0</v>
      </c>
      <c r="J2117" t="n">
        <v>0</v>
      </c>
      <c r="K2117" t="n">
        <v>0</v>
      </c>
      <c r="L2117" t="n">
        <v>0</v>
      </c>
      <c r="M2117" t="n">
        <v>0</v>
      </c>
      <c r="N2117" t="n">
        <v>0</v>
      </c>
      <c r="O2117" t="n">
        <v>0</v>
      </c>
      <c r="P2117" t="n">
        <v>0</v>
      </c>
      <c r="Q2117" t="n">
        <v>0</v>
      </c>
      <c r="R2117" s="2" t="inlineStr"/>
    </row>
    <row r="2118" ht="15" customHeight="1">
      <c r="A2118" t="inlineStr">
        <is>
          <t>A 49907-2024</t>
        </is>
      </c>
      <c r="B2118" s="1" t="n">
        <v>45597.55295138889</v>
      </c>
      <c r="C2118" s="1" t="n">
        <v>45895</v>
      </c>
      <c r="D2118" t="inlineStr">
        <is>
          <t>NORRBOTTENS LÄN</t>
        </is>
      </c>
      <c r="E2118" t="inlineStr">
        <is>
          <t>HAPARANDA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32276-2024</t>
        </is>
      </c>
      <c r="B2119" s="1" t="n">
        <v>45512.36836805556</v>
      </c>
      <c r="C2119" s="1" t="n">
        <v>45895</v>
      </c>
      <c r="D2119" t="inlineStr">
        <is>
          <t>NORRBOTTENS LÄN</t>
        </is>
      </c>
      <c r="E2119" t="inlineStr">
        <is>
          <t>BODEN</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34579-2024</t>
        </is>
      </c>
      <c r="B2120" s="1" t="n">
        <v>45526.36474537037</v>
      </c>
      <c r="C2120" s="1" t="n">
        <v>45895</v>
      </c>
      <c r="D2120" t="inlineStr">
        <is>
          <t>NORRBOTTENS LÄN</t>
        </is>
      </c>
      <c r="E2120" t="inlineStr">
        <is>
          <t>ÖVERTORNEÅ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44646-2021</t>
        </is>
      </c>
      <c r="B2121" s="1" t="n">
        <v>44437</v>
      </c>
      <c r="C2121" s="1" t="n">
        <v>45895</v>
      </c>
      <c r="D2121" t="inlineStr">
        <is>
          <t>NORRBOTTENS LÄN</t>
        </is>
      </c>
      <c r="E2121" t="inlineStr">
        <is>
          <t>JOKKMOKK</t>
        </is>
      </c>
      <c r="G2121" t="n">
        <v>10</v>
      </c>
      <c r="H2121" t="n">
        <v>0</v>
      </c>
      <c r="I2121" t="n">
        <v>0</v>
      </c>
      <c r="J2121" t="n">
        <v>0</v>
      </c>
      <c r="K2121" t="n">
        <v>0</v>
      </c>
      <c r="L2121" t="n">
        <v>0</v>
      </c>
      <c r="M2121" t="n">
        <v>0</v>
      </c>
      <c r="N2121" t="n">
        <v>0</v>
      </c>
      <c r="O2121" t="n">
        <v>0</v>
      </c>
      <c r="P2121" t="n">
        <v>0</v>
      </c>
      <c r="Q2121" t="n">
        <v>0</v>
      </c>
      <c r="R2121" s="2" t="inlineStr"/>
    </row>
    <row r="2122" ht="15" customHeight="1">
      <c r="A2122" t="inlineStr">
        <is>
          <t>A 21874-2025</t>
        </is>
      </c>
      <c r="B2122" s="1" t="n">
        <v>45784.389375</v>
      </c>
      <c r="C2122" s="1" t="n">
        <v>45895</v>
      </c>
      <c r="D2122" t="inlineStr">
        <is>
          <t>NORRBOTTENS LÄN</t>
        </is>
      </c>
      <c r="E2122" t="inlineStr">
        <is>
          <t>HAPARANDA</t>
        </is>
      </c>
      <c r="F2122" t="inlineStr">
        <is>
          <t>Kommuner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47446-2023</t>
        </is>
      </c>
      <c r="B2123" s="1" t="n">
        <v>45202.69947916667</v>
      </c>
      <c r="C2123" s="1" t="n">
        <v>45895</v>
      </c>
      <c r="D2123" t="inlineStr">
        <is>
          <t>NORRBOTTENS LÄN</t>
        </is>
      </c>
      <c r="E2123" t="inlineStr">
        <is>
          <t>PITEÅ</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44411-2024</t>
        </is>
      </c>
      <c r="B2124" s="1" t="n">
        <v>45573</v>
      </c>
      <c r="C2124" s="1" t="n">
        <v>45895</v>
      </c>
      <c r="D2124" t="inlineStr">
        <is>
          <t>NORRBOTTENS LÄN</t>
        </is>
      </c>
      <c r="E2124" t="inlineStr">
        <is>
          <t>KALIX</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25969-2024</t>
        </is>
      </c>
      <c r="B2125" s="1" t="n">
        <v>45467</v>
      </c>
      <c r="C2125" s="1" t="n">
        <v>45895</v>
      </c>
      <c r="D2125" t="inlineStr">
        <is>
          <t>NORRBOTTENS LÄN</t>
        </is>
      </c>
      <c r="E2125" t="inlineStr">
        <is>
          <t>PITEÅ</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1609-2023</t>
        </is>
      </c>
      <c r="B2126" s="1" t="n">
        <v>44937</v>
      </c>
      <c r="C2126" s="1" t="n">
        <v>45895</v>
      </c>
      <c r="D2126" t="inlineStr">
        <is>
          <t>NORRBOTTENS LÄN</t>
        </is>
      </c>
      <c r="E2126" t="inlineStr">
        <is>
          <t>GÄLLIVARE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53074-2024</t>
        </is>
      </c>
      <c r="B2127" s="1" t="n">
        <v>45611.48670138889</v>
      </c>
      <c r="C2127" s="1" t="n">
        <v>45895</v>
      </c>
      <c r="D2127" t="inlineStr">
        <is>
          <t>NORRBOTTENS LÄN</t>
        </is>
      </c>
      <c r="E2127" t="inlineStr">
        <is>
          <t>PAJALA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21584-2025</t>
        </is>
      </c>
      <c r="B2128" s="1" t="n">
        <v>45783.29137731482</v>
      </c>
      <c r="C2128" s="1" t="n">
        <v>45895</v>
      </c>
      <c r="D2128" t="inlineStr">
        <is>
          <t>NORRBOTTENS LÄN</t>
        </is>
      </c>
      <c r="E2128" t="inlineStr">
        <is>
          <t>BODEN</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37384-2023</t>
        </is>
      </c>
      <c r="B2129" s="1" t="n">
        <v>45156</v>
      </c>
      <c r="C2129" s="1" t="n">
        <v>45895</v>
      </c>
      <c r="D2129" t="inlineStr">
        <is>
          <t>NORRBOTTENS LÄN</t>
        </is>
      </c>
      <c r="E2129" t="inlineStr">
        <is>
          <t>BODEN</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21824-2025</t>
        </is>
      </c>
      <c r="B2130" s="1" t="n">
        <v>45783</v>
      </c>
      <c r="C2130" s="1" t="n">
        <v>45895</v>
      </c>
      <c r="D2130" t="inlineStr">
        <is>
          <t>NORRBOTTENS LÄN</t>
        </is>
      </c>
      <c r="E2130" t="inlineStr">
        <is>
          <t>ÖVERKALIX</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23630-2024</t>
        </is>
      </c>
      <c r="B2131" s="1" t="n">
        <v>45454</v>
      </c>
      <c r="C2131" s="1" t="n">
        <v>45895</v>
      </c>
      <c r="D2131" t="inlineStr">
        <is>
          <t>NORRBOTTENS LÄN</t>
        </is>
      </c>
      <c r="E2131" t="inlineStr">
        <is>
          <t>PAJALA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63224-2023</t>
        </is>
      </c>
      <c r="B2132" s="1" t="n">
        <v>45273</v>
      </c>
      <c r="C2132" s="1" t="n">
        <v>45895</v>
      </c>
      <c r="D2132" t="inlineStr">
        <is>
          <t>NORRBOTTENS LÄN</t>
        </is>
      </c>
      <c r="E2132" t="inlineStr">
        <is>
          <t>PITEÅ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61858-2023</t>
        </is>
      </c>
      <c r="B2133" s="1" t="n">
        <v>45264</v>
      </c>
      <c r="C2133" s="1" t="n">
        <v>45895</v>
      </c>
      <c r="D2133" t="inlineStr">
        <is>
          <t>NORRBOTTENS LÄN</t>
        </is>
      </c>
      <c r="E2133" t="inlineStr">
        <is>
          <t>PITEÅ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15469-2025</t>
        </is>
      </c>
      <c r="B2134" s="1" t="n">
        <v>45747.53148148148</v>
      </c>
      <c r="C2134" s="1" t="n">
        <v>45895</v>
      </c>
      <c r="D2134" t="inlineStr">
        <is>
          <t>NORRBOTTENS LÄN</t>
        </is>
      </c>
      <c r="E2134" t="inlineStr">
        <is>
          <t>PITEÅ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10528-2023</t>
        </is>
      </c>
      <c r="B2135" s="1" t="n">
        <v>44987</v>
      </c>
      <c r="C2135" s="1" t="n">
        <v>45895</v>
      </c>
      <c r="D2135" t="inlineStr">
        <is>
          <t>NORRBOTTENS LÄN</t>
        </is>
      </c>
      <c r="E2135" t="inlineStr">
        <is>
          <t>ÖVERTORNEÅ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20237-2025</t>
        </is>
      </c>
      <c r="B2136" s="1" t="n">
        <v>45772</v>
      </c>
      <c r="C2136" s="1" t="n">
        <v>45895</v>
      </c>
      <c r="D2136" t="inlineStr">
        <is>
          <t>NORRBOTTENS LÄN</t>
        </is>
      </c>
      <c r="E2136" t="inlineStr">
        <is>
          <t>ÄLVSBYN</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52444-2021</t>
        </is>
      </c>
      <c r="B2137" s="1" t="n">
        <v>44463</v>
      </c>
      <c r="C2137" s="1" t="n">
        <v>45895</v>
      </c>
      <c r="D2137" t="inlineStr">
        <is>
          <t>NORRBOTTENS LÄN</t>
        </is>
      </c>
      <c r="E2137" t="inlineStr">
        <is>
          <t>LULEÅ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25941-2024</t>
        </is>
      </c>
      <c r="B2138" s="1" t="n">
        <v>45467</v>
      </c>
      <c r="C2138" s="1" t="n">
        <v>45895</v>
      </c>
      <c r="D2138" t="inlineStr">
        <is>
          <t>NORRBOTTENS LÄN</t>
        </is>
      </c>
      <c r="E2138" t="inlineStr">
        <is>
          <t>GÄLLIVARE</t>
        </is>
      </c>
      <c r="F2138" t="inlineStr">
        <is>
          <t>Allmännings- och besparingsskogar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7880-2025</t>
        </is>
      </c>
      <c r="B2139" s="1" t="n">
        <v>45706.785</v>
      </c>
      <c r="C2139" s="1" t="n">
        <v>45895</v>
      </c>
      <c r="D2139" t="inlineStr">
        <is>
          <t>NORRBOTTENS LÄN</t>
        </is>
      </c>
      <c r="E2139" t="inlineStr">
        <is>
          <t>LULEÅ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24265-2024</t>
        </is>
      </c>
      <c r="B2140" s="1" t="n">
        <v>45457</v>
      </c>
      <c r="C2140" s="1" t="n">
        <v>45895</v>
      </c>
      <c r="D2140" t="inlineStr">
        <is>
          <t>NORRBOTTENS LÄN</t>
        </is>
      </c>
      <c r="E2140" t="inlineStr">
        <is>
          <t>KALIX</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24548-2024</t>
        </is>
      </c>
      <c r="B2141" s="1" t="n">
        <v>45460</v>
      </c>
      <c r="C2141" s="1" t="n">
        <v>45895</v>
      </c>
      <c r="D2141" t="inlineStr">
        <is>
          <t>NORRBOTTENS LÄN</t>
        </is>
      </c>
      <c r="E2141" t="inlineStr">
        <is>
          <t>ÖVERKALIX</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46547-2021</t>
        </is>
      </c>
      <c r="B2142" s="1" t="n">
        <v>44445</v>
      </c>
      <c r="C2142" s="1" t="n">
        <v>45895</v>
      </c>
      <c r="D2142" t="inlineStr">
        <is>
          <t>NORRBOTTENS LÄN</t>
        </is>
      </c>
      <c r="E2142" t="inlineStr">
        <is>
          <t>LULEÅ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38358-2023</t>
        </is>
      </c>
      <c r="B2143" s="1" t="n">
        <v>45161.94293981481</v>
      </c>
      <c r="C2143" s="1" t="n">
        <v>45895</v>
      </c>
      <c r="D2143" t="inlineStr">
        <is>
          <t>NORRBOTTENS LÄN</t>
        </is>
      </c>
      <c r="E2143" t="inlineStr">
        <is>
          <t>LULEÅ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49207-2024</t>
        </is>
      </c>
      <c r="B2144" s="1" t="n">
        <v>45595</v>
      </c>
      <c r="C2144" s="1" t="n">
        <v>45895</v>
      </c>
      <c r="D2144" t="inlineStr">
        <is>
          <t>NORRBOTTENS LÄN</t>
        </is>
      </c>
      <c r="E2144" t="inlineStr">
        <is>
          <t>ARVIDSJAUR</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49208-2024</t>
        </is>
      </c>
      <c r="B2145" s="1" t="n">
        <v>45595.37256944444</v>
      </c>
      <c r="C2145" s="1" t="n">
        <v>45895</v>
      </c>
      <c r="D2145" t="inlineStr">
        <is>
          <t>NORRBOTTENS LÄN</t>
        </is>
      </c>
      <c r="E2145" t="inlineStr">
        <is>
          <t>LULEÅ</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32902-2021</t>
        </is>
      </c>
      <c r="B2146" s="1" t="n">
        <v>44375.91929398148</v>
      </c>
      <c r="C2146" s="1" t="n">
        <v>45895</v>
      </c>
      <c r="D2146" t="inlineStr">
        <is>
          <t>NORRBOTTENS LÄN</t>
        </is>
      </c>
      <c r="E2146" t="inlineStr">
        <is>
          <t>ÖVERTORNEÅ</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9596-2023</t>
        </is>
      </c>
      <c r="B2147" s="1" t="n">
        <v>44983</v>
      </c>
      <c r="C2147" s="1" t="n">
        <v>45895</v>
      </c>
      <c r="D2147" t="inlineStr">
        <is>
          <t>NORRBOTTENS LÄN</t>
        </is>
      </c>
      <c r="E2147" t="inlineStr">
        <is>
          <t>BODEN</t>
        </is>
      </c>
      <c r="G2147" t="n">
        <v>37.1</v>
      </c>
      <c r="H2147" t="n">
        <v>0</v>
      </c>
      <c r="I2147" t="n">
        <v>0</v>
      </c>
      <c r="J2147" t="n">
        <v>0</v>
      </c>
      <c r="K2147" t="n">
        <v>0</v>
      </c>
      <c r="L2147" t="n">
        <v>0</v>
      </c>
      <c r="M2147" t="n">
        <v>0</v>
      </c>
      <c r="N2147" t="n">
        <v>0</v>
      </c>
      <c r="O2147" t="n">
        <v>0</v>
      </c>
      <c r="P2147" t="n">
        <v>0</v>
      </c>
      <c r="Q2147" t="n">
        <v>0</v>
      </c>
      <c r="R2147" s="2" t="inlineStr"/>
    </row>
    <row r="2148" ht="15" customHeight="1">
      <c r="A2148" t="inlineStr">
        <is>
          <t>A 55826-2023</t>
        </is>
      </c>
      <c r="B2148" s="1" t="n">
        <v>45239</v>
      </c>
      <c r="C2148" s="1" t="n">
        <v>45895</v>
      </c>
      <c r="D2148" t="inlineStr">
        <is>
          <t>NORRBOTTENS LÄN</t>
        </is>
      </c>
      <c r="E2148" t="inlineStr">
        <is>
          <t>PITEÅ</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17838-2024</t>
        </is>
      </c>
      <c r="B2149" s="1" t="n">
        <v>45418</v>
      </c>
      <c r="C2149" s="1" t="n">
        <v>45895</v>
      </c>
      <c r="D2149" t="inlineStr">
        <is>
          <t>NORRBOTTENS LÄN</t>
        </is>
      </c>
      <c r="E2149" t="inlineStr">
        <is>
          <t>PITEÅ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21826-2025</t>
        </is>
      </c>
      <c r="B2150" s="1" t="n">
        <v>45783</v>
      </c>
      <c r="C2150" s="1" t="n">
        <v>45895</v>
      </c>
      <c r="D2150" t="inlineStr">
        <is>
          <t>NORRBOTTENS LÄN</t>
        </is>
      </c>
      <c r="E2150" t="inlineStr">
        <is>
          <t>ÖVERKALIX</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49299-2024</t>
        </is>
      </c>
      <c r="B2151" s="1" t="n">
        <v>45595.54366898148</v>
      </c>
      <c r="C2151" s="1" t="n">
        <v>45895</v>
      </c>
      <c r="D2151" t="inlineStr">
        <is>
          <t>NORRBOTTENS LÄN</t>
        </is>
      </c>
      <c r="E2151" t="inlineStr">
        <is>
          <t>ÖVERTORNEÅ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49476-2024</t>
        </is>
      </c>
      <c r="B2152" s="1" t="n">
        <v>45596.34571759259</v>
      </c>
      <c r="C2152" s="1" t="n">
        <v>45895</v>
      </c>
      <c r="D2152" t="inlineStr">
        <is>
          <t>NORRBOTTENS LÄN</t>
        </is>
      </c>
      <c r="E2152" t="inlineStr">
        <is>
          <t>JOKKMOKK</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45127-2021</t>
        </is>
      </c>
      <c r="B2153" s="1" t="n">
        <v>44439</v>
      </c>
      <c r="C2153" s="1" t="n">
        <v>45895</v>
      </c>
      <c r="D2153" t="inlineStr">
        <is>
          <t>NORRBOTTENS LÄN</t>
        </is>
      </c>
      <c r="E2153" t="inlineStr">
        <is>
          <t>ARVIDSJAUR</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26560-2024</t>
        </is>
      </c>
      <c r="B2154" s="1" t="n">
        <v>45469.63549768519</v>
      </c>
      <c r="C2154" s="1" t="n">
        <v>45895</v>
      </c>
      <c r="D2154" t="inlineStr">
        <is>
          <t>NORRBOTTENS LÄN</t>
        </is>
      </c>
      <c r="E2154" t="inlineStr">
        <is>
          <t>GÄLLIVARE</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74264-2021</t>
        </is>
      </c>
      <c r="B2155" s="1" t="n">
        <v>44558</v>
      </c>
      <c r="C2155" s="1" t="n">
        <v>45895</v>
      </c>
      <c r="D2155" t="inlineStr">
        <is>
          <t>NORRBOTTENS LÄN</t>
        </is>
      </c>
      <c r="E2155" t="inlineStr">
        <is>
          <t>BODEN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19493-2025</t>
        </is>
      </c>
      <c r="B2156" s="1" t="n">
        <v>45770.38886574074</v>
      </c>
      <c r="C2156" s="1" t="n">
        <v>45895</v>
      </c>
      <c r="D2156" t="inlineStr">
        <is>
          <t>NORRBOTTENS LÄN</t>
        </is>
      </c>
      <c r="E2156" t="inlineStr">
        <is>
          <t>JOKKMOKK</t>
        </is>
      </c>
      <c r="F2156" t="inlineStr">
        <is>
          <t>SCA</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47394-2024</t>
        </is>
      </c>
      <c r="B2157" s="1" t="n">
        <v>45587.47013888889</v>
      </c>
      <c r="C2157" s="1" t="n">
        <v>45895</v>
      </c>
      <c r="D2157" t="inlineStr">
        <is>
          <t>NORRBOTTENS LÄN</t>
        </is>
      </c>
      <c r="E2157" t="inlineStr">
        <is>
          <t>ÄLVSBYN</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13167-2024</t>
        </is>
      </c>
      <c r="B2158" s="1" t="n">
        <v>45386</v>
      </c>
      <c r="C2158" s="1" t="n">
        <v>45895</v>
      </c>
      <c r="D2158" t="inlineStr">
        <is>
          <t>NORRBOTTENS LÄN</t>
        </is>
      </c>
      <c r="E2158" t="inlineStr">
        <is>
          <t>PAJALA</t>
        </is>
      </c>
      <c r="F2158" t="inlineStr">
        <is>
          <t>Allmännings- och besparingsskogar</t>
        </is>
      </c>
      <c r="G2158" t="n">
        <v>30.1</v>
      </c>
      <c r="H2158" t="n">
        <v>0</v>
      </c>
      <c r="I2158" t="n">
        <v>0</v>
      </c>
      <c r="J2158" t="n">
        <v>0</v>
      </c>
      <c r="K2158" t="n">
        <v>0</v>
      </c>
      <c r="L2158" t="n">
        <v>0</v>
      </c>
      <c r="M2158" t="n">
        <v>0</v>
      </c>
      <c r="N2158" t="n">
        <v>0</v>
      </c>
      <c r="O2158" t="n">
        <v>0</v>
      </c>
      <c r="P2158" t="n">
        <v>0</v>
      </c>
      <c r="Q2158" t="n">
        <v>0</v>
      </c>
      <c r="R2158" s="2" t="inlineStr"/>
    </row>
    <row r="2159" ht="15" customHeight="1">
      <c r="A2159" t="inlineStr">
        <is>
          <t>A 13380-2023</t>
        </is>
      </c>
      <c r="B2159" s="1" t="n">
        <v>45005</v>
      </c>
      <c r="C2159" s="1" t="n">
        <v>45895</v>
      </c>
      <c r="D2159" t="inlineStr">
        <is>
          <t>NORRBOTTENS LÄN</t>
        </is>
      </c>
      <c r="E2159" t="inlineStr">
        <is>
          <t>KALIX</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56851-2020</t>
        </is>
      </c>
      <c r="B2160" s="1" t="n">
        <v>44133</v>
      </c>
      <c r="C2160" s="1" t="n">
        <v>45895</v>
      </c>
      <c r="D2160" t="inlineStr">
        <is>
          <t>NORRBOTTENS LÄN</t>
        </is>
      </c>
      <c r="E2160" t="inlineStr">
        <is>
          <t>JOKKMOKK</t>
        </is>
      </c>
      <c r="F2160" t="inlineStr">
        <is>
          <t>Övriga Aktiebolag</t>
        </is>
      </c>
      <c r="G2160" t="n">
        <v>10.7</v>
      </c>
      <c r="H2160" t="n">
        <v>0</v>
      </c>
      <c r="I2160" t="n">
        <v>0</v>
      </c>
      <c r="J2160" t="n">
        <v>0</v>
      </c>
      <c r="K2160" t="n">
        <v>0</v>
      </c>
      <c r="L2160" t="n">
        <v>0</v>
      </c>
      <c r="M2160" t="n">
        <v>0</v>
      </c>
      <c r="N2160" t="n">
        <v>0</v>
      </c>
      <c r="O2160" t="n">
        <v>0</v>
      </c>
      <c r="P2160" t="n">
        <v>0</v>
      </c>
      <c r="Q2160" t="n">
        <v>0</v>
      </c>
      <c r="R2160" s="2" t="inlineStr"/>
    </row>
    <row r="2161" ht="15" customHeight="1">
      <c r="A2161" t="inlineStr">
        <is>
          <t>A 56043-2021</t>
        </is>
      </c>
      <c r="B2161" s="1" t="n">
        <v>44477</v>
      </c>
      <c r="C2161" s="1" t="n">
        <v>45895</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56057-2021</t>
        </is>
      </c>
      <c r="B2162" s="1" t="n">
        <v>44477</v>
      </c>
      <c r="C2162" s="1" t="n">
        <v>45895</v>
      </c>
      <c r="D2162" t="inlineStr">
        <is>
          <t>NORRBOTTENS LÄN</t>
        </is>
      </c>
      <c r="E2162" t="inlineStr">
        <is>
          <t>LULEÅ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58941-2022</t>
        </is>
      </c>
      <c r="B2163" s="1" t="n">
        <v>44903</v>
      </c>
      <c r="C2163" s="1" t="n">
        <v>45895</v>
      </c>
      <c r="D2163" t="inlineStr">
        <is>
          <t>NORRBOTTENS LÄN</t>
        </is>
      </c>
      <c r="E2163" t="inlineStr">
        <is>
          <t>ARVIDSJAUR</t>
        </is>
      </c>
      <c r="F2163" t="inlineStr">
        <is>
          <t>Sveaskog</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48461-2024</t>
        </is>
      </c>
      <c r="B2164" s="1" t="n">
        <v>45590</v>
      </c>
      <c r="C2164" s="1" t="n">
        <v>45895</v>
      </c>
      <c r="D2164" t="inlineStr">
        <is>
          <t>NORRBOTTENS LÄN</t>
        </is>
      </c>
      <c r="E2164" t="inlineStr">
        <is>
          <t>ARVIDSJAUR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39925-2024</t>
        </is>
      </c>
      <c r="B2165" s="1" t="n">
        <v>45553</v>
      </c>
      <c r="C2165" s="1" t="n">
        <v>45895</v>
      </c>
      <c r="D2165" t="inlineStr">
        <is>
          <t>NORRBOTTENS LÄN</t>
        </is>
      </c>
      <c r="E2165" t="inlineStr">
        <is>
          <t>ARVIDSJAUR</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11512-2023</t>
        </is>
      </c>
      <c r="B2166" s="1" t="n">
        <v>44988</v>
      </c>
      <c r="C2166" s="1" t="n">
        <v>45895</v>
      </c>
      <c r="D2166" t="inlineStr">
        <is>
          <t>NORRBOTTENS LÄN</t>
        </is>
      </c>
      <c r="E2166" t="inlineStr">
        <is>
          <t>PAJALA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50761-2024</t>
        </is>
      </c>
      <c r="B2167" s="1" t="n">
        <v>45602.43773148148</v>
      </c>
      <c r="C2167" s="1" t="n">
        <v>45895</v>
      </c>
      <c r="D2167" t="inlineStr">
        <is>
          <t>NORRBOTTENS LÄN</t>
        </is>
      </c>
      <c r="E2167" t="inlineStr">
        <is>
          <t>KALIX</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44878-2024</t>
        </is>
      </c>
      <c r="B2168" s="1" t="n">
        <v>45575.34488425926</v>
      </c>
      <c r="C2168" s="1" t="n">
        <v>45895</v>
      </c>
      <c r="D2168" t="inlineStr">
        <is>
          <t>NORRBOTTENS LÄN</t>
        </is>
      </c>
      <c r="E2168" t="inlineStr">
        <is>
          <t>ÖVERTORNEÅ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21710-2025</t>
        </is>
      </c>
      <c r="B2169" s="1" t="n">
        <v>45783.53160879629</v>
      </c>
      <c r="C2169" s="1" t="n">
        <v>45895</v>
      </c>
      <c r="D2169" t="inlineStr">
        <is>
          <t>NORRBOTTENS LÄN</t>
        </is>
      </c>
      <c r="E2169" t="inlineStr">
        <is>
          <t>JOKKMOKK</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7273-2021</t>
        </is>
      </c>
      <c r="B2170" s="1" t="n">
        <v>44238</v>
      </c>
      <c r="C2170" s="1" t="n">
        <v>45895</v>
      </c>
      <c r="D2170" t="inlineStr">
        <is>
          <t>NORRBOTTENS LÄN</t>
        </is>
      </c>
      <c r="E2170" t="inlineStr">
        <is>
          <t>JOKKMOKK</t>
        </is>
      </c>
      <c r="F2170" t="inlineStr">
        <is>
          <t>Övriga statliga verk och myndigheter</t>
        </is>
      </c>
      <c r="G2170" t="n">
        <v>19.8</v>
      </c>
      <c r="H2170" t="n">
        <v>0</v>
      </c>
      <c r="I2170" t="n">
        <v>0</v>
      </c>
      <c r="J2170" t="n">
        <v>0</v>
      </c>
      <c r="K2170" t="n">
        <v>0</v>
      </c>
      <c r="L2170" t="n">
        <v>0</v>
      </c>
      <c r="M2170" t="n">
        <v>0</v>
      </c>
      <c r="N2170" t="n">
        <v>0</v>
      </c>
      <c r="O2170" t="n">
        <v>0</v>
      </c>
      <c r="P2170" t="n">
        <v>0</v>
      </c>
      <c r="Q2170" t="n">
        <v>0</v>
      </c>
      <c r="R2170" s="2" t="inlineStr"/>
    </row>
    <row r="2171" ht="15" customHeight="1">
      <c r="A2171" t="inlineStr">
        <is>
          <t>A 54718-2024</t>
        </is>
      </c>
      <c r="B2171" s="1" t="n">
        <v>45618.43688657408</v>
      </c>
      <c r="C2171" s="1" t="n">
        <v>45895</v>
      </c>
      <c r="D2171" t="inlineStr">
        <is>
          <t>NORRBOTTENS LÄN</t>
        </is>
      </c>
      <c r="E2171" t="inlineStr">
        <is>
          <t>BODEN</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65931-2021</t>
        </is>
      </c>
      <c r="B2172" s="1" t="n">
        <v>44517</v>
      </c>
      <c r="C2172" s="1" t="n">
        <v>45895</v>
      </c>
      <c r="D2172" t="inlineStr">
        <is>
          <t>NORRBOTTENS LÄN</t>
        </is>
      </c>
      <c r="E2172" t="inlineStr">
        <is>
          <t>PAJALA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36804-2024</t>
        </is>
      </c>
      <c r="B2173" s="1" t="n">
        <v>45538.46046296296</v>
      </c>
      <c r="C2173" s="1" t="n">
        <v>45895</v>
      </c>
      <c r="D2173" t="inlineStr">
        <is>
          <t>NORRBOTTENS LÄN</t>
        </is>
      </c>
      <c r="E2173" t="inlineStr">
        <is>
          <t>ÖVERKALIX</t>
        </is>
      </c>
      <c r="F2173" t="inlineStr">
        <is>
          <t>SCA</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36805-2024</t>
        </is>
      </c>
      <c r="B2174" s="1" t="n">
        <v>45538.4608912037</v>
      </c>
      <c r="C2174" s="1" t="n">
        <v>45895</v>
      </c>
      <c r="D2174" t="inlineStr">
        <is>
          <t>NORRBOTTENS LÄN</t>
        </is>
      </c>
      <c r="E2174" t="inlineStr">
        <is>
          <t>ÖVERKALIX</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27789-2021</t>
        </is>
      </c>
      <c r="B2175" s="1" t="n">
        <v>44354</v>
      </c>
      <c r="C2175" s="1" t="n">
        <v>45895</v>
      </c>
      <c r="D2175" t="inlineStr">
        <is>
          <t>NORRBOTTENS LÄN</t>
        </is>
      </c>
      <c r="E2175" t="inlineStr">
        <is>
          <t>ÖVERTORNEÅ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55567-2023</t>
        </is>
      </c>
      <c r="B2176" s="1" t="n">
        <v>45238.64976851852</v>
      </c>
      <c r="C2176" s="1" t="n">
        <v>45895</v>
      </c>
      <c r="D2176" t="inlineStr">
        <is>
          <t>NORRBOTTENS LÄN</t>
        </is>
      </c>
      <c r="E2176" t="inlineStr">
        <is>
          <t>KALIX</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28953-2024</t>
        </is>
      </c>
      <c r="B2177" s="1" t="n">
        <v>45481</v>
      </c>
      <c r="C2177" s="1" t="n">
        <v>45895</v>
      </c>
      <c r="D2177" t="inlineStr">
        <is>
          <t>NORRBOTTENS LÄN</t>
        </is>
      </c>
      <c r="E2177" t="inlineStr">
        <is>
          <t>ÖVERTORNEÅ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59826-2024</t>
        </is>
      </c>
      <c r="B2178" s="1" t="n">
        <v>45639</v>
      </c>
      <c r="C2178" s="1" t="n">
        <v>45895</v>
      </c>
      <c r="D2178" t="inlineStr">
        <is>
          <t>NORRBOTTENS LÄN</t>
        </is>
      </c>
      <c r="E2178" t="inlineStr">
        <is>
          <t>ÄLVSBYN</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25676-2024</t>
        </is>
      </c>
      <c r="B2179" s="1" t="n">
        <v>45463</v>
      </c>
      <c r="C2179" s="1" t="n">
        <v>45895</v>
      </c>
      <c r="D2179" t="inlineStr">
        <is>
          <t>NORRBOTTENS LÄN</t>
        </is>
      </c>
      <c r="E2179" t="inlineStr">
        <is>
          <t>LULEÅ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41467-2023</t>
        </is>
      </c>
      <c r="B2180" s="1" t="n">
        <v>45175</v>
      </c>
      <c r="C2180" s="1" t="n">
        <v>45895</v>
      </c>
      <c r="D2180" t="inlineStr">
        <is>
          <t>NORRBOTTENS LÄN</t>
        </is>
      </c>
      <c r="E2180" t="inlineStr">
        <is>
          <t>ÄLVSBYN</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13197-2023</t>
        </is>
      </c>
      <c r="B2181" s="1" t="n">
        <v>45002</v>
      </c>
      <c r="C2181" s="1" t="n">
        <v>45895</v>
      </c>
      <c r="D2181" t="inlineStr">
        <is>
          <t>NORRBOTTENS LÄN</t>
        </is>
      </c>
      <c r="E2181" t="inlineStr">
        <is>
          <t>PAJALA</t>
        </is>
      </c>
      <c r="F2181" t="inlineStr">
        <is>
          <t>Allmännings- och besparingsskogar</t>
        </is>
      </c>
      <c r="G2181" t="n">
        <v>26.1</v>
      </c>
      <c r="H2181" t="n">
        <v>0</v>
      </c>
      <c r="I2181" t="n">
        <v>0</v>
      </c>
      <c r="J2181" t="n">
        <v>0</v>
      </c>
      <c r="K2181" t="n">
        <v>0</v>
      </c>
      <c r="L2181" t="n">
        <v>0</v>
      </c>
      <c r="M2181" t="n">
        <v>0</v>
      </c>
      <c r="N2181" t="n">
        <v>0</v>
      </c>
      <c r="O2181" t="n">
        <v>0</v>
      </c>
      <c r="P2181" t="n">
        <v>0</v>
      </c>
      <c r="Q2181" t="n">
        <v>0</v>
      </c>
      <c r="R2181" s="2" t="inlineStr"/>
    </row>
    <row r="2182" ht="15" customHeight="1">
      <c r="A2182" t="inlineStr">
        <is>
          <t>A 57513-2023</t>
        </is>
      </c>
      <c r="B2182" s="1" t="n">
        <v>45243</v>
      </c>
      <c r="C2182" s="1" t="n">
        <v>45895</v>
      </c>
      <c r="D2182" t="inlineStr">
        <is>
          <t>NORRBOTTENS LÄN</t>
        </is>
      </c>
      <c r="E2182" t="inlineStr">
        <is>
          <t>KALIX</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60955-2022</t>
        </is>
      </c>
      <c r="B2183" s="1" t="n">
        <v>44907</v>
      </c>
      <c r="C2183" s="1" t="n">
        <v>45895</v>
      </c>
      <c r="D2183" t="inlineStr">
        <is>
          <t>NORRBOTTENS LÄN</t>
        </is>
      </c>
      <c r="E2183" t="inlineStr">
        <is>
          <t>KALIX</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24290-2024</t>
        </is>
      </c>
      <c r="B2184" s="1" t="n">
        <v>45457</v>
      </c>
      <c r="C2184" s="1" t="n">
        <v>45895</v>
      </c>
      <c r="D2184" t="inlineStr">
        <is>
          <t>NORRBOTTENS LÄN</t>
        </is>
      </c>
      <c r="E2184" t="inlineStr">
        <is>
          <t>ÖVERKALIX</t>
        </is>
      </c>
      <c r="G2184" t="n">
        <v>12.9</v>
      </c>
      <c r="H2184" t="n">
        <v>0</v>
      </c>
      <c r="I2184" t="n">
        <v>0</v>
      </c>
      <c r="J2184" t="n">
        <v>0</v>
      </c>
      <c r="K2184" t="n">
        <v>0</v>
      </c>
      <c r="L2184" t="n">
        <v>0</v>
      </c>
      <c r="M2184" t="n">
        <v>0</v>
      </c>
      <c r="N2184" t="n">
        <v>0</v>
      </c>
      <c r="O2184" t="n">
        <v>0</v>
      </c>
      <c r="P2184" t="n">
        <v>0</v>
      </c>
      <c r="Q2184" t="n">
        <v>0</v>
      </c>
      <c r="R2184" s="2" t="inlineStr"/>
    </row>
    <row r="2185" ht="15" customHeight="1">
      <c r="A2185" t="inlineStr">
        <is>
          <t>A 61783-2023</t>
        </is>
      </c>
      <c r="B2185" s="1" t="n">
        <v>45265.95695601852</v>
      </c>
      <c r="C2185" s="1" t="n">
        <v>45895</v>
      </c>
      <c r="D2185" t="inlineStr">
        <is>
          <t>NORRBOTTENS LÄN</t>
        </is>
      </c>
      <c r="E2185" t="inlineStr">
        <is>
          <t>GÄLLIVARE</t>
        </is>
      </c>
      <c r="F2185" t="inlineStr">
        <is>
          <t>SCA</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16046-2024</t>
        </is>
      </c>
      <c r="B2186" s="1" t="n">
        <v>45405</v>
      </c>
      <c r="C2186" s="1" t="n">
        <v>45895</v>
      </c>
      <c r="D2186" t="inlineStr">
        <is>
          <t>NORRBOTTENS LÄN</t>
        </is>
      </c>
      <c r="E2186" t="inlineStr">
        <is>
          <t>KALIX</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46722-2024</t>
        </is>
      </c>
      <c r="B2187" s="1" t="n">
        <v>45583.4578125</v>
      </c>
      <c r="C2187" s="1" t="n">
        <v>45895</v>
      </c>
      <c r="D2187" t="inlineStr">
        <is>
          <t>NORRBOTTENS LÄN</t>
        </is>
      </c>
      <c r="E2187" t="inlineStr">
        <is>
          <t>PITEÅ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23454-2021</t>
        </is>
      </c>
      <c r="B2188" s="1" t="n">
        <v>44333</v>
      </c>
      <c r="C2188" s="1" t="n">
        <v>45895</v>
      </c>
      <c r="D2188" t="inlineStr">
        <is>
          <t>NORRBOTTENS LÄN</t>
        </is>
      </c>
      <c r="E2188" t="inlineStr">
        <is>
          <t>BODEN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31465-2024</t>
        </is>
      </c>
      <c r="B2189" s="1" t="n">
        <v>45505</v>
      </c>
      <c r="C2189" s="1" t="n">
        <v>45895</v>
      </c>
      <c r="D2189" t="inlineStr">
        <is>
          <t>NORRBOTTENS LÄN</t>
        </is>
      </c>
      <c r="E2189" t="inlineStr">
        <is>
          <t>LULEÅ</t>
        </is>
      </c>
      <c r="F2189" t="inlineStr">
        <is>
          <t>Naturvårdsverket</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42624-2020</t>
        </is>
      </c>
      <c r="B2190" s="1" t="n">
        <v>44077</v>
      </c>
      <c r="C2190" s="1" t="n">
        <v>45895</v>
      </c>
      <c r="D2190" t="inlineStr">
        <is>
          <t>NORRBOTTENS LÄN</t>
        </is>
      </c>
      <c r="E2190" t="inlineStr">
        <is>
          <t>BODEN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41796-2020</t>
        </is>
      </c>
      <c r="B2191" s="1" t="n">
        <v>44071</v>
      </c>
      <c r="C2191" s="1" t="n">
        <v>45895</v>
      </c>
      <c r="D2191" t="inlineStr">
        <is>
          <t>NORRBOTTENS LÄN</t>
        </is>
      </c>
      <c r="E2191" t="inlineStr">
        <is>
          <t>PAJALA</t>
        </is>
      </c>
      <c r="F2191" t="inlineStr">
        <is>
          <t>Allmännings- och besparingsskogar</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22419-2024</t>
        </is>
      </c>
      <c r="B2192" s="1" t="n">
        <v>45446</v>
      </c>
      <c r="C2192" s="1" t="n">
        <v>45895</v>
      </c>
      <c r="D2192" t="inlineStr">
        <is>
          <t>NORRBOTTENS LÄN</t>
        </is>
      </c>
      <c r="E2192" t="inlineStr">
        <is>
          <t>ÖVERTORNEÅ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72623-2021</t>
        </is>
      </c>
      <c r="B2193" s="1" t="n">
        <v>44546</v>
      </c>
      <c r="C2193" s="1" t="n">
        <v>45895</v>
      </c>
      <c r="D2193" t="inlineStr">
        <is>
          <t>NORRBOTTENS LÄN</t>
        </is>
      </c>
      <c r="E2193" t="inlineStr">
        <is>
          <t>ÖVERKALIX</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22522-2025</t>
        </is>
      </c>
      <c r="B2194" s="1" t="n">
        <v>45786.69824074074</v>
      </c>
      <c r="C2194" s="1" t="n">
        <v>45895</v>
      </c>
      <c r="D2194" t="inlineStr">
        <is>
          <t>NORRBOTTENS LÄN</t>
        </is>
      </c>
      <c r="E2194" t="inlineStr">
        <is>
          <t>PAJALA</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38939-2023</t>
        </is>
      </c>
      <c r="B2195" s="1" t="n">
        <v>45163.60116898148</v>
      </c>
      <c r="C2195" s="1" t="n">
        <v>45895</v>
      </c>
      <c r="D2195" t="inlineStr">
        <is>
          <t>NORRBOTTENS LÄN</t>
        </is>
      </c>
      <c r="E2195" t="inlineStr">
        <is>
          <t>PAJALA</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40449-2024</t>
        </is>
      </c>
      <c r="B2196" s="1" t="n">
        <v>45555.49041666667</v>
      </c>
      <c r="C2196" s="1" t="n">
        <v>45895</v>
      </c>
      <c r="D2196" t="inlineStr">
        <is>
          <t>NORRBOTTENS LÄN</t>
        </is>
      </c>
      <c r="E2196" t="inlineStr">
        <is>
          <t>KALIX</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36610-2023</t>
        </is>
      </c>
      <c r="B2197" s="1" t="n">
        <v>45152</v>
      </c>
      <c r="C2197" s="1" t="n">
        <v>45895</v>
      </c>
      <c r="D2197" t="inlineStr">
        <is>
          <t>NORRBOTTENS LÄN</t>
        </is>
      </c>
      <c r="E2197" t="inlineStr">
        <is>
          <t>BODEN</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19531-2024</t>
        </is>
      </c>
      <c r="B2198" s="1" t="n">
        <v>45429.64373842593</v>
      </c>
      <c r="C2198" s="1" t="n">
        <v>45895</v>
      </c>
      <c r="D2198" t="inlineStr">
        <is>
          <t>NORRBOTTENS LÄN</t>
        </is>
      </c>
      <c r="E2198" t="inlineStr">
        <is>
          <t>ÖVERKALIX</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17564-2024</t>
        </is>
      </c>
      <c r="B2199" s="1" t="n">
        <v>45415</v>
      </c>
      <c r="C2199" s="1" t="n">
        <v>45895</v>
      </c>
      <c r="D2199" t="inlineStr">
        <is>
          <t>NORRBOTTENS LÄN</t>
        </is>
      </c>
      <c r="E2199" t="inlineStr">
        <is>
          <t>HAPARANDA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22216-2025</t>
        </is>
      </c>
      <c r="B2200" s="1" t="n">
        <v>45785.65818287037</v>
      </c>
      <c r="C2200" s="1" t="n">
        <v>45895</v>
      </c>
      <c r="D2200" t="inlineStr">
        <is>
          <t>NORRBOTTENS LÄN</t>
        </is>
      </c>
      <c r="E2200" t="inlineStr">
        <is>
          <t>KALIX</t>
        </is>
      </c>
      <c r="F2200" t="inlineStr">
        <is>
          <t>SCA</t>
        </is>
      </c>
      <c r="G2200" t="n">
        <v>20.9</v>
      </c>
      <c r="H2200" t="n">
        <v>0</v>
      </c>
      <c r="I2200" t="n">
        <v>0</v>
      </c>
      <c r="J2200" t="n">
        <v>0</v>
      </c>
      <c r="K2200" t="n">
        <v>0</v>
      </c>
      <c r="L2200" t="n">
        <v>0</v>
      </c>
      <c r="M2200" t="n">
        <v>0</v>
      </c>
      <c r="N2200" t="n">
        <v>0</v>
      </c>
      <c r="O2200" t="n">
        <v>0</v>
      </c>
      <c r="P2200" t="n">
        <v>0</v>
      </c>
      <c r="Q2200" t="n">
        <v>0</v>
      </c>
      <c r="R2200" s="2" t="inlineStr"/>
    </row>
    <row r="2201" ht="15" customHeight="1">
      <c r="A2201" t="inlineStr">
        <is>
          <t>A 25692-2024</t>
        </is>
      </c>
      <c r="B2201" s="1" t="n">
        <v>45463.94173611111</v>
      </c>
      <c r="C2201" s="1" t="n">
        <v>45895</v>
      </c>
      <c r="D2201" t="inlineStr">
        <is>
          <t>NORRBOTTENS LÄN</t>
        </is>
      </c>
      <c r="E2201" t="inlineStr">
        <is>
          <t>ÖVERKALIX</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25693-2024</t>
        </is>
      </c>
      <c r="B2202" s="1" t="n">
        <v>45463.94180555556</v>
      </c>
      <c r="C2202" s="1" t="n">
        <v>45895</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53828-2024</t>
        </is>
      </c>
      <c r="B2203" s="1" t="n">
        <v>45615.61438657407</v>
      </c>
      <c r="C2203" s="1" t="n">
        <v>45895</v>
      </c>
      <c r="D2203" t="inlineStr">
        <is>
          <t>NORRBOTTENS LÄN</t>
        </is>
      </c>
      <c r="E2203" t="inlineStr">
        <is>
          <t>GÄLLIVARE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27657-2024</t>
        </is>
      </c>
      <c r="B2204" s="1" t="n">
        <v>45474.95196759259</v>
      </c>
      <c r="C2204" s="1" t="n">
        <v>45895</v>
      </c>
      <c r="D2204" t="inlineStr">
        <is>
          <t>NORRBOTTENS LÄN</t>
        </is>
      </c>
      <c r="E2204" t="inlineStr">
        <is>
          <t>JOKKMOKK</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27658-2024</t>
        </is>
      </c>
      <c r="B2205" s="1" t="n">
        <v>45474.95246527778</v>
      </c>
      <c r="C2205" s="1" t="n">
        <v>45895</v>
      </c>
      <c r="D2205" t="inlineStr">
        <is>
          <t>NORRBOTTENS LÄN</t>
        </is>
      </c>
      <c r="E2205" t="inlineStr">
        <is>
          <t>JOKKMOKK</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59024-2022</t>
        </is>
      </c>
      <c r="B2206" s="1" t="n">
        <v>44903</v>
      </c>
      <c r="C2206" s="1" t="n">
        <v>45895</v>
      </c>
      <c r="D2206" t="inlineStr">
        <is>
          <t>NORRBOTTENS LÄN</t>
        </is>
      </c>
      <c r="E2206" t="inlineStr">
        <is>
          <t>KALIX</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27653-2024</t>
        </is>
      </c>
      <c r="B2207" s="1" t="n">
        <v>45474.95037037037</v>
      </c>
      <c r="C2207" s="1" t="n">
        <v>45895</v>
      </c>
      <c r="D2207" t="inlineStr">
        <is>
          <t>NORRBOTTENS LÄN</t>
        </is>
      </c>
      <c r="E2207" t="inlineStr">
        <is>
          <t>JOKKMOKK</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49170-2024</t>
        </is>
      </c>
      <c r="B2208" s="1" t="n">
        <v>45595.305</v>
      </c>
      <c r="C2208" s="1" t="n">
        <v>45895</v>
      </c>
      <c r="D2208" t="inlineStr">
        <is>
          <t>NORRBOTTENS LÄN</t>
        </is>
      </c>
      <c r="E2208" t="inlineStr">
        <is>
          <t>ARVIDSJAUR</t>
        </is>
      </c>
      <c r="F2208" t="inlineStr">
        <is>
          <t>Sveaskog</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27654-2024</t>
        </is>
      </c>
      <c r="B2209" s="1" t="n">
        <v>45474</v>
      </c>
      <c r="C2209" s="1" t="n">
        <v>45895</v>
      </c>
      <c r="D2209" t="inlineStr">
        <is>
          <t>NORRBOTTENS LÄN</t>
        </is>
      </c>
      <c r="E2209" t="inlineStr">
        <is>
          <t>JOKKMOKK</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27656-2024</t>
        </is>
      </c>
      <c r="B2210" s="1" t="n">
        <v>45474</v>
      </c>
      <c r="C2210" s="1" t="n">
        <v>45895</v>
      </c>
      <c r="D2210" t="inlineStr">
        <is>
          <t>NORRBOTTENS LÄN</t>
        </is>
      </c>
      <c r="E2210" t="inlineStr">
        <is>
          <t>JOKKMOKK</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54341-2024</t>
        </is>
      </c>
      <c r="B2211" s="1" t="n">
        <v>45617</v>
      </c>
      <c r="C2211" s="1" t="n">
        <v>45895</v>
      </c>
      <c r="D2211" t="inlineStr">
        <is>
          <t>NORRBOTTENS LÄN</t>
        </is>
      </c>
      <c r="E2211" t="inlineStr">
        <is>
          <t>ARVIDSJAUR</t>
        </is>
      </c>
      <c r="F2211" t="inlineStr">
        <is>
          <t>Sveaskog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54590-2022</t>
        </is>
      </c>
      <c r="B2212" s="1" t="n">
        <v>44883</v>
      </c>
      <c r="C2212" s="1" t="n">
        <v>45895</v>
      </c>
      <c r="D2212" t="inlineStr">
        <is>
          <t>NORRBOTTENS LÄN</t>
        </is>
      </c>
      <c r="E2212" t="inlineStr">
        <is>
          <t>BODEN</t>
        </is>
      </c>
      <c r="F2212" t="inlineStr">
        <is>
          <t>Sveaskog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14255-2023</t>
        </is>
      </c>
      <c r="B2213" s="1" t="n">
        <v>45009</v>
      </c>
      <c r="C2213" s="1" t="n">
        <v>45895</v>
      </c>
      <c r="D2213" t="inlineStr">
        <is>
          <t>NORRBOTTENS LÄN</t>
        </is>
      </c>
      <c r="E2213" t="inlineStr">
        <is>
          <t>ÖVERKALIX</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8521-2022</t>
        </is>
      </c>
      <c r="B2214" s="1" t="n">
        <v>44610</v>
      </c>
      <c r="C2214" s="1" t="n">
        <v>45895</v>
      </c>
      <c r="D2214" t="inlineStr">
        <is>
          <t>NORRBOTTENS LÄN</t>
        </is>
      </c>
      <c r="E2214" t="inlineStr">
        <is>
          <t>LULEÅ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51614-2024</t>
        </is>
      </c>
      <c r="B2215" s="1" t="n">
        <v>45604.69282407407</v>
      </c>
      <c r="C2215" s="1" t="n">
        <v>45895</v>
      </c>
      <c r="D2215" t="inlineStr">
        <is>
          <t>NORRBOTTENS LÄN</t>
        </is>
      </c>
      <c r="E2215" t="inlineStr">
        <is>
          <t>BODEN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62732-2021</t>
        </is>
      </c>
      <c r="B2216" s="1" t="n">
        <v>44503</v>
      </c>
      <c r="C2216" s="1" t="n">
        <v>45895</v>
      </c>
      <c r="D2216" t="inlineStr">
        <is>
          <t>NORRBOTTENS LÄN</t>
        </is>
      </c>
      <c r="E2216" t="inlineStr">
        <is>
          <t>LULEÅ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25160-2024</t>
        </is>
      </c>
      <c r="B2217" s="1" t="n">
        <v>45462</v>
      </c>
      <c r="C2217" s="1" t="n">
        <v>45895</v>
      </c>
      <c r="D2217" t="inlineStr">
        <is>
          <t>NORRBOTTENS LÄN</t>
        </is>
      </c>
      <c r="E2217" t="inlineStr">
        <is>
          <t>HAPARANDA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25164-2024</t>
        </is>
      </c>
      <c r="B2218" s="1" t="n">
        <v>45462</v>
      </c>
      <c r="C2218" s="1" t="n">
        <v>45895</v>
      </c>
      <c r="D2218" t="inlineStr">
        <is>
          <t>NORRBOTTENS LÄN</t>
        </is>
      </c>
      <c r="E2218" t="inlineStr">
        <is>
          <t>HAPARANDA</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39760-2022</t>
        </is>
      </c>
      <c r="B2219" s="1" t="n">
        <v>44819</v>
      </c>
      <c r="C2219" s="1" t="n">
        <v>45895</v>
      </c>
      <c r="D2219" t="inlineStr">
        <is>
          <t>NORRBOTTENS LÄN</t>
        </is>
      </c>
      <c r="E2219" t="inlineStr">
        <is>
          <t>ARVIDSJAUR</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71902-2021</t>
        </is>
      </c>
      <c r="B2220" s="1" t="n">
        <v>44539</v>
      </c>
      <c r="C2220" s="1" t="n">
        <v>45895</v>
      </c>
      <c r="D2220" t="inlineStr">
        <is>
          <t>NORRBOTTENS LÄN</t>
        </is>
      </c>
      <c r="E2220" t="inlineStr">
        <is>
          <t>ÖVERKALIX</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21895-2023</t>
        </is>
      </c>
      <c r="B2221" s="1" t="n">
        <v>45068.51972222222</v>
      </c>
      <c r="C2221" s="1" t="n">
        <v>45895</v>
      </c>
      <c r="D2221" t="inlineStr">
        <is>
          <t>NORRBOTTENS LÄN</t>
        </is>
      </c>
      <c r="E2221" t="inlineStr">
        <is>
          <t>ÄLVSBYN</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29555-2024</t>
        </is>
      </c>
      <c r="B2222" s="1" t="n">
        <v>45484</v>
      </c>
      <c r="C2222" s="1" t="n">
        <v>45895</v>
      </c>
      <c r="D2222" t="inlineStr">
        <is>
          <t>NORRBOTTENS LÄN</t>
        </is>
      </c>
      <c r="E2222" t="inlineStr">
        <is>
          <t>LULEÅ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1623-2024</t>
        </is>
      </c>
      <c r="B2223" s="1" t="n">
        <v>45306.64623842593</v>
      </c>
      <c r="C2223" s="1" t="n">
        <v>45895</v>
      </c>
      <c r="D2223" t="inlineStr">
        <is>
          <t>NORRBOTTENS LÄN</t>
        </is>
      </c>
      <c r="E2223" t="inlineStr">
        <is>
          <t>ÖVERTORNEÅ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60215-2023</t>
        </is>
      </c>
      <c r="B2224" s="1" t="n">
        <v>45258.60766203704</v>
      </c>
      <c r="C2224" s="1" t="n">
        <v>45895</v>
      </c>
      <c r="D2224" t="inlineStr">
        <is>
          <t>NORRBOTTENS LÄN</t>
        </is>
      </c>
      <c r="E2224" t="inlineStr">
        <is>
          <t>JOKKMOKK</t>
        </is>
      </c>
      <c r="F2224" t="inlineStr">
        <is>
          <t>Allmännings- och besparingsskogar</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39247-2023</t>
        </is>
      </c>
      <c r="B2225" s="1" t="n">
        <v>45162</v>
      </c>
      <c r="C2225" s="1" t="n">
        <v>45895</v>
      </c>
      <c r="D2225" t="inlineStr">
        <is>
          <t>NORRBOTTENS LÄN</t>
        </is>
      </c>
      <c r="E2225" t="inlineStr">
        <is>
          <t>KIRUNA</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22007-2024</t>
        </is>
      </c>
      <c r="B2226" s="1" t="n">
        <v>45443</v>
      </c>
      <c r="C2226" s="1" t="n">
        <v>45895</v>
      </c>
      <c r="D2226" t="inlineStr">
        <is>
          <t>NORRBOTTENS LÄN</t>
        </is>
      </c>
      <c r="E2226" t="inlineStr">
        <is>
          <t>LULEÅ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2629-2022</t>
        </is>
      </c>
      <c r="B2227" s="1" t="n">
        <v>44580</v>
      </c>
      <c r="C2227" s="1" t="n">
        <v>45895</v>
      </c>
      <c r="D2227" t="inlineStr">
        <is>
          <t>NORRBOTTENS LÄN</t>
        </is>
      </c>
      <c r="E2227" t="inlineStr">
        <is>
          <t>KALIX</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27550-2024</t>
        </is>
      </c>
      <c r="B2228" s="1" t="n">
        <v>45474</v>
      </c>
      <c r="C2228" s="1" t="n">
        <v>45895</v>
      </c>
      <c r="D2228" t="inlineStr">
        <is>
          <t>NORRBOTTENS LÄN</t>
        </is>
      </c>
      <c r="E2228" t="inlineStr">
        <is>
          <t>ÄLVSBYN</t>
        </is>
      </c>
      <c r="F2228" t="inlineStr">
        <is>
          <t>Övriga Aktiebolag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15803-2023</t>
        </is>
      </c>
      <c r="B2229" s="1" t="n">
        <v>45021</v>
      </c>
      <c r="C2229" s="1" t="n">
        <v>45895</v>
      </c>
      <c r="D2229" t="inlineStr">
        <is>
          <t>NORRBOTTENS LÄN</t>
        </is>
      </c>
      <c r="E2229" t="inlineStr">
        <is>
          <t>PITEÅ</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71369-2021</t>
        </is>
      </c>
      <c r="B2230" s="1" t="n">
        <v>44539.94476851852</v>
      </c>
      <c r="C2230" s="1" t="n">
        <v>45895</v>
      </c>
      <c r="D2230" t="inlineStr">
        <is>
          <t>NORRBOTTENS LÄN</t>
        </is>
      </c>
      <c r="E2230" t="inlineStr">
        <is>
          <t>JOKKMOKK</t>
        </is>
      </c>
      <c r="F2230" t="inlineStr">
        <is>
          <t>SCA</t>
        </is>
      </c>
      <c r="G2230" t="n">
        <v>15.7</v>
      </c>
      <c r="H2230" t="n">
        <v>0</v>
      </c>
      <c r="I2230" t="n">
        <v>0</v>
      </c>
      <c r="J2230" t="n">
        <v>0</v>
      </c>
      <c r="K2230" t="n">
        <v>0</v>
      </c>
      <c r="L2230" t="n">
        <v>0</v>
      </c>
      <c r="M2230" t="n">
        <v>0</v>
      </c>
      <c r="N2230" t="n">
        <v>0</v>
      </c>
      <c r="O2230" t="n">
        <v>0</v>
      </c>
      <c r="P2230" t="n">
        <v>0</v>
      </c>
      <c r="Q2230" t="n">
        <v>0</v>
      </c>
      <c r="R2230" s="2" t="inlineStr"/>
    </row>
    <row r="2231" ht="15" customHeight="1">
      <c r="A2231" t="inlineStr">
        <is>
          <t>A 59400-2024</t>
        </is>
      </c>
      <c r="B2231" s="1" t="n">
        <v>45638</v>
      </c>
      <c r="C2231" s="1" t="n">
        <v>45895</v>
      </c>
      <c r="D2231" t="inlineStr">
        <is>
          <t>NORRBOTTENS LÄN</t>
        </is>
      </c>
      <c r="E2231" t="inlineStr">
        <is>
          <t>LULEÅ</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26969-2024</t>
        </is>
      </c>
      <c r="B2232" s="1" t="n">
        <v>45471.27252314815</v>
      </c>
      <c r="C2232" s="1" t="n">
        <v>45895</v>
      </c>
      <c r="D2232" t="inlineStr">
        <is>
          <t>NORRBOTTENS LÄN</t>
        </is>
      </c>
      <c r="E2232" t="inlineStr">
        <is>
          <t>JOKKMOKK</t>
        </is>
      </c>
      <c r="F2232" t="inlineStr">
        <is>
          <t>Sveaskog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47194-2024</t>
        </is>
      </c>
      <c r="B2233" s="1" t="n">
        <v>45586.63030092593</v>
      </c>
      <c r="C2233" s="1" t="n">
        <v>45895</v>
      </c>
      <c r="D2233" t="inlineStr">
        <is>
          <t>NORRBOTTENS LÄN</t>
        </is>
      </c>
      <c r="E2233" t="inlineStr">
        <is>
          <t>PITEÅ</t>
        </is>
      </c>
      <c r="F2233" t="inlineStr">
        <is>
          <t>Sveaskog</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59194-2022</t>
        </is>
      </c>
      <c r="B2234" s="1" t="n">
        <v>44904</v>
      </c>
      <c r="C2234" s="1" t="n">
        <v>45895</v>
      </c>
      <c r="D2234" t="inlineStr">
        <is>
          <t>NORRBOTTENS LÄN</t>
        </is>
      </c>
      <c r="E2234" t="inlineStr">
        <is>
          <t>GÄLLIVARE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26103-2024</t>
        </is>
      </c>
      <c r="B2235" s="1" t="n">
        <v>45467</v>
      </c>
      <c r="C2235" s="1" t="n">
        <v>45895</v>
      </c>
      <c r="D2235" t="inlineStr">
        <is>
          <t>NORRBOTTENS LÄN</t>
        </is>
      </c>
      <c r="E2235" t="inlineStr">
        <is>
          <t>ARJEPLOG</t>
        </is>
      </c>
      <c r="G2235" t="n">
        <v>17.2</v>
      </c>
      <c r="H2235" t="n">
        <v>0</v>
      </c>
      <c r="I2235" t="n">
        <v>0</v>
      </c>
      <c r="J2235" t="n">
        <v>0</v>
      </c>
      <c r="K2235" t="n">
        <v>0</v>
      </c>
      <c r="L2235" t="n">
        <v>0</v>
      </c>
      <c r="M2235" t="n">
        <v>0</v>
      </c>
      <c r="N2235" t="n">
        <v>0</v>
      </c>
      <c r="O2235" t="n">
        <v>0</v>
      </c>
      <c r="P2235" t="n">
        <v>0</v>
      </c>
      <c r="Q2235" t="n">
        <v>0</v>
      </c>
      <c r="R2235" s="2" t="inlineStr"/>
    </row>
    <row r="2236" ht="15" customHeight="1">
      <c r="A2236" t="inlineStr">
        <is>
          <t>A 26118-2024</t>
        </is>
      </c>
      <c r="B2236" s="1" t="n">
        <v>45467</v>
      </c>
      <c r="C2236" s="1" t="n">
        <v>45895</v>
      </c>
      <c r="D2236" t="inlineStr">
        <is>
          <t>NORRBOTTENS LÄN</t>
        </is>
      </c>
      <c r="E2236" t="inlineStr">
        <is>
          <t>ÖVERTORNEÅ</t>
        </is>
      </c>
      <c r="G2236" t="n">
        <v>12.4</v>
      </c>
      <c r="H2236" t="n">
        <v>0</v>
      </c>
      <c r="I2236" t="n">
        <v>0</v>
      </c>
      <c r="J2236" t="n">
        <v>0</v>
      </c>
      <c r="K2236" t="n">
        <v>0</v>
      </c>
      <c r="L2236" t="n">
        <v>0</v>
      </c>
      <c r="M2236" t="n">
        <v>0</v>
      </c>
      <c r="N2236" t="n">
        <v>0</v>
      </c>
      <c r="O2236" t="n">
        <v>0</v>
      </c>
      <c r="P2236" t="n">
        <v>0</v>
      </c>
      <c r="Q2236" t="n">
        <v>0</v>
      </c>
      <c r="R2236" s="2" t="inlineStr"/>
    </row>
    <row r="2237" ht="15" customHeight="1">
      <c r="A2237" t="inlineStr">
        <is>
          <t>A 26142-2024</t>
        </is>
      </c>
      <c r="B2237" s="1" t="n">
        <v>45467</v>
      </c>
      <c r="C2237" s="1" t="n">
        <v>45895</v>
      </c>
      <c r="D2237" t="inlineStr">
        <is>
          <t>NORRBOTTENS LÄN</t>
        </is>
      </c>
      <c r="E2237" t="inlineStr">
        <is>
          <t>ÖVERTORNEÅ</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4086-2024</t>
        </is>
      </c>
      <c r="B2238" s="1" t="n">
        <v>45323</v>
      </c>
      <c r="C2238" s="1" t="n">
        <v>45895</v>
      </c>
      <c r="D2238" t="inlineStr">
        <is>
          <t>NORRBOTTENS LÄN</t>
        </is>
      </c>
      <c r="E2238" t="inlineStr">
        <is>
          <t>PITEÅ</t>
        </is>
      </c>
      <c r="G2238" t="n">
        <v>11.3</v>
      </c>
      <c r="H2238" t="n">
        <v>0</v>
      </c>
      <c r="I2238" t="n">
        <v>0</v>
      </c>
      <c r="J2238" t="n">
        <v>0</v>
      </c>
      <c r="K2238" t="n">
        <v>0</v>
      </c>
      <c r="L2238" t="n">
        <v>0</v>
      </c>
      <c r="M2238" t="n">
        <v>0</v>
      </c>
      <c r="N2238" t="n">
        <v>0</v>
      </c>
      <c r="O2238" t="n">
        <v>0</v>
      </c>
      <c r="P2238" t="n">
        <v>0</v>
      </c>
      <c r="Q2238" t="n">
        <v>0</v>
      </c>
      <c r="R2238" s="2" t="inlineStr"/>
    </row>
    <row r="2239" ht="15" customHeight="1">
      <c r="A2239" t="inlineStr">
        <is>
          <t>A 42379-2024</t>
        </is>
      </c>
      <c r="B2239" s="1" t="n">
        <v>45564</v>
      </c>
      <c r="C2239" s="1" t="n">
        <v>45895</v>
      </c>
      <c r="D2239" t="inlineStr">
        <is>
          <t>NORRBOTTENS LÄN</t>
        </is>
      </c>
      <c r="E2239" t="inlineStr">
        <is>
          <t>PITEÅ</t>
        </is>
      </c>
      <c r="G2239" t="n">
        <v>21.6</v>
      </c>
      <c r="H2239" t="n">
        <v>0</v>
      </c>
      <c r="I2239" t="n">
        <v>0</v>
      </c>
      <c r="J2239" t="n">
        <v>0</v>
      </c>
      <c r="K2239" t="n">
        <v>0</v>
      </c>
      <c r="L2239" t="n">
        <v>0</v>
      </c>
      <c r="M2239" t="n">
        <v>0</v>
      </c>
      <c r="N2239" t="n">
        <v>0</v>
      </c>
      <c r="O2239" t="n">
        <v>0</v>
      </c>
      <c r="P2239" t="n">
        <v>0</v>
      </c>
      <c r="Q2239" t="n">
        <v>0</v>
      </c>
      <c r="R2239" s="2" t="inlineStr"/>
    </row>
    <row r="2240" ht="15" customHeight="1">
      <c r="A2240" t="inlineStr">
        <is>
          <t>A 25715-2024</t>
        </is>
      </c>
      <c r="B2240" s="1" t="n">
        <v>45463</v>
      </c>
      <c r="C2240" s="1" t="n">
        <v>45895</v>
      </c>
      <c r="D2240" t="inlineStr">
        <is>
          <t>NORRBOTTENS LÄN</t>
        </is>
      </c>
      <c r="E2240" t="inlineStr">
        <is>
          <t>JOKKMOKK</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25798-2024</t>
        </is>
      </c>
      <c r="B2241" s="1" t="n">
        <v>45463</v>
      </c>
      <c r="C2241" s="1" t="n">
        <v>45895</v>
      </c>
      <c r="D2241" t="inlineStr">
        <is>
          <t>NORRBOTTENS LÄN</t>
        </is>
      </c>
      <c r="E2241" t="inlineStr">
        <is>
          <t>LULEÅ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3034-2024</t>
        </is>
      </c>
      <c r="B2242" s="1" t="n">
        <v>45316</v>
      </c>
      <c r="C2242" s="1" t="n">
        <v>45895</v>
      </c>
      <c r="D2242" t="inlineStr">
        <is>
          <t>NORRBOTTENS LÄN</t>
        </is>
      </c>
      <c r="E2242" t="inlineStr">
        <is>
          <t>ARVIDSJAUR</t>
        </is>
      </c>
      <c r="F2242" t="inlineStr">
        <is>
          <t>Allmännings- och besparingsskogar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26582-2024</t>
        </is>
      </c>
      <c r="B2243" s="1" t="n">
        <v>45469.66545138889</v>
      </c>
      <c r="C2243" s="1" t="n">
        <v>45895</v>
      </c>
      <c r="D2243" t="inlineStr">
        <is>
          <t>NORRBOTTENS LÄN</t>
        </is>
      </c>
      <c r="E2243" t="inlineStr">
        <is>
          <t>LULEÅ</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31050-2024</t>
        </is>
      </c>
      <c r="B2244" s="1" t="n">
        <v>45502.33652777778</v>
      </c>
      <c r="C2244" s="1" t="n">
        <v>45895</v>
      </c>
      <c r="D2244" t="inlineStr">
        <is>
          <t>NORRBOTTENS LÄN</t>
        </is>
      </c>
      <c r="E2244" t="inlineStr">
        <is>
          <t>ARVIDSJAUR</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2842-2024</t>
        </is>
      </c>
      <c r="B2245" s="1" t="n">
        <v>45315</v>
      </c>
      <c r="C2245" s="1" t="n">
        <v>45895</v>
      </c>
      <c r="D2245" t="inlineStr">
        <is>
          <t>NORRBOTTENS LÄN</t>
        </is>
      </c>
      <c r="E2245" t="inlineStr">
        <is>
          <t>PITEÅ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2889-2024</t>
        </is>
      </c>
      <c r="B2246" s="1" t="n">
        <v>45315.49657407407</v>
      </c>
      <c r="C2246" s="1" t="n">
        <v>45895</v>
      </c>
      <c r="D2246" t="inlineStr">
        <is>
          <t>NORRBOTTENS LÄN</t>
        </is>
      </c>
      <c r="E2246" t="inlineStr">
        <is>
          <t>PITEÅ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55124-2023</t>
        </is>
      </c>
      <c r="B2247" s="1" t="n">
        <v>45237.48104166667</v>
      </c>
      <c r="C2247" s="1" t="n">
        <v>45895</v>
      </c>
      <c r="D2247" t="inlineStr">
        <is>
          <t>NORRBOTTENS LÄN</t>
        </is>
      </c>
      <c r="E2247" t="inlineStr">
        <is>
          <t>PITEÅ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29011-2024</t>
        </is>
      </c>
      <c r="B2248" s="1" t="n">
        <v>45481</v>
      </c>
      <c r="C2248" s="1" t="n">
        <v>45895</v>
      </c>
      <c r="D2248" t="inlineStr">
        <is>
          <t>NORRBOTTENS LÄN</t>
        </is>
      </c>
      <c r="E2248" t="inlineStr">
        <is>
          <t>GÄLLIVARE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4250-2025</t>
        </is>
      </c>
      <c r="B2249" s="1" t="n">
        <v>45685</v>
      </c>
      <c r="C2249" s="1" t="n">
        <v>45895</v>
      </c>
      <c r="D2249" t="inlineStr">
        <is>
          <t>NORRBOTTENS LÄN</t>
        </is>
      </c>
      <c r="E2249" t="inlineStr">
        <is>
          <t>ÖVERTORNEÅ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44096-2023</t>
        </is>
      </c>
      <c r="B2250" s="1" t="n">
        <v>45188.42984953704</v>
      </c>
      <c r="C2250" s="1" t="n">
        <v>45895</v>
      </c>
      <c r="D2250" t="inlineStr">
        <is>
          <t>NORRBOTTENS LÄN</t>
        </is>
      </c>
      <c r="E2250" t="inlineStr">
        <is>
          <t>ÖVERTORNEÅ</t>
        </is>
      </c>
      <c r="G2250" t="n">
        <v>16.2</v>
      </c>
      <c r="H2250" t="n">
        <v>0</v>
      </c>
      <c r="I2250" t="n">
        <v>0</v>
      </c>
      <c r="J2250" t="n">
        <v>0</v>
      </c>
      <c r="K2250" t="n">
        <v>0</v>
      </c>
      <c r="L2250" t="n">
        <v>0</v>
      </c>
      <c r="M2250" t="n">
        <v>0</v>
      </c>
      <c r="N2250" t="n">
        <v>0</v>
      </c>
      <c r="O2250" t="n">
        <v>0</v>
      </c>
      <c r="P2250" t="n">
        <v>0</v>
      </c>
      <c r="Q2250" t="n">
        <v>0</v>
      </c>
      <c r="R2250" s="2" t="inlineStr"/>
    </row>
    <row r="2251" ht="15" customHeight="1">
      <c r="A2251" t="inlineStr">
        <is>
          <t>A 22108-2025</t>
        </is>
      </c>
      <c r="B2251" s="1" t="n">
        <v>45785</v>
      </c>
      <c r="C2251" s="1" t="n">
        <v>45895</v>
      </c>
      <c r="D2251" t="inlineStr">
        <is>
          <t>NORRBOTTENS LÄN</t>
        </is>
      </c>
      <c r="E2251" t="inlineStr">
        <is>
          <t>ÖVERKALIX</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9996-2023</t>
        </is>
      </c>
      <c r="B2252" s="1" t="n">
        <v>44979</v>
      </c>
      <c r="C2252" s="1" t="n">
        <v>45895</v>
      </c>
      <c r="D2252" t="inlineStr">
        <is>
          <t>NORRBOTTENS LÄN</t>
        </is>
      </c>
      <c r="E2252" t="inlineStr">
        <is>
          <t>ARVIDSJAUR</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40937-2024</t>
        </is>
      </c>
      <c r="B2253" s="1" t="n">
        <v>45558.6424537037</v>
      </c>
      <c r="C2253" s="1" t="n">
        <v>45895</v>
      </c>
      <c r="D2253" t="inlineStr">
        <is>
          <t>NORRBOTTENS LÄN</t>
        </is>
      </c>
      <c r="E2253" t="inlineStr">
        <is>
          <t>ARVIDSJAUR</t>
        </is>
      </c>
      <c r="F2253" t="inlineStr">
        <is>
          <t>Sveaskog</t>
        </is>
      </c>
      <c r="G2253" t="n">
        <v>22.6</v>
      </c>
      <c r="H2253" t="n">
        <v>0</v>
      </c>
      <c r="I2253" t="n">
        <v>0</v>
      </c>
      <c r="J2253" t="n">
        <v>0</v>
      </c>
      <c r="K2253" t="n">
        <v>0</v>
      </c>
      <c r="L2253" t="n">
        <v>0</v>
      </c>
      <c r="M2253" t="n">
        <v>0</v>
      </c>
      <c r="N2253" t="n">
        <v>0</v>
      </c>
      <c r="O2253" t="n">
        <v>0</v>
      </c>
      <c r="P2253" t="n">
        <v>0</v>
      </c>
      <c r="Q2253" t="n">
        <v>0</v>
      </c>
      <c r="R2253" s="2" t="inlineStr"/>
    </row>
    <row r="2254" ht="15" customHeight="1">
      <c r="A2254" t="inlineStr">
        <is>
          <t>A 54858-2022</t>
        </is>
      </c>
      <c r="B2254" s="1" t="n">
        <v>44884</v>
      </c>
      <c r="C2254" s="1" t="n">
        <v>45895</v>
      </c>
      <c r="D2254" t="inlineStr">
        <is>
          <t>NORRBOTTENS LÄN</t>
        </is>
      </c>
      <c r="E2254" t="inlineStr">
        <is>
          <t>HAPARANDA</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62525-2022</t>
        </is>
      </c>
      <c r="B2255" s="1" t="n">
        <v>44917</v>
      </c>
      <c r="C2255" s="1" t="n">
        <v>45895</v>
      </c>
      <c r="D2255" t="inlineStr">
        <is>
          <t>NORRBOTTENS LÄN</t>
        </is>
      </c>
      <c r="E2255" t="inlineStr">
        <is>
          <t>KALIX</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26359-2022</t>
        </is>
      </c>
      <c r="B2256" s="1" t="n">
        <v>44735</v>
      </c>
      <c r="C2256" s="1" t="n">
        <v>45895</v>
      </c>
      <c r="D2256" t="inlineStr">
        <is>
          <t>NORRBOTTENS LÄN</t>
        </is>
      </c>
      <c r="E2256" t="inlineStr">
        <is>
          <t>BODEN</t>
        </is>
      </c>
      <c r="F2256" t="inlineStr">
        <is>
          <t>Sveaskog</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46183-2021</t>
        </is>
      </c>
      <c r="B2257" s="1" t="n">
        <v>44441</v>
      </c>
      <c r="C2257" s="1" t="n">
        <v>45895</v>
      </c>
      <c r="D2257" t="inlineStr">
        <is>
          <t>NORRBOTTENS LÄN</t>
        </is>
      </c>
      <c r="E2257" t="inlineStr">
        <is>
          <t>BODEN</t>
        </is>
      </c>
      <c r="G2257" t="n">
        <v>13.6</v>
      </c>
      <c r="H2257" t="n">
        <v>0</v>
      </c>
      <c r="I2257" t="n">
        <v>0</v>
      </c>
      <c r="J2257" t="n">
        <v>0</v>
      </c>
      <c r="K2257" t="n">
        <v>0</v>
      </c>
      <c r="L2257" t="n">
        <v>0</v>
      </c>
      <c r="M2257" t="n">
        <v>0</v>
      </c>
      <c r="N2257" t="n">
        <v>0</v>
      </c>
      <c r="O2257" t="n">
        <v>0</v>
      </c>
      <c r="P2257" t="n">
        <v>0</v>
      </c>
      <c r="Q2257" t="n">
        <v>0</v>
      </c>
      <c r="R2257" s="2" t="inlineStr"/>
    </row>
    <row r="2258" ht="15" customHeight="1">
      <c r="A2258" t="inlineStr">
        <is>
          <t>A 34021-2021</t>
        </is>
      </c>
      <c r="B2258" s="1" t="n">
        <v>44378</v>
      </c>
      <c r="C2258" s="1" t="n">
        <v>45895</v>
      </c>
      <c r="D2258" t="inlineStr">
        <is>
          <t>NORRBOTTENS LÄN</t>
        </is>
      </c>
      <c r="E2258" t="inlineStr">
        <is>
          <t>BODEN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35090-2023</t>
        </is>
      </c>
      <c r="B2259" s="1" t="n">
        <v>45145</v>
      </c>
      <c r="C2259" s="1" t="n">
        <v>45895</v>
      </c>
      <c r="D2259" t="inlineStr">
        <is>
          <t>NORRBOTTENS LÄN</t>
        </is>
      </c>
      <c r="E2259" t="inlineStr">
        <is>
          <t>LULEÅ</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25983-2023</t>
        </is>
      </c>
      <c r="B2260" s="1" t="n">
        <v>45090</v>
      </c>
      <c r="C2260" s="1" t="n">
        <v>45895</v>
      </c>
      <c r="D2260" t="inlineStr">
        <is>
          <t>NORRBOTTENS LÄN</t>
        </is>
      </c>
      <c r="E2260" t="inlineStr">
        <is>
          <t>PITEÅ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32377-2023</t>
        </is>
      </c>
      <c r="B2261" s="1" t="n">
        <v>45110</v>
      </c>
      <c r="C2261" s="1" t="n">
        <v>45895</v>
      </c>
      <c r="D2261" t="inlineStr">
        <is>
          <t>NORRBOTTENS LÄN</t>
        </is>
      </c>
      <c r="E2261" t="inlineStr">
        <is>
          <t>PITEÅ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10298-2023</t>
        </is>
      </c>
      <c r="B2262" s="1" t="n">
        <v>44986</v>
      </c>
      <c r="C2262" s="1" t="n">
        <v>45895</v>
      </c>
      <c r="D2262" t="inlineStr">
        <is>
          <t>NORRBOTTENS LÄN</t>
        </is>
      </c>
      <c r="E2262" t="inlineStr">
        <is>
          <t>GÄLLIVARE</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27666-2024</t>
        </is>
      </c>
      <c r="B2263" s="1" t="n">
        <v>45474</v>
      </c>
      <c r="C2263" s="1" t="n">
        <v>45895</v>
      </c>
      <c r="D2263" t="inlineStr">
        <is>
          <t>NORRBOTTENS LÄN</t>
        </is>
      </c>
      <c r="E2263" t="inlineStr">
        <is>
          <t>GÄLLIVARE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19975-2025</t>
        </is>
      </c>
      <c r="B2264" s="1" t="n">
        <v>45771.69822916666</v>
      </c>
      <c r="C2264" s="1" t="n">
        <v>45895</v>
      </c>
      <c r="D2264" t="inlineStr">
        <is>
          <t>NORRBOTTENS LÄN</t>
        </is>
      </c>
      <c r="E2264" t="inlineStr">
        <is>
          <t>KALIX</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22481-2025</t>
        </is>
      </c>
      <c r="B2265" s="1" t="n">
        <v>45786.63832175926</v>
      </c>
      <c r="C2265" s="1" t="n">
        <v>45895</v>
      </c>
      <c r="D2265" t="inlineStr">
        <is>
          <t>NORRBOTTENS LÄN</t>
        </is>
      </c>
      <c r="E2265" t="inlineStr">
        <is>
          <t>ÖVERTORNEÅ</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20028-2025</t>
        </is>
      </c>
      <c r="B2266" s="1" t="n">
        <v>45772.35200231482</v>
      </c>
      <c r="C2266" s="1" t="n">
        <v>45895</v>
      </c>
      <c r="D2266" t="inlineStr">
        <is>
          <t>NORRBOTTENS LÄN</t>
        </is>
      </c>
      <c r="E2266" t="inlineStr">
        <is>
          <t>BODEN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20041-2025</t>
        </is>
      </c>
      <c r="B2267" s="1" t="n">
        <v>45772.37400462963</v>
      </c>
      <c r="C2267" s="1" t="n">
        <v>45895</v>
      </c>
      <c r="D2267" t="inlineStr">
        <is>
          <t>NORRBOTTENS LÄN</t>
        </is>
      </c>
      <c r="E2267" t="inlineStr">
        <is>
          <t>BODEN</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60337-2024</t>
        </is>
      </c>
      <c r="B2268" s="1" t="n">
        <v>45643.40710648148</v>
      </c>
      <c r="C2268" s="1" t="n">
        <v>45895</v>
      </c>
      <c r="D2268" t="inlineStr">
        <is>
          <t>NORRBOTTENS LÄN</t>
        </is>
      </c>
      <c r="E2268" t="inlineStr">
        <is>
          <t>BODEN</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60399-2024</t>
        </is>
      </c>
      <c r="B2269" s="1" t="n">
        <v>45643</v>
      </c>
      <c r="C2269" s="1" t="n">
        <v>45895</v>
      </c>
      <c r="D2269" t="inlineStr">
        <is>
          <t>NORRBOTTENS LÄN</t>
        </is>
      </c>
      <c r="E2269" t="inlineStr">
        <is>
          <t>PAJALA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41136-2023</t>
        </is>
      </c>
      <c r="B2270" s="1" t="n">
        <v>45173</v>
      </c>
      <c r="C2270" s="1" t="n">
        <v>45895</v>
      </c>
      <c r="D2270" t="inlineStr">
        <is>
          <t>NORRBOTTENS LÄN</t>
        </is>
      </c>
      <c r="E2270" t="inlineStr">
        <is>
          <t>HAPARANDA</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33865-2023</t>
        </is>
      </c>
      <c r="B2271" s="1" t="n">
        <v>45133.92516203703</v>
      </c>
      <c r="C2271" s="1" t="n">
        <v>45895</v>
      </c>
      <c r="D2271" t="inlineStr">
        <is>
          <t>NORRBOTTENS LÄN</t>
        </is>
      </c>
      <c r="E2271" t="inlineStr">
        <is>
          <t>ÖVERKALIX</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61600-2024</t>
        </is>
      </c>
      <c r="B2272" s="1" t="n">
        <v>45646.63835648148</v>
      </c>
      <c r="C2272" s="1" t="n">
        <v>45895</v>
      </c>
      <c r="D2272" t="inlineStr">
        <is>
          <t>NORRBOTTENS LÄN</t>
        </is>
      </c>
      <c r="E2272" t="inlineStr">
        <is>
          <t>BODEN</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39551-2023</t>
        </is>
      </c>
      <c r="B2273" s="1" t="n">
        <v>45167.3790162037</v>
      </c>
      <c r="C2273" s="1" t="n">
        <v>45895</v>
      </c>
      <c r="D2273" t="inlineStr">
        <is>
          <t>NORRBOTTENS LÄN</t>
        </is>
      </c>
      <c r="E2273" t="inlineStr">
        <is>
          <t>ÄLVSBYN</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39591-2023</t>
        </is>
      </c>
      <c r="B2274" s="1" t="n">
        <v>45167</v>
      </c>
      <c r="C2274" s="1" t="n">
        <v>45895</v>
      </c>
      <c r="D2274" t="inlineStr">
        <is>
          <t>NORRBOTTENS LÄN</t>
        </is>
      </c>
      <c r="E2274" t="inlineStr">
        <is>
          <t>ARVIDSJAUR</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43827-2024</t>
        </is>
      </c>
      <c r="B2275" s="1" t="n">
        <v>45572</v>
      </c>
      <c r="C2275" s="1" t="n">
        <v>45895</v>
      </c>
      <c r="D2275" t="inlineStr">
        <is>
          <t>NORRBOTTENS LÄN</t>
        </is>
      </c>
      <c r="E2275" t="inlineStr">
        <is>
          <t>PITEÅ</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51272-2024</t>
        </is>
      </c>
      <c r="B2276" s="1" t="n">
        <v>45602</v>
      </c>
      <c r="C2276" s="1" t="n">
        <v>45895</v>
      </c>
      <c r="D2276" t="inlineStr">
        <is>
          <t>NORRBOTTENS LÄN</t>
        </is>
      </c>
      <c r="E2276" t="inlineStr">
        <is>
          <t>ÖVERTORNEÅ</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2988-2025</t>
        </is>
      </c>
      <c r="B2277" s="1" t="n">
        <v>45678</v>
      </c>
      <c r="C2277" s="1" t="n">
        <v>45895</v>
      </c>
      <c r="D2277" t="inlineStr">
        <is>
          <t>NORRBOTTENS LÄN</t>
        </is>
      </c>
      <c r="E2277" t="inlineStr">
        <is>
          <t>PAJALA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30343-2023</t>
        </is>
      </c>
      <c r="B2278" s="1" t="n">
        <v>45111</v>
      </c>
      <c r="C2278" s="1" t="n">
        <v>45895</v>
      </c>
      <c r="D2278" t="inlineStr">
        <is>
          <t>NORRBOTTENS LÄN</t>
        </is>
      </c>
      <c r="E2278" t="inlineStr">
        <is>
          <t>ARVIDSJAUR</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48372-2021</t>
        </is>
      </c>
      <c r="B2279" s="1" t="n">
        <v>44451</v>
      </c>
      <c r="C2279" s="1" t="n">
        <v>45895</v>
      </c>
      <c r="D2279" t="inlineStr">
        <is>
          <t>NORRBOTTENS LÄN</t>
        </is>
      </c>
      <c r="E2279" t="inlineStr">
        <is>
          <t>PAJALA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59793-2024</t>
        </is>
      </c>
      <c r="B2280" s="1" t="n">
        <v>45639.58967592593</v>
      </c>
      <c r="C2280" s="1" t="n">
        <v>45895</v>
      </c>
      <c r="D2280" t="inlineStr">
        <is>
          <t>NORRBOTTENS LÄN</t>
        </is>
      </c>
      <c r="E2280" t="inlineStr">
        <is>
          <t>JOKKMOKK</t>
        </is>
      </c>
      <c r="F2280" t="inlineStr">
        <is>
          <t>Sveaskog</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50043-2024</t>
        </is>
      </c>
      <c r="B2281" s="1" t="n">
        <v>45597</v>
      </c>
      <c r="C2281" s="1" t="n">
        <v>45895</v>
      </c>
      <c r="D2281" t="inlineStr">
        <is>
          <t>NORRBOTTENS LÄN</t>
        </is>
      </c>
      <c r="E2281" t="inlineStr">
        <is>
          <t>ARVIDSJAUR</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4330-2022</t>
        </is>
      </c>
      <c r="B2282" s="1" t="n">
        <v>44588</v>
      </c>
      <c r="C2282" s="1" t="n">
        <v>45895</v>
      </c>
      <c r="D2282" t="inlineStr">
        <is>
          <t>NORRBOTTENS LÄN</t>
        </is>
      </c>
      <c r="E2282" t="inlineStr">
        <is>
          <t>PITEÅ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19983-2025</t>
        </is>
      </c>
      <c r="B2283" s="1" t="n">
        <v>45771.71908564815</v>
      </c>
      <c r="C2283" s="1" t="n">
        <v>45895</v>
      </c>
      <c r="D2283" t="inlineStr">
        <is>
          <t>NORRBOTTENS LÄN</t>
        </is>
      </c>
      <c r="E2283" t="inlineStr">
        <is>
          <t>LULEÅ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19984-2025</t>
        </is>
      </c>
      <c r="B2284" s="1" t="n">
        <v>45771.71935185185</v>
      </c>
      <c r="C2284" s="1" t="n">
        <v>45895</v>
      </c>
      <c r="D2284" t="inlineStr">
        <is>
          <t>NORRBOTTENS LÄN</t>
        </is>
      </c>
      <c r="E2284" t="inlineStr">
        <is>
          <t>ÖVERKALIX</t>
        </is>
      </c>
      <c r="F2284" t="inlineStr">
        <is>
          <t>SCA</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11982-2023</t>
        </is>
      </c>
      <c r="B2285" s="1" t="n">
        <v>44994</v>
      </c>
      <c r="C2285" s="1" t="n">
        <v>45895</v>
      </c>
      <c r="D2285" t="inlineStr">
        <is>
          <t>NORRBOTTENS LÄN</t>
        </is>
      </c>
      <c r="E2285" t="inlineStr">
        <is>
          <t>LULEÅ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4937-2024</t>
        </is>
      </c>
      <c r="B2286" s="1" t="n">
        <v>45329</v>
      </c>
      <c r="C2286" s="1" t="n">
        <v>45895</v>
      </c>
      <c r="D2286" t="inlineStr">
        <is>
          <t>NORRBOTTENS LÄN</t>
        </is>
      </c>
      <c r="E2286" t="inlineStr">
        <is>
          <t>ARVIDSJAUR</t>
        </is>
      </c>
      <c r="F2286" t="inlineStr">
        <is>
          <t>Sveaskog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46786-2024</t>
        </is>
      </c>
      <c r="B2287" s="1" t="n">
        <v>45583</v>
      </c>
      <c r="C2287" s="1" t="n">
        <v>45895</v>
      </c>
      <c r="D2287" t="inlineStr">
        <is>
          <t>NORRBOTTENS LÄN</t>
        </is>
      </c>
      <c r="E2287" t="inlineStr">
        <is>
          <t>ÄLVSBYN</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21704-2024</t>
        </is>
      </c>
      <c r="B2288" s="1" t="n">
        <v>45442</v>
      </c>
      <c r="C2288" s="1" t="n">
        <v>45895</v>
      </c>
      <c r="D2288" t="inlineStr">
        <is>
          <t>NORRBOTTENS LÄN</t>
        </is>
      </c>
      <c r="E2288" t="inlineStr">
        <is>
          <t>ARVIDSJAUR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46830-2024</t>
        </is>
      </c>
      <c r="B2289" s="1" t="n">
        <v>45583.5820949074</v>
      </c>
      <c r="C2289" s="1" t="n">
        <v>45895</v>
      </c>
      <c r="D2289" t="inlineStr">
        <is>
          <t>NORRBOTTENS LÄN</t>
        </is>
      </c>
      <c r="E2289" t="inlineStr">
        <is>
          <t>PAJALA</t>
        </is>
      </c>
      <c r="F2289" t="inlineStr">
        <is>
          <t>Sveaskog</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23055-2024</t>
        </is>
      </c>
      <c r="B2290" s="1" t="n">
        <v>45449</v>
      </c>
      <c r="C2290" s="1" t="n">
        <v>45895</v>
      </c>
      <c r="D2290" t="inlineStr">
        <is>
          <t>NORRBOTTENS LÄN</t>
        </is>
      </c>
      <c r="E2290" t="inlineStr">
        <is>
          <t>ÖVERTORNEÅ</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47051-2024</t>
        </is>
      </c>
      <c r="B2291" s="1" t="n">
        <v>45585</v>
      </c>
      <c r="C2291" s="1" t="n">
        <v>45895</v>
      </c>
      <c r="D2291" t="inlineStr">
        <is>
          <t>NORRBOTTENS LÄN</t>
        </is>
      </c>
      <c r="E2291" t="inlineStr">
        <is>
          <t>PAJALA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47066-2024</t>
        </is>
      </c>
      <c r="B2292" s="1" t="n">
        <v>45586.47526620371</v>
      </c>
      <c r="C2292" s="1" t="n">
        <v>45895</v>
      </c>
      <c r="D2292" t="inlineStr">
        <is>
          <t>NORRBOTTENS LÄN</t>
        </is>
      </c>
      <c r="E2292" t="inlineStr">
        <is>
          <t>KALIX</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39684-2023</t>
        </is>
      </c>
      <c r="B2293" s="1" t="n">
        <v>45166</v>
      </c>
      <c r="C2293" s="1" t="n">
        <v>45895</v>
      </c>
      <c r="D2293" t="inlineStr">
        <is>
          <t>NORRBOTTENS LÄN</t>
        </is>
      </c>
      <c r="E2293" t="inlineStr">
        <is>
          <t>JOKKMOKK</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67004-2021</t>
        </is>
      </c>
      <c r="B2294" s="1" t="n">
        <v>44522.63969907408</v>
      </c>
      <c r="C2294" s="1" t="n">
        <v>45895</v>
      </c>
      <c r="D2294" t="inlineStr">
        <is>
          <t>NORRBOTTENS LÄN</t>
        </is>
      </c>
      <c r="E2294" t="inlineStr">
        <is>
          <t>KALIX</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67068-2021</t>
        </is>
      </c>
      <c r="B2295" s="1" t="n">
        <v>44522.9206712963</v>
      </c>
      <c r="C2295" s="1" t="n">
        <v>45895</v>
      </c>
      <c r="D2295" t="inlineStr">
        <is>
          <t>NORRBOTTENS LÄN</t>
        </is>
      </c>
      <c r="E2295" t="inlineStr">
        <is>
          <t>BODEN</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28862-2024</t>
        </is>
      </c>
      <c r="B2296" s="1" t="n">
        <v>45478.92890046296</v>
      </c>
      <c r="C2296" s="1" t="n">
        <v>45895</v>
      </c>
      <c r="D2296" t="inlineStr">
        <is>
          <t>NORRBOTTENS LÄN</t>
        </is>
      </c>
      <c r="E2296" t="inlineStr">
        <is>
          <t>ÄLVSBYN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31159-2024</t>
        </is>
      </c>
      <c r="B2297" s="1" t="n">
        <v>45503</v>
      </c>
      <c r="C2297" s="1" t="n">
        <v>45895</v>
      </c>
      <c r="D2297" t="inlineStr">
        <is>
          <t>NORRBOTTENS LÄN</t>
        </is>
      </c>
      <c r="E2297" t="inlineStr">
        <is>
          <t>PITEÅ</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48036-2024</t>
        </is>
      </c>
      <c r="B2298" s="1" t="n">
        <v>45589.49344907407</v>
      </c>
      <c r="C2298" s="1" t="n">
        <v>45895</v>
      </c>
      <c r="D2298" t="inlineStr">
        <is>
          <t>NORRBOTTENS LÄN</t>
        </is>
      </c>
      <c r="E2298" t="inlineStr">
        <is>
          <t>ÖVERTORNEÅ</t>
        </is>
      </c>
      <c r="F2298" t="inlineStr">
        <is>
          <t>Kommuner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47701-2022</t>
        </is>
      </c>
      <c r="B2299" s="1" t="n">
        <v>44854</v>
      </c>
      <c r="C2299" s="1" t="n">
        <v>45895</v>
      </c>
      <c r="D2299" t="inlineStr">
        <is>
          <t>NORRBOTTENS LÄN</t>
        </is>
      </c>
      <c r="E2299" t="inlineStr">
        <is>
          <t>PAJALA</t>
        </is>
      </c>
      <c r="F2299" t="inlineStr">
        <is>
          <t>Sveaskog</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47703-2022</t>
        </is>
      </c>
      <c r="B2300" s="1" t="n">
        <v>44854</v>
      </c>
      <c r="C2300" s="1" t="n">
        <v>45895</v>
      </c>
      <c r="D2300" t="inlineStr">
        <is>
          <t>NORRBOTTENS LÄN</t>
        </is>
      </c>
      <c r="E2300" t="inlineStr">
        <is>
          <t>PAJALA</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2286-2024</t>
        </is>
      </c>
      <c r="B2301" s="1" t="n">
        <v>45310</v>
      </c>
      <c r="C2301" s="1" t="n">
        <v>45895</v>
      </c>
      <c r="D2301" t="inlineStr">
        <is>
          <t>NORRBOTTENS LÄN</t>
        </is>
      </c>
      <c r="E2301" t="inlineStr">
        <is>
          <t>ARVIDSJAUR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21299-2024</t>
        </is>
      </c>
      <c r="B2302" s="1" t="n">
        <v>45440</v>
      </c>
      <c r="C2302" s="1" t="n">
        <v>45895</v>
      </c>
      <c r="D2302" t="inlineStr">
        <is>
          <t>NORRBOTTENS LÄN</t>
        </is>
      </c>
      <c r="E2302" t="inlineStr">
        <is>
          <t>ÖVERKALIX</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54103-2024</t>
        </is>
      </c>
      <c r="B2303" s="1" t="n">
        <v>45616</v>
      </c>
      <c r="C2303" s="1" t="n">
        <v>45895</v>
      </c>
      <c r="D2303" t="inlineStr">
        <is>
          <t>NORRBOTTENS LÄN</t>
        </is>
      </c>
      <c r="E2303" t="inlineStr">
        <is>
          <t>GÄLLIVARE</t>
        </is>
      </c>
      <c r="F2303" t="inlineStr">
        <is>
          <t>Allmännings- och besparingsskogar</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50672-2024</t>
        </is>
      </c>
      <c r="B2304" s="1" t="n">
        <v>45601</v>
      </c>
      <c r="C2304" s="1" t="n">
        <v>45895</v>
      </c>
      <c r="D2304" t="inlineStr">
        <is>
          <t>NORRBOTTENS LÄN</t>
        </is>
      </c>
      <c r="E2304" t="inlineStr">
        <is>
          <t>ÄLVSBYN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57945-2023</t>
        </is>
      </c>
      <c r="B2305" s="1" t="n">
        <v>45247</v>
      </c>
      <c r="C2305" s="1" t="n">
        <v>45895</v>
      </c>
      <c r="D2305" t="inlineStr">
        <is>
          <t>NORRBOTTENS LÄN</t>
        </is>
      </c>
      <c r="E2305" t="inlineStr">
        <is>
          <t>PAJALA</t>
        </is>
      </c>
      <c r="G2305" t="n">
        <v>17.3</v>
      </c>
      <c r="H2305" t="n">
        <v>0</v>
      </c>
      <c r="I2305" t="n">
        <v>0</v>
      </c>
      <c r="J2305" t="n">
        <v>0</v>
      </c>
      <c r="K2305" t="n">
        <v>0</v>
      </c>
      <c r="L2305" t="n">
        <v>0</v>
      </c>
      <c r="M2305" t="n">
        <v>0</v>
      </c>
      <c r="N2305" t="n">
        <v>0</v>
      </c>
      <c r="O2305" t="n">
        <v>0</v>
      </c>
      <c r="P2305" t="n">
        <v>0</v>
      </c>
      <c r="Q2305" t="n">
        <v>0</v>
      </c>
      <c r="R2305" s="2" t="inlineStr"/>
    </row>
    <row r="2306" ht="15" customHeight="1">
      <c r="A2306" t="inlineStr">
        <is>
          <t>A 57966-2023</t>
        </is>
      </c>
      <c r="B2306" s="1" t="n">
        <v>45244</v>
      </c>
      <c r="C2306" s="1" t="n">
        <v>45895</v>
      </c>
      <c r="D2306" t="inlineStr">
        <is>
          <t>NORRBOTTENS LÄN</t>
        </is>
      </c>
      <c r="E2306" t="inlineStr">
        <is>
          <t>ÖVERKALIX</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54218-2024</t>
        </is>
      </c>
      <c r="B2307" s="1" t="n">
        <v>45616</v>
      </c>
      <c r="C2307" s="1" t="n">
        <v>45895</v>
      </c>
      <c r="D2307" t="inlineStr">
        <is>
          <t>NORRBOTTENS LÄN</t>
        </is>
      </c>
      <c r="E2307" t="inlineStr">
        <is>
          <t>ARVIDSJAUR</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16028-2024</t>
        </is>
      </c>
      <c r="B2308" s="1" t="n">
        <v>45405</v>
      </c>
      <c r="C2308" s="1" t="n">
        <v>45895</v>
      </c>
      <c r="D2308" t="inlineStr">
        <is>
          <t>NORRBOTTENS LÄN</t>
        </is>
      </c>
      <c r="E2308" t="inlineStr">
        <is>
          <t>ÖVERTORNEÅ</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26470-2024</t>
        </is>
      </c>
      <c r="B2309" s="1" t="n">
        <v>45468</v>
      </c>
      <c r="C2309" s="1" t="n">
        <v>45895</v>
      </c>
      <c r="D2309" t="inlineStr">
        <is>
          <t>NORRBOTTENS LÄN</t>
        </is>
      </c>
      <c r="E2309" t="inlineStr">
        <is>
          <t>ARJEPLOG</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59680-2024</t>
        </is>
      </c>
      <c r="B2310" s="1" t="n">
        <v>45639</v>
      </c>
      <c r="C2310" s="1" t="n">
        <v>45895</v>
      </c>
      <c r="D2310" t="inlineStr">
        <is>
          <t>NORRBOTTENS LÄN</t>
        </is>
      </c>
      <c r="E2310" t="inlineStr">
        <is>
          <t>GÄLLIVARE</t>
        </is>
      </c>
      <c r="F2310" t="inlineStr">
        <is>
          <t>Sveaskog</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54284-2021</t>
        </is>
      </c>
      <c r="B2311" s="1" t="n">
        <v>44471</v>
      </c>
      <c r="C2311" s="1" t="n">
        <v>45895</v>
      </c>
      <c r="D2311" t="inlineStr">
        <is>
          <t>NORRBOTTENS LÄN</t>
        </is>
      </c>
      <c r="E2311" t="inlineStr">
        <is>
          <t>PAJALA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46932-2024</t>
        </is>
      </c>
      <c r="B2312" s="1" t="n">
        <v>45585.00625</v>
      </c>
      <c r="C2312" s="1" t="n">
        <v>45895</v>
      </c>
      <c r="D2312" t="inlineStr">
        <is>
          <t>NORRBOTTENS LÄN</t>
        </is>
      </c>
      <c r="E2312" t="inlineStr">
        <is>
          <t>PITEÅ</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14990-2024</t>
        </is>
      </c>
      <c r="B2313" s="1" t="n">
        <v>45399.36019675926</v>
      </c>
      <c r="C2313" s="1" t="n">
        <v>45895</v>
      </c>
      <c r="D2313" t="inlineStr">
        <is>
          <t>NORRBOTTENS LÄN</t>
        </is>
      </c>
      <c r="E2313" t="inlineStr">
        <is>
          <t>LULEÅ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22314-2025</t>
        </is>
      </c>
      <c r="B2314" s="1" t="n">
        <v>45786.3859837963</v>
      </c>
      <c r="C2314" s="1" t="n">
        <v>45895</v>
      </c>
      <c r="D2314" t="inlineStr">
        <is>
          <t>NORRBOTTENS LÄN</t>
        </is>
      </c>
      <c r="E2314" t="inlineStr">
        <is>
          <t>PAJALA</t>
        </is>
      </c>
      <c r="F2314" t="inlineStr">
        <is>
          <t>SCA</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48472-2024</t>
        </is>
      </c>
      <c r="B2315" s="1" t="n">
        <v>45591</v>
      </c>
      <c r="C2315" s="1" t="n">
        <v>45895</v>
      </c>
      <c r="D2315" t="inlineStr">
        <is>
          <t>NORRBOTTENS LÄN</t>
        </is>
      </c>
      <c r="E2315" t="inlineStr">
        <is>
          <t>BODEN</t>
        </is>
      </c>
      <c r="F2315" t="inlineStr">
        <is>
          <t>SCA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22318-2025</t>
        </is>
      </c>
      <c r="B2316" s="1" t="n">
        <v>45786</v>
      </c>
      <c r="C2316" s="1" t="n">
        <v>45895</v>
      </c>
      <c r="D2316" t="inlineStr">
        <is>
          <t>NORRBOTTENS LÄN</t>
        </is>
      </c>
      <c r="E2316" t="inlineStr">
        <is>
          <t>ÖVERKALIX</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30454-2024</t>
        </is>
      </c>
      <c r="B2317" s="1" t="n">
        <v>45491.92782407408</v>
      </c>
      <c r="C2317" s="1" t="n">
        <v>45895</v>
      </c>
      <c r="D2317" t="inlineStr">
        <is>
          <t>NORRBOTTENS LÄN</t>
        </is>
      </c>
      <c r="E2317" t="inlineStr">
        <is>
          <t>PITEÅ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48486-2024</t>
        </is>
      </c>
      <c r="B2318" s="1" t="n">
        <v>45592.41905092593</v>
      </c>
      <c r="C2318" s="1" t="n">
        <v>45895</v>
      </c>
      <c r="D2318" t="inlineStr">
        <is>
          <t>NORRBOTTENS LÄN</t>
        </is>
      </c>
      <c r="E2318" t="inlineStr">
        <is>
          <t>PAJALA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48487-2024</t>
        </is>
      </c>
      <c r="B2319" s="1" t="n">
        <v>45592.45144675926</v>
      </c>
      <c r="C2319" s="1" t="n">
        <v>45895</v>
      </c>
      <c r="D2319" t="inlineStr">
        <is>
          <t>NORRBOTTENS LÄN</t>
        </is>
      </c>
      <c r="E2319" t="inlineStr">
        <is>
          <t>PAJALA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35918-2024</t>
        </is>
      </c>
      <c r="B2320" s="1" t="n">
        <v>45533</v>
      </c>
      <c r="C2320" s="1" t="n">
        <v>45895</v>
      </c>
      <c r="D2320" t="inlineStr">
        <is>
          <t>NORRBOTTENS LÄN</t>
        </is>
      </c>
      <c r="E2320" t="inlineStr">
        <is>
          <t>LULEÅ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4756-2023</t>
        </is>
      </c>
      <c r="B2321" s="1" t="n">
        <v>44953</v>
      </c>
      <c r="C2321" s="1" t="n">
        <v>45895</v>
      </c>
      <c r="D2321" t="inlineStr">
        <is>
          <t>NORRBOTTENS LÄN</t>
        </is>
      </c>
      <c r="E2321" t="inlineStr">
        <is>
          <t>GÄLLIVARE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38860-2023</t>
        </is>
      </c>
      <c r="B2322" s="1" t="n">
        <v>45163.50519675926</v>
      </c>
      <c r="C2322" s="1" t="n">
        <v>45895</v>
      </c>
      <c r="D2322" t="inlineStr">
        <is>
          <t>NORRBOTTENS LÄN</t>
        </is>
      </c>
      <c r="E2322" t="inlineStr">
        <is>
          <t>PAJALA</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22097-2024</t>
        </is>
      </c>
      <c r="B2323" s="1" t="n">
        <v>45443.91856481481</v>
      </c>
      <c r="C2323" s="1" t="n">
        <v>45895</v>
      </c>
      <c r="D2323" t="inlineStr">
        <is>
          <t>NORRBOTTENS LÄN</t>
        </is>
      </c>
      <c r="E2323" t="inlineStr">
        <is>
          <t>PAJALA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8120-2022</t>
        </is>
      </c>
      <c r="B2324" s="1" t="n">
        <v>44609</v>
      </c>
      <c r="C2324" s="1" t="n">
        <v>45895</v>
      </c>
      <c r="D2324" t="inlineStr">
        <is>
          <t>NORRBOTTENS LÄN</t>
        </is>
      </c>
      <c r="E2324" t="inlineStr">
        <is>
          <t>BODEN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15823-2025</t>
        </is>
      </c>
      <c r="B2325" s="1" t="n">
        <v>45748</v>
      </c>
      <c r="C2325" s="1" t="n">
        <v>45895</v>
      </c>
      <c r="D2325" t="inlineStr">
        <is>
          <t>NORRBOTTENS LÄN</t>
        </is>
      </c>
      <c r="E2325" t="inlineStr">
        <is>
          <t>KALIX</t>
        </is>
      </c>
      <c r="F2325" t="inlineStr">
        <is>
          <t>SCA</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20243-2025</t>
        </is>
      </c>
      <c r="B2326" s="1" t="n">
        <v>45772</v>
      </c>
      <c r="C2326" s="1" t="n">
        <v>45895</v>
      </c>
      <c r="D2326" t="inlineStr">
        <is>
          <t>NORRBOTTENS LÄN</t>
        </is>
      </c>
      <c r="E2326" t="inlineStr">
        <is>
          <t>ÄLVSBYN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20690-2024</t>
        </is>
      </c>
      <c r="B2327" s="1" t="n">
        <v>45436</v>
      </c>
      <c r="C2327" s="1" t="n">
        <v>45895</v>
      </c>
      <c r="D2327" t="inlineStr">
        <is>
          <t>NORRBOTTENS LÄN</t>
        </is>
      </c>
      <c r="E2327" t="inlineStr">
        <is>
          <t>LULEÅ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34609-2024</t>
        </is>
      </c>
      <c r="B2328" s="1" t="n">
        <v>45526</v>
      </c>
      <c r="C2328" s="1" t="n">
        <v>45895</v>
      </c>
      <c r="D2328" t="inlineStr">
        <is>
          <t>NORRBOTTENS LÄN</t>
        </is>
      </c>
      <c r="E2328" t="inlineStr">
        <is>
          <t>JOKKMOKK</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54524-2023</t>
        </is>
      </c>
      <c r="B2329" s="1" t="n">
        <v>45226</v>
      </c>
      <c r="C2329" s="1" t="n">
        <v>45895</v>
      </c>
      <c r="D2329" t="inlineStr">
        <is>
          <t>NORRBOTTENS LÄN</t>
        </is>
      </c>
      <c r="E2329" t="inlineStr">
        <is>
          <t>ARVIDSJAUR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54529-2023</t>
        </is>
      </c>
      <c r="B2330" s="1" t="n">
        <v>45226</v>
      </c>
      <c r="C2330" s="1" t="n">
        <v>45895</v>
      </c>
      <c r="D2330" t="inlineStr">
        <is>
          <t>NORRBOTTENS LÄN</t>
        </is>
      </c>
      <c r="E2330" t="inlineStr">
        <is>
          <t>ARVIDSJAUR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40565-2023</t>
        </is>
      </c>
      <c r="B2331" s="1" t="n">
        <v>45170</v>
      </c>
      <c r="C2331" s="1" t="n">
        <v>45895</v>
      </c>
      <c r="D2331" t="inlineStr">
        <is>
          <t>NORRBOTTENS LÄN</t>
        </is>
      </c>
      <c r="E2331" t="inlineStr">
        <is>
          <t>KALIX</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30752-2023</t>
        </is>
      </c>
      <c r="B2332" s="1" t="n">
        <v>45103</v>
      </c>
      <c r="C2332" s="1" t="n">
        <v>45895</v>
      </c>
      <c r="D2332" t="inlineStr">
        <is>
          <t>NORRBOTTENS LÄN</t>
        </is>
      </c>
      <c r="E2332" t="inlineStr">
        <is>
          <t>ARVIDSJAUR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57138-2024</t>
        </is>
      </c>
      <c r="B2333" s="1" t="n">
        <v>45629</v>
      </c>
      <c r="C2333" s="1" t="n">
        <v>45895</v>
      </c>
      <c r="D2333" t="inlineStr">
        <is>
          <t>NORRBOTTENS LÄN</t>
        </is>
      </c>
      <c r="E2333" t="inlineStr">
        <is>
          <t>ÄLVSBYN</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62165-2023</t>
        </is>
      </c>
      <c r="B2334" s="1" t="n">
        <v>45266</v>
      </c>
      <c r="C2334" s="1" t="n">
        <v>45895</v>
      </c>
      <c r="D2334" t="inlineStr">
        <is>
          <t>NORRBOTTENS LÄN</t>
        </is>
      </c>
      <c r="E2334" t="inlineStr">
        <is>
          <t>KALIX</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62829-2023</t>
        </is>
      </c>
      <c r="B2335" s="1" t="n">
        <v>45271.92707175926</v>
      </c>
      <c r="C2335" s="1" t="n">
        <v>45895</v>
      </c>
      <c r="D2335" t="inlineStr">
        <is>
          <t>NORRBOTTENS LÄN</t>
        </is>
      </c>
      <c r="E2335" t="inlineStr">
        <is>
          <t>PAJALA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56994-2022</t>
        </is>
      </c>
      <c r="B2336" s="1" t="n">
        <v>44894</v>
      </c>
      <c r="C2336" s="1" t="n">
        <v>45895</v>
      </c>
      <c r="D2336" t="inlineStr">
        <is>
          <t>NORRBOTTENS LÄN</t>
        </is>
      </c>
      <c r="E2336" t="inlineStr">
        <is>
          <t>PAJALA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47734-2024</t>
        </is>
      </c>
      <c r="B2337" s="1" t="n">
        <v>45588.51136574074</v>
      </c>
      <c r="C2337" s="1" t="n">
        <v>45895</v>
      </c>
      <c r="D2337" t="inlineStr">
        <is>
          <t>NORRBOTTENS LÄN</t>
        </is>
      </c>
      <c r="E2337" t="inlineStr">
        <is>
          <t>ÖVERKALIX</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9860-2023</t>
        </is>
      </c>
      <c r="B2338" s="1" t="n">
        <v>44984</v>
      </c>
      <c r="C2338" s="1" t="n">
        <v>45895</v>
      </c>
      <c r="D2338" t="inlineStr">
        <is>
          <t>NORRBOTTENS LÄN</t>
        </is>
      </c>
      <c r="E2338" t="inlineStr">
        <is>
          <t>JOKKMOKK</t>
        </is>
      </c>
      <c r="F2338" t="inlineStr">
        <is>
          <t>SCA</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9863-2023</t>
        </is>
      </c>
      <c r="B2339" s="1" t="n">
        <v>44984</v>
      </c>
      <c r="C2339" s="1" t="n">
        <v>45895</v>
      </c>
      <c r="D2339" t="inlineStr">
        <is>
          <t>NORRBOTTENS LÄN</t>
        </is>
      </c>
      <c r="E2339" t="inlineStr">
        <is>
          <t>JOKKMOKK</t>
        </is>
      </c>
      <c r="F2339" t="inlineStr">
        <is>
          <t>SCA</t>
        </is>
      </c>
      <c r="G2339" t="n">
        <v>14.4</v>
      </c>
      <c r="H2339" t="n">
        <v>0</v>
      </c>
      <c r="I2339" t="n">
        <v>0</v>
      </c>
      <c r="J2339" t="n">
        <v>0</v>
      </c>
      <c r="K2339" t="n">
        <v>0</v>
      </c>
      <c r="L2339" t="n">
        <v>0</v>
      </c>
      <c r="M2339" t="n">
        <v>0</v>
      </c>
      <c r="N2339" t="n">
        <v>0</v>
      </c>
      <c r="O2339" t="n">
        <v>0</v>
      </c>
      <c r="P2339" t="n">
        <v>0</v>
      </c>
      <c r="Q2339" t="n">
        <v>0</v>
      </c>
      <c r="R2339" s="2" t="inlineStr"/>
    </row>
    <row r="2340" ht="15" customHeight="1">
      <c r="A2340" t="inlineStr">
        <is>
          <t>A 31729-2023</t>
        </is>
      </c>
      <c r="B2340" s="1" t="n">
        <v>45117.95149305555</v>
      </c>
      <c r="C2340" s="1" t="n">
        <v>45895</v>
      </c>
      <c r="D2340" t="inlineStr">
        <is>
          <t>NORRBOTTENS LÄN</t>
        </is>
      </c>
      <c r="E2340" t="inlineStr">
        <is>
          <t>PITEÅ</t>
        </is>
      </c>
      <c r="F2340" t="inlineStr">
        <is>
          <t>SCA</t>
        </is>
      </c>
      <c r="G2340" t="n">
        <v>33.7</v>
      </c>
      <c r="H2340" t="n">
        <v>0</v>
      </c>
      <c r="I2340" t="n">
        <v>0</v>
      </c>
      <c r="J2340" t="n">
        <v>0</v>
      </c>
      <c r="K2340" t="n">
        <v>0</v>
      </c>
      <c r="L2340" t="n">
        <v>0</v>
      </c>
      <c r="M2340" t="n">
        <v>0</v>
      </c>
      <c r="N2340" t="n">
        <v>0</v>
      </c>
      <c r="O2340" t="n">
        <v>0</v>
      </c>
      <c r="P2340" t="n">
        <v>0</v>
      </c>
      <c r="Q2340" t="n">
        <v>0</v>
      </c>
      <c r="R2340" s="2" t="inlineStr"/>
    </row>
    <row r="2341" ht="15" customHeight="1">
      <c r="A2341" t="inlineStr">
        <is>
          <t>A 9872-2023</t>
        </is>
      </c>
      <c r="B2341" s="1" t="n">
        <v>44984</v>
      </c>
      <c r="C2341" s="1" t="n">
        <v>45895</v>
      </c>
      <c r="D2341" t="inlineStr">
        <is>
          <t>NORRBOTTENS LÄN</t>
        </is>
      </c>
      <c r="E2341" t="inlineStr">
        <is>
          <t>JOKKMOKK</t>
        </is>
      </c>
      <c r="F2341" t="inlineStr">
        <is>
          <t>SCA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25488-2024</t>
        </is>
      </c>
      <c r="B2342" s="1" t="n">
        <v>45463</v>
      </c>
      <c r="C2342" s="1" t="n">
        <v>45895</v>
      </c>
      <c r="D2342" t="inlineStr">
        <is>
          <t>NORRBOTTENS LÄN</t>
        </is>
      </c>
      <c r="E2342" t="inlineStr">
        <is>
          <t>GÄLLIVARE</t>
        </is>
      </c>
      <c r="G2342" t="n">
        <v>13.6</v>
      </c>
      <c r="H2342" t="n">
        <v>0</v>
      </c>
      <c r="I2342" t="n">
        <v>0</v>
      </c>
      <c r="J2342" t="n">
        <v>0</v>
      </c>
      <c r="K2342" t="n">
        <v>0</v>
      </c>
      <c r="L2342" t="n">
        <v>0</v>
      </c>
      <c r="M2342" t="n">
        <v>0</v>
      </c>
      <c r="N2342" t="n">
        <v>0</v>
      </c>
      <c r="O2342" t="n">
        <v>0</v>
      </c>
      <c r="P2342" t="n">
        <v>0</v>
      </c>
      <c r="Q2342" t="n">
        <v>0</v>
      </c>
      <c r="R2342" s="2" t="inlineStr"/>
    </row>
    <row r="2343" ht="15" customHeight="1">
      <c r="A2343" t="inlineStr">
        <is>
          <t>A 9873-2023</t>
        </is>
      </c>
      <c r="B2343" s="1" t="n">
        <v>44984</v>
      </c>
      <c r="C2343" s="1" t="n">
        <v>45895</v>
      </c>
      <c r="D2343" t="inlineStr">
        <is>
          <t>NORRBOTTENS LÄN</t>
        </is>
      </c>
      <c r="E2343" t="inlineStr">
        <is>
          <t>JOKKMOKK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9877-2023</t>
        </is>
      </c>
      <c r="B2344" s="1" t="n">
        <v>44984.94033564815</v>
      </c>
      <c r="C2344" s="1" t="n">
        <v>45895</v>
      </c>
      <c r="D2344" t="inlineStr">
        <is>
          <t>NORRBOTTENS LÄN</t>
        </is>
      </c>
      <c r="E2344" t="inlineStr">
        <is>
          <t>JOKKMOKK</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5157-2023</t>
        </is>
      </c>
      <c r="B2345" s="1" t="n">
        <v>44958.94056712963</v>
      </c>
      <c r="C2345" s="1" t="n">
        <v>45895</v>
      </c>
      <c r="D2345" t="inlineStr">
        <is>
          <t>NORRBOTTENS LÄN</t>
        </is>
      </c>
      <c r="E2345" t="inlineStr">
        <is>
          <t>ÖVERKALIX</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17962-2024</t>
        </is>
      </c>
      <c r="B2346" s="1" t="n">
        <v>45419</v>
      </c>
      <c r="C2346" s="1" t="n">
        <v>45895</v>
      </c>
      <c r="D2346" t="inlineStr">
        <is>
          <t>NORRBOTTENS LÄN</t>
        </is>
      </c>
      <c r="E2346" t="inlineStr">
        <is>
          <t>BODEN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18008-2024</t>
        </is>
      </c>
      <c r="B2347" s="1" t="n">
        <v>45419.94920138889</v>
      </c>
      <c r="C2347" s="1" t="n">
        <v>45895</v>
      </c>
      <c r="D2347" t="inlineStr">
        <is>
          <t>NORRBOTTENS LÄN</t>
        </is>
      </c>
      <c r="E2347" t="inlineStr">
        <is>
          <t>KALIX</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62696-2023</t>
        </is>
      </c>
      <c r="B2348" s="1" t="n">
        <v>45271</v>
      </c>
      <c r="C2348" s="1" t="n">
        <v>45895</v>
      </c>
      <c r="D2348" t="inlineStr">
        <is>
          <t>NORRBOTTENS LÄN</t>
        </is>
      </c>
      <c r="E2348" t="inlineStr">
        <is>
          <t>ÄLVSBYN</t>
        </is>
      </c>
      <c r="F2348" t="inlineStr">
        <is>
          <t>Övriga Aktiebolag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18012-2024</t>
        </is>
      </c>
      <c r="B2349" s="1" t="n">
        <v>45419</v>
      </c>
      <c r="C2349" s="1" t="n">
        <v>45895</v>
      </c>
      <c r="D2349" t="inlineStr">
        <is>
          <t>NORRBOTTENS LÄN</t>
        </is>
      </c>
      <c r="E2349" t="inlineStr">
        <is>
          <t>KALIX</t>
        </is>
      </c>
      <c r="F2349" t="inlineStr">
        <is>
          <t>SCA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44151-2024</t>
        </is>
      </c>
      <c r="B2350" s="1" t="n">
        <v>45572.67773148148</v>
      </c>
      <c r="C2350" s="1" t="n">
        <v>45895</v>
      </c>
      <c r="D2350" t="inlineStr">
        <is>
          <t>NORRBOTTENS LÄN</t>
        </is>
      </c>
      <c r="E2350" t="inlineStr">
        <is>
          <t>JOKKMOKK</t>
        </is>
      </c>
      <c r="F2350" t="inlineStr">
        <is>
          <t>Sveaskog</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34992-2024</t>
        </is>
      </c>
      <c r="B2351" s="1" t="n">
        <v>45527</v>
      </c>
      <c r="C2351" s="1" t="n">
        <v>45895</v>
      </c>
      <c r="D2351" t="inlineStr">
        <is>
          <t>NORRBOTTENS LÄN</t>
        </is>
      </c>
      <c r="E2351" t="inlineStr">
        <is>
          <t>LULEÅ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15607-2024</t>
        </is>
      </c>
      <c r="B2352" s="1" t="n">
        <v>45401.92539351852</v>
      </c>
      <c r="C2352" s="1" t="n">
        <v>45895</v>
      </c>
      <c r="D2352" t="inlineStr">
        <is>
          <t>NORRBOTTENS LÄN</t>
        </is>
      </c>
      <c r="E2352" t="inlineStr">
        <is>
          <t>PITEÅ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44238-2024</t>
        </is>
      </c>
      <c r="B2353" s="1" t="n">
        <v>45573.41719907407</v>
      </c>
      <c r="C2353" s="1" t="n">
        <v>45895</v>
      </c>
      <c r="D2353" t="inlineStr">
        <is>
          <t>NORRBOTTENS LÄN</t>
        </is>
      </c>
      <c r="E2353" t="inlineStr">
        <is>
          <t>ÖVERTORNEÅ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39668-2024</t>
        </is>
      </c>
      <c r="B2354" s="1" t="n">
        <v>45552</v>
      </c>
      <c r="C2354" s="1" t="n">
        <v>45895</v>
      </c>
      <c r="D2354" t="inlineStr">
        <is>
          <t>NORRBOTTENS LÄN</t>
        </is>
      </c>
      <c r="E2354" t="inlineStr">
        <is>
          <t>ÄLVSBYN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36251-2023</t>
        </is>
      </c>
      <c r="B2355" s="1" t="n">
        <v>45150.94185185185</v>
      </c>
      <c r="C2355" s="1" t="n">
        <v>45895</v>
      </c>
      <c r="D2355" t="inlineStr">
        <is>
          <t>NORRBOTTENS LÄN</t>
        </is>
      </c>
      <c r="E2355" t="inlineStr">
        <is>
          <t>GÄLLIVARE</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30453-2024</t>
        </is>
      </c>
      <c r="B2356" s="1" t="n">
        <v>45491.92774305555</v>
      </c>
      <c r="C2356" s="1" t="n">
        <v>45895</v>
      </c>
      <c r="D2356" t="inlineStr">
        <is>
          <t>NORRBOTTENS LÄN</t>
        </is>
      </c>
      <c r="E2356" t="inlineStr">
        <is>
          <t>PITEÅ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36969-2023</t>
        </is>
      </c>
      <c r="B2357" s="1" t="n">
        <v>45154.95400462963</v>
      </c>
      <c r="C2357" s="1" t="n">
        <v>45895</v>
      </c>
      <c r="D2357" t="inlineStr">
        <is>
          <t>NORRBOTTENS LÄN</t>
        </is>
      </c>
      <c r="E2357" t="inlineStr">
        <is>
          <t>GÄLLIVARE</t>
        </is>
      </c>
      <c r="F2357" t="inlineStr">
        <is>
          <t>SCA</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49923-2024</t>
        </is>
      </c>
      <c r="B2358" s="1" t="n">
        <v>45597</v>
      </c>
      <c r="C2358" s="1" t="n">
        <v>45895</v>
      </c>
      <c r="D2358" t="inlineStr">
        <is>
          <t>NORRBOTTENS LÄN</t>
        </is>
      </c>
      <c r="E2358" t="inlineStr">
        <is>
          <t>ÖVERKALIX</t>
        </is>
      </c>
      <c r="F2358" t="inlineStr">
        <is>
          <t>Sveaskog</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37429-2024</t>
        </is>
      </c>
      <c r="B2359" s="1" t="n">
        <v>45540</v>
      </c>
      <c r="C2359" s="1" t="n">
        <v>45895</v>
      </c>
      <c r="D2359" t="inlineStr">
        <is>
          <t>NORRBOTTENS LÄN</t>
        </is>
      </c>
      <c r="E2359" t="inlineStr">
        <is>
          <t>ÖVERKALIX</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33439-2023</t>
        </is>
      </c>
      <c r="B2360" s="1" t="n">
        <v>45129</v>
      </c>
      <c r="C2360" s="1" t="n">
        <v>45895</v>
      </c>
      <c r="D2360" t="inlineStr">
        <is>
          <t>NORRBOTTENS LÄN</t>
        </is>
      </c>
      <c r="E2360" t="inlineStr">
        <is>
          <t>HAPARANDA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21246-2025</t>
        </is>
      </c>
      <c r="B2361" s="1" t="n">
        <v>45779</v>
      </c>
      <c r="C2361" s="1" t="n">
        <v>45895</v>
      </c>
      <c r="D2361" t="inlineStr">
        <is>
          <t>NORRBOTTENS LÄN</t>
        </is>
      </c>
      <c r="E2361" t="inlineStr">
        <is>
          <t>GÄLLIVARE</t>
        </is>
      </c>
      <c r="F2361" t="inlineStr">
        <is>
          <t>SCA</t>
        </is>
      </c>
      <c r="G2361" t="n">
        <v>16.6</v>
      </c>
      <c r="H2361" t="n">
        <v>0</v>
      </c>
      <c r="I2361" t="n">
        <v>0</v>
      </c>
      <c r="J2361" t="n">
        <v>0</v>
      </c>
      <c r="K2361" t="n">
        <v>0</v>
      </c>
      <c r="L2361" t="n">
        <v>0</v>
      </c>
      <c r="M2361" t="n">
        <v>0</v>
      </c>
      <c r="N2361" t="n">
        <v>0</v>
      </c>
      <c r="O2361" t="n">
        <v>0</v>
      </c>
      <c r="P2361" t="n">
        <v>0</v>
      </c>
      <c r="Q2361" t="n">
        <v>0</v>
      </c>
      <c r="R2361" s="2" t="inlineStr"/>
    </row>
    <row r="2362" ht="15" customHeight="1">
      <c r="A2362" t="inlineStr">
        <is>
          <t>A 34862-2024</t>
        </is>
      </c>
      <c r="B2362" s="1" t="n">
        <v>45527.33951388889</v>
      </c>
      <c r="C2362" s="1" t="n">
        <v>45895</v>
      </c>
      <c r="D2362" t="inlineStr">
        <is>
          <t>NORRBOTTENS LÄN</t>
        </is>
      </c>
      <c r="E2362" t="inlineStr">
        <is>
          <t>PITEÅ</t>
        </is>
      </c>
      <c r="F2362" t="inlineStr">
        <is>
          <t>SCA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22703-2025</t>
        </is>
      </c>
      <c r="B2363" s="1" t="n">
        <v>45789.55039351852</v>
      </c>
      <c r="C2363" s="1" t="n">
        <v>45895</v>
      </c>
      <c r="D2363" t="inlineStr">
        <is>
          <t>NORRBOTTENS LÄN</t>
        </is>
      </c>
      <c r="E2363" t="inlineStr">
        <is>
          <t>HAPARANDA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23692-2025</t>
        </is>
      </c>
      <c r="B2364" s="1" t="n">
        <v>45793.34496527778</v>
      </c>
      <c r="C2364" s="1" t="n">
        <v>45895</v>
      </c>
      <c r="D2364" t="inlineStr">
        <is>
          <t>NORRBOTTENS LÄN</t>
        </is>
      </c>
      <c r="E2364" t="inlineStr">
        <is>
          <t>PITEÅ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28927-2024</t>
        </is>
      </c>
      <c r="B2365" s="1" t="n">
        <v>45481.31606481481</v>
      </c>
      <c r="C2365" s="1" t="n">
        <v>45895</v>
      </c>
      <c r="D2365" t="inlineStr">
        <is>
          <t>NORRBOTTENS LÄN</t>
        </is>
      </c>
      <c r="E2365" t="inlineStr">
        <is>
          <t>ÖVERTORNEÅ</t>
        </is>
      </c>
      <c r="F2365" t="inlineStr">
        <is>
          <t>Sveaskog</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23027-2025</t>
        </is>
      </c>
      <c r="B2366" s="1" t="n">
        <v>45790.65712962963</v>
      </c>
      <c r="C2366" s="1" t="n">
        <v>45895</v>
      </c>
      <c r="D2366" t="inlineStr">
        <is>
          <t>NORRBOTTENS LÄN</t>
        </is>
      </c>
      <c r="E2366" t="inlineStr">
        <is>
          <t>KALIX</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23032-2025</t>
        </is>
      </c>
      <c r="B2367" s="1" t="n">
        <v>45790.65756944445</v>
      </c>
      <c r="C2367" s="1" t="n">
        <v>45895</v>
      </c>
      <c r="D2367" t="inlineStr">
        <is>
          <t>NORRBOTTENS LÄN</t>
        </is>
      </c>
      <c r="E2367" t="inlineStr">
        <is>
          <t>PITEÅ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10753-2024</t>
        </is>
      </c>
      <c r="B2368" s="1" t="n">
        <v>45369</v>
      </c>
      <c r="C2368" s="1" t="n">
        <v>45895</v>
      </c>
      <c r="D2368" t="inlineStr">
        <is>
          <t>NORRBOTTENS LÄN</t>
        </is>
      </c>
      <c r="E2368" t="inlineStr">
        <is>
          <t>ÖVERTORNEÅ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38371-2023</t>
        </is>
      </c>
      <c r="B2369" s="1" t="n">
        <v>45161</v>
      </c>
      <c r="C2369" s="1" t="n">
        <v>45895</v>
      </c>
      <c r="D2369" t="inlineStr">
        <is>
          <t>NORRBOTTENS LÄN</t>
        </is>
      </c>
      <c r="E2369" t="inlineStr">
        <is>
          <t>BODEN</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38372-2023</t>
        </is>
      </c>
      <c r="B2370" s="1" t="n">
        <v>45161</v>
      </c>
      <c r="C2370" s="1" t="n">
        <v>45895</v>
      </c>
      <c r="D2370" t="inlineStr">
        <is>
          <t>NORRBOTTENS LÄN</t>
        </is>
      </c>
      <c r="E2370" t="inlineStr">
        <is>
          <t>BODEN</t>
        </is>
      </c>
      <c r="F2370" t="inlineStr">
        <is>
          <t>SCA</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22470-2023</t>
        </is>
      </c>
      <c r="B2371" s="1" t="n">
        <v>45070</v>
      </c>
      <c r="C2371" s="1" t="n">
        <v>45895</v>
      </c>
      <c r="D2371" t="inlineStr">
        <is>
          <t>NORRBOTTENS LÄN</t>
        </is>
      </c>
      <c r="E2371" t="inlineStr">
        <is>
          <t>ÖVERKALIX</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34911-2023</t>
        </is>
      </c>
      <c r="B2372" s="1" t="n">
        <v>45141</v>
      </c>
      <c r="C2372" s="1" t="n">
        <v>45895</v>
      </c>
      <c r="D2372" t="inlineStr">
        <is>
          <t>NORRBOTTENS LÄN</t>
        </is>
      </c>
      <c r="E2372" t="inlineStr">
        <is>
          <t>ÖVERKALIX</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41224-2024</t>
        </is>
      </c>
      <c r="B2373" s="1" t="n">
        <v>45559</v>
      </c>
      <c r="C2373" s="1" t="n">
        <v>45895</v>
      </c>
      <c r="D2373" t="inlineStr">
        <is>
          <t>NORRBOTTENS LÄN</t>
        </is>
      </c>
      <c r="E2373" t="inlineStr">
        <is>
          <t>GÄLLIVARE</t>
        </is>
      </c>
      <c r="F2373" t="inlineStr">
        <is>
          <t>Allmännings- och besparingsskogar</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29878-2024</t>
        </is>
      </c>
      <c r="B2374" s="1" t="n">
        <v>45486.55885416667</v>
      </c>
      <c r="C2374" s="1" t="n">
        <v>45895</v>
      </c>
      <c r="D2374" t="inlineStr">
        <is>
          <t>NORRBOTTENS LÄN</t>
        </is>
      </c>
      <c r="E2374" t="inlineStr">
        <is>
          <t>PAJALA</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36124-2024</t>
        </is>
      </c>
      <c r="B2375" s="1" t="n">
        <v>45534</v>
      </c>
      <c r="C2375" s="1" t="n">
        <v>45895</v>
      </c>
      <c r="D2375" t="inlineStr">
        <is>
          <t>NORRBOTTENS LÄN</t>
        </is>
      </c>
      <c r="E2375" t="inlineStr">
        <is>
          <t>HAPARANDA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17784-2025</t>
        </is>
      </c>
      <c r="B2376" s="1" t="n">
        <v>45758</v>
      </c>
      <c r="C2376" s="1" t="n">
        <v>45895</v>
      </c>
      <c r="D2376" t="inlineStr">
        <is>
          <t>NORRBOTTENS LÄN</t>
        </is>
      </c>
      <c r="E2376" t="inlineStr">
        <is>
          <t>JOKKMOKK</t>
        </is>
      </c>
      <c r="F2376" t="inlineStr">
        <is>
          <t>SCA</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22697-2025</t>
        </is>
      </c>
      <c r="B2377" s="1" t="n">
        <v>45789</v>
      </c>
      <c r="C2377" s="1" t="n">
        <v>45895</v>
      </c>
      <c r="D2377" t="inlineStr">
        <is>
          <t>NORRBOTTENS LÄN</t>
        </is>
      </c>
      <c r="E2377" t="inlineStr">
        <is>
          <t>HAPARANDA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17839-2025</t>
        </is>
      </c>
      <c r="B2378" s="1" t="n">
        <v>45758</v>
      </c>
      <c r="C2378" s="1" t="n">
        <v>45895</v>
      </c>
      <c r="D2378" t="inlineStr">
        <is>
          <t>NORRBOTTENS LÄN</t>
        </is>
      </c>
      <c r="E2378" t="inlineStr">
        <is>
          <t>BODEN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39845-2023</t>
        </is>
      </c>
      <c r="B2379" s="1" t="n">
        <v>45166</v>
      </c>
      <c r="C2379" s="1" t="n">
        <v>45895</v>
      </c>
      <c r="D2379" t="inlineStr">
        <is>
          <t>NORRBOTTENS LÄN</t>
        </is>
      </c>
      <c r="E2379" t="inlineStr">
        <is>
          <t>ARVIDSJAUR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13652-2023</t>
        </is>
      </c>
      <c r="B2380" s="1" t="n">
        <v>45006</v>
      </c>
      <c r="C2380" s="1" t="n">
        <v>45895</v>
      </c>
      <c r="D2380" t="inlineStr">
        <is>
          <t>NORRBOTTENS LÄN</t>
        </is>
      </c>
      <c r="E2380" t="inlineStr">
        <is>
          <t>PAJALA</t>
        </is>
      </c>
      <c r="F2380" t="inlineStr">
        <is>
          <t>Allmännings- och besparingsskogar</t>
        </is>
      </c>
      <c r="G2380" t="n">
        <v>31.1</v>
      </c>
      <c r="H2380" t="n">
        <v>0</v>
      </c>
      <c r="I2380" t="n">
        <v>0</v>
      </c>
      <c r="J2380" t="n">
        <v>0</v>
      </c>
      <c r="K2380" t="n">
        <v>0</v>
      </c>
      <c r="L2380" t="n">
        <v>0</v>
      </c>
      <c r="M2380" t="n">
        <v>0</v>
      </c>
      <c r="N2380" t="n">
        <v>0</v>
      </c>
      <c r="O2380" t="n">
        <v>0</v>
      </c>
      <c r="P2380" t="n">
        <v>0</v>
      </c>
      <c r="Q2380" t="n">
        <v>0</v>
      </c>
      <c r="R2380" s="2" t="inlineStr"/>
    </row>
    <row r="2381" ht="15" customHeight="1">
      <c r="A2381" t="inlineStr">
        <is>
          <t>A 19986-2025</t>
        </is>
      </c>
      <c r="B2381" s="1" t="n">
        <v>45771.71979166667</v>
      </c>
      <c r="C2381" s="1" t="n">
        <v>45895</v>
      </c>
      <c r="D2381" t="inlineStr">
        <is>
          <t>NORRBOTTENS LÄN</t>
        </is>
      </c>
      <c r="E2381" t="inlineStr">
        <is>
          <t>LULEÅ</t>
        </is>
      </c>
      <c r="F2381" t="inlineStr">
        <is>
          <t>Naturvårdsverket</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16732-2025</t>
        </is>
      </c>
      <c r="B2382" s="1" t="n">
        <v>45754.53125</v>
      </c>
      <c r="C2382" s="1" t="n">
        <v>45895</v>
      </c>
      <c r="D2382" t="inlineStr">
        <is>
          <t>NORRBOTTENS LÄN</t>
        </is>
      </c>
      <c r="E2382" t="inlineStr">
        <is>
          <t>KALIX</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8836-2024</t>
        </is>
      </c>
      <c r="B2383" s="1" t="n">
        <v>45355</v>
      </c>
      <c r="C2383" s="1" t="n">
        <v>45895</v>
      </c>
      <c r="D2383" t="inlineStr">
        <is>
          <t>NORRBOTTENS LÄN</t>
        </is>
      </c>
      <c r="E2383" t="inlineStr">
        <is>
          <t>HAPARANDA</t>
        </is>
      </c>
      <c r="G2383" t="n">
        <v>27.1</v>
      </c>
      <c r="H2383" t="n">
        <v>0</v>
      </c>
      <c r="I2383" t="n">
        <v>0</v>
      </c>
      <c r="J2383" t="n">
        <v>0</v>
      </c>
      <c r="K2383" t="n">
        <v>0</v>
      </c>
      <c r="L2383" t="n">
        <v>0</v>
      </c>
      <c r="M2383" t="n">
        <v>0</v>
      </c>
      <c r="N2383" t="n">
        <v>0</v>
      </c>
      <c r="O2383" t="n">
        <v>0</v>
      </c>
      <c r="P2383" t="n">
        <v>0</v>
      </c>
      <c r="Q2383" t="n">
        <v>0</v>
      </c>
      <c r="R2383" s="2" t="inlineStr"/>
    </row>
    <row r="2384" ht="15" customHeight="1">
      <c r="A2384" t="inlineStr">
        <is>
          <t>A 16018-2024</t>
        </is>
      </c>
      <c r="B2384" s="1" t="n">
        <v>45405.67028935185</v>
      </c>
      <c r="C2384" s="1" t="n">
        <v>45895</v>
      </c>
      <c r="D2384" t="inlineStr">
        <is>
          <t>NORRBOTTENS LÄN</t>
        </is>
      </c>
      <c r="E2384" t="inlineStr">
        <is>
          <t>JOKKMOKK</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16024-2024</t>
        </is>
      </c>
      <c r="B2385" s="1" t="n">
        <v>45405</v>
      </c>
      <c r="C2385" s="1" t="n">
        <v>45895</v>
      </c>
      <c r="D2385" t="inlineStr">
        <is>
          <t>NORRBOTTENS LÄN</t>
        </is>
      </c>
      <c r="E2385" t="inlineStr">
        <is>
          <t>KIRUNA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34922-2024</t>
        </is>
      </c>
      <c r="B2386" s="1" t="n">
        <v>45527</v>
      </c>
      <c r="C2386" s="1" t="n">
        <v>45895</v>
      </c>
      <c r="D2386" t="inlineStr">
        <is>
          <t>NORRBOTTENS LÄN</t>
        </is>
      </c>
      <c r="E2386" t="inlineStr">
        <is>
          <t>PITEÅ</t>
        </is>
      </c>
      <c r="F2386" t="inlineStr">
        <is>
          <t>Sveaskog</t>
        </is>
      </c>
      <c r="G2386" t="n">
        <v>18.1</v>
      </c>
      <c r="H2386" t="n">
        <v>0</v>
      </c>
      <c r="I2386" t="n">
        <v>0</v>
      </c>
      <c r="J2386" t="n">
        <v>0</v>
      </c>
      <c r="K2386" t="n">
        <v>0</v>
      </c>
      <c r="L2386" t="n">
        <v>0</v>
      </c>
      <c r="M2386" t="n">
        <v>0</v>
      </c>
      <c r="N2386" t="n">
        <v>0</v>
      </c>
      <c r="O2386" t="n">
        <v>0</v>
      </c>
      <c r="P2386" t="n">
        <v>0</v>
      </c>
      <c r="Q2386" t="n">
        <v>0</v>
      </c>
      <c r="R2386" s="2" t="inlineStr"/>
    </row>
    <row r="2387" ht="15" customHeight="1">
      <c r="A2387" t="inlineStr">
        <is>
          <t>A 37789-2024</t>
        </is>
      </c>
      <c r="B2387" s="1" t="n">
        <v>45543.29166666666</v>
      </c>
      <c r="C2387" s="1" t="n">
        <v>45895</v>
      </c>
      <c r="D2387" t="inlineStr">
        <is>
          <t>NORRBOTTENS LÄN</t>
        </is>
      </c>
      <c r="E2387" t="inlineStr">
        <is>
          <t>ÖVERTORNEÅ</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50111-2024</t>
        </is>
      </c>
      <c r="B2388" s="1" t="n">
        <v>45600</v>
      </c>
      <c r="C2388" s="1" t="n">
        <v>45895</v>
      </c>
      <c r="D2388" t="inlineStr">
        <is>
          <t>NORRBOTTENS LÄN</t>
        </is>
      </c>
      <c r="E2388" t="inlineStr">
        <is>
          <t>ARVIDSJAUR</t>
        </is>
      </c>
      <c r="F2388" t="inlineStr">
        <is>
          <t>Sveaskog</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15127-2023</t>
        </is>
      </c>
      <c r="B2389" s="1" t="n">
        <v>45016</v>
      </c>
      <c r="C2389" s="1" t="n">
        <v>45895</v>
      </c>
      <c r="D2389" t="inlineStr">
        <is>
          <t>NORRBOTTENS LÄN</t>
        </is>
      </c>
      <c r="E2389" t="inlineStr">
        <is>
          <t>LULEÅ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15491-2025</t>
        </is>
      </c>
      <c r="B2390" s="1" t="n">
        <v>45747</v>
      </c>
      <c r="C2390" s="1" t="n">
        <v>45895</v>
      </c>
      <c r="D2390" t="inlineStr">
        <is>
          <t>NORRBOTTENS LÄN</t>
        </is>
      </c>
      <c r="E2390" t="inlineStr">
        <is>
          <t>ÖVERKALIX</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53227-2024</t>
        </is>
      </c>
      <c r="B2391" s="1" t="n">
        <v>45613</v>
      </c>
      <c r="C2391" s="1" t="n">
        <v>45895</v>
      </c>
      <c r="D2391" t="inlineStr">
        <is>
          <t>NORRBOTTENS LÄN</t>
        </is>
      </c>
      <c r="E2391" t="inlineStr">
        <is>
          <t>PAJALA</t>
        </is>
      </c>
      <c r="G2391" t="n">
        <v>44.3</v>
      </c>
      <c r="H2391" t="n">
        <v>0</v>
      </c>
      <c r="I2391" t="n">
        <v>0</v>
      </c>
      <c r="J2391" t="n">
        <v>0</v>
      </c>
      <c r="K2391" t="n">
        <v>0</v>
      </c>
      <c r="L2391" t="n">
        <v>0</v>
      </c>
      <c r="M2391" t="n">
        <v>0</v>
      </c>
      <c r="N2391" t="n">
        <v>0</v>
      </c>
      <c r="O2391" t="n">
        <v>0</v>
      </c>
      <c r="P2391" t="n">
        <v>0</v>
      </c>
      <c r="Q2391" t="n">
        <v>0</v>
      </c>
      <c r="R2391" s="2" t="inlineStr"/>
    </row>
    <row r="2392" ht="15" customHeight="1">
      <c r="A2392" t="inlineStr">
        <is>
          <t>A 4731-2024</t>
        </is>
      </c>
      <c r="B2392" s="1" t="n">
        <v>45328</v>
      </c>
      <c r="C2392" s="1" t="n">
        <v>45895</v>
      </c>
      <c r="D2392" t="inlineStr">
        <is>
          <t>NORRBOTTENS LÄN</t>
        </is>
      </c>
      <c r="E2392" t="inlineStr">
        <is>
          <t>PAJALA</t>
        </is>
      </c>
      <c r="F2392" t="inlineStr">
        <is>
          <t>Sveaskog</t>
        </is>
      </c>
      <c r="G2392" t="n">
        <v>15.6</v>
      </c>
      <c r="H2392" t="n">
        <v>0</v>
      </c>
      <c r="I2392" t="n">
        <v>0</v>
      </c>
      <c r="J2392" t="n">
        <v>0</v>
      </c>
      <c r="K2392" t="n">
        <v>0</v>
      </c>
      <c r="L2392" t="n">
        <v>0</v>
      </c>
      <c r="M2392" t="n">
        <v>0</v>
      </c>
      <c r="N2392" t="n">
        <v>0</v>
      </c>
      <c r="O2392" t="n">
        <v>0</v>
      </c>
      <c r="P2392" t="n">
        <v>0</v>
      </c>
      <c r="Q2392" t="n">
        <v>0</v>
      </c>
      <c r="R2392" s="2" t="inlineStr"/>
    </row>
    <row r="2393" ht="15" customHeight="1">
      <c r="A2393" t="inlineStr">
        <is>
          <t>A 32899-2023</t>
        </is>
      </c>
      <c r="B2393" s="1" t="n">
        <v>45124</v>
      </c>
      <c r="C2393" s="1" t="n">
        <v>45895</v>
      </c>
      <c r="D2393" t="inlineStr">
        <is>
          <t>NORRBOTTENS LÄN</t>
        </is>
      </c>
      <c r="E2393" t="inlineStr">
        <is>
          <t>JOKKMOKK</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28007-2024</t>
        </is>
      </c>
      <c r="B2394" s="1" t="n">
        <v>45476.45337962963</v>
      </c>
      <c r="C2394" s="1" t="n">
        <v>45895</v>
      </c>
      <c r="D2394" t="inlineStr">
        <is>
          <t>NORRBOTTENS LÄN</t>
        </is>
      </c>
      <c r="E2394" t="inlineStr">
        <is>
          <t>PAJALA</t>
        </is>
      </c>
      <c r="G2394" t="n">
        <v>16.5</v>
      </c>
      <c r="H2394" t="n">
        <v>0</v>
      </c>
      <c r="I2394" t="n">
        <v>0</v>
      </c>
      <c r="J2394" t="n">
        <v>0</v>
      </c>
      <c r="K2394" t="n">
        <v>0</v>
      </c>
      <c r="L2394" t="n">
        <v>0</v>
      </c>
      <c r="M2394" t="n">
        <v>0</v>
      </c>
      <c r="N2394" t="n">
        <v>0</v>
      </c>
      <c r="O2394" t="n">
        <v>0</v>
      </c>
      <c r="P2394" t="n">
        <v>0</v>
      </c>
      <c r="Q2394" t="n">
        <v>0</v>
      </c>
      <c r="R2394" s="2" t="inlineStr"/>
    </row>
    <row r="2395" ht="15" customHeight="1">
      <c r="A2395" t="inlineStr">
        <is>
          <t>A 6963-2025</t>
        </is>
      </c>
      <c r="B2395" s="1" t="n">
        <v>45701.4969212963</v>
      </c>
      <c r="C2395" s="1" t="n">
        <v>45895</v>
      </c>
      <c r="D2395" t="inlineStr">
        <is>
          <t>NORRBOTTENS LÄN</t>
        </is>
      </c>
      <c r="E2395" t="inlineStr">
        <is>
          <t>PITEÅ</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22372-2025</t>
        </is>
      </c>
      <c r="B2396" s="1" t="n">
        <v>45786</v>
      </c>
      <c r="C2396" s="1" t="n">
        <v>45895</v>
      </c>
      <c r="D2396" t="inlineStr">
        <is>
          <t>NORRBOTTENS LÄN</t>
        </is>
      </c>
      <c r="E2396" t="inlineStr">
        <is>
          <t>BODEN</t>
        </is>
      </c>
      <c r="F2396" t="inlineStr">
        <is>
          <t>Kommuner</t>
        </is>
      </c>
      <c r="G2396" t="n">
        <v>16.3</v>
      </c>
      <c r="H2396" t="n">
        <v>0</v>
      </c>
      <c r="I2396" t="n">
        <v>0</v>
      </c>
      <c r="J2396" t="n">
        <v>0</v>
      </c>
      <c r="K2396" t="n">
        <v>0</v>
      </c>
      <c r="L2396" t="n">
        <v>0</v>
      </c>
      <c r="M2396" t="n">
        <v>0</v>
      </c>
      <c r="N2396" t="n">
        <v>0</v>
      </c>
      <c r="O2396" t="n">
        <v>0</v>
      </c>
      <c r="P2396" t="n">
        <v>0</v>
      </c>
      <c r="Q2396" t="n">
        <v>0</v>
      </c>
      <c r="R2396" s="2" t="inlineStr"/>
    </row>
    <row r="2397" ht="15" customHeight="1">
      <c r="A2397" t="inlineStr">
        <is>
          <t>A 44520-2024</t>
        </is>
      </c>
      <c r="B2397" s="1" t="n">
        <v>45574.43402777778</v>
      </c>
      <c r="C2397" s="1" t="n">
        <v>45895</v>
      </c>
      <c r="D2397" t="inlineStr">
        <is>
          <t>NORRBOTTENS LÄN</t>
        </is>
      </c>
      <c r="E2397" t="inlineStr">
        <is>
          <t>PITEÅ</t>
        </is>
      </c>
      <c r="F2397" t="inlineStr">
        <is>
          <t>Sveaskog</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49586-2020</t>
        </is>
      </c>
      <c r="B2398" s="1" t="n">
        <v>44099</v>
      </c>
      <c r="C2398" s="1" t="n">
        <v>45895</v>
      </c>
      <c r="D2398" t="inlineStr">
        <is>
          <t>NORRBOTTENS LÄN</t>
        </is>
      </c>
      <c r="E2398" t="inlineStr">
        <is>
          <t>HAPARANDA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45329-2024</t>
        </is>
      </c>
      <c r="B2399" s="1" t="n">
        <v>45576.45633101852</v>
      </c>
      <c r="C2399" s="1" t="n">
        <v>45895</v>
      </c>
      <c r="D2399" t="inlineStr">
        <is>
          <t>NORRBOTTENS LÄN</t>
        </is>
      </c>
      <c r="E2399" t="inlineStr">
        <is>
          <t>PITEÅ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37030-2022</t>
        </is>
      </c>
      <c r="B2400" s="1" t="n">
        <v>44806.43287037037</v>
      </c>
      <c r="C2400" s="1" t="n">
        <v>45895</v>
      </c>
      <c r="D2400" t="inlineStr">
        <is>
          <t>NORRBOTTENS LÄN</t>
        </is>
      </c>
      <c r="E2400" t="inlineStr">
        <is>
          <t>PITEÅ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46955-2024</t>
        </is>
      </c>
      <c r="B2401" s="1" t="n">
        <v>45585.88642361111</v>
      </c>
      <c r="C2401" s="1" t="n">
        <v>45895</v>
      </c>
      <c r="D2401" t="inlineStr">
        <is>
          <t>NORRBOTTENS LÄN</t>
        </is>
      </c>
      <c r="E2401" t="inlineStr">
        <is>
          <t>KALIX</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12653-2025</t>
        </is>
      </c>
      <c r="B2402" s="1" t="n">
        <v>45733.41571759259</v>
      </c>
      <c r="C2402" s="1" t="n">
        <v>45895</v>
      </c>
      <c r="D2402" t="inlineStr">
        <is>
          <t>NORRBOTTENS LÄN</t>
        </is>
      </c>
      <c r="E2402" t="inlineStr">
        <is>
          <t>ÖVERTORNEÅ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33518-2023</t>
        </is>
      </c>
      <c r="B2403" s="1" t="n">
        <v>45118</v>
      </c>
      <c r="C2403" s="1" t="n">
        <v>45895</v>
      </c>
      <c r="D2403" t="inlineStr">
        <is>
          <t>NORRBOTTENS LÄN</t>
        </is>
      </c>
      <c r="E2403" t="inlineStr">
        <is>
          <t>ÖVERTORNEÅ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34702-2024</t>
        </is>
      </c>
      <c r="B2404" s="1" t="n">
        <v>45526</v>
      </c>
      <c r="C2404" s="1" t="n">
        <v>45895</v>
      </c>
      <c r="D2404" t="inlineStr">
        <is>
          <t>NORRBOTTENS LÄN</t>
        </is>
      </c>
      <c r="E2404" t="inlineStr">
        <is>
          <t>ÖVERTORNEÅ</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27776-2025</t>
        </is>
      </c>
      <c r="B2405" s="1" t="n">
        <v>45816.64528935185</v>
      </c>
      <c r="C2405" s="1" t="n">
        <v>45895</v>
      </c>
      <c r="D2405" t="inlineStr">
        <is>
          <t>NORRBOTTENS LÄN</t>
        </is>
      </c>
      <c r="E2405" t="inlineStr">
        <is>
          <t>KALIX</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18002-2025</t>
        </is>
      </c>
      <c r="B2406" s="1" t="n">
        <v>45761</v>
      </c>
      <c r="C2406" s="1" t="n">
        <v>45895</v>
      </c>
      <c r="D2406" t="inlineStr">
        <is>
          <t>NORRBOTTENS LÄN</t>
        </is>
      </c>
      <c r="E2406" t="inlineStr">
        <is>
          <t>BODEN</t>
        </is>
      </c>
      <c r="F2406" t="inlineStr">
        <is>
          <t>Övriga statliga verk och myndigheter</t>
        </is>
      </c>
      <c r="G2406" t="n">
        <v>11.5</v>
      </c>
      <c r="H2406" t="n">
        <v>0</v>
      </c>
      <c r="I2406" t="n">
        <v>0</v>
      </c>
      <c r="J2406" t="n">
        <v>0</v>
      </c>
      <c r="K2406" t="n">
        <v>0</v>
      </c>
      <c r="L2406" t="n">
        <v>0</v>
      </c>
      <c r="M2406" t="n">
        <v>0</v>
      </c>
      <c r="N2406" t="n">
        <v>0</v>
      </c>
      <c r="O2406" t="n">
        <v>0</v>
      </c>
      <c r="P2406" t="n">
        <v>0</v>
      </c>
      <c r="Q2406" t="n">
        <v>0</v>
      </c>
      <c r="R2406" s="2" t="inlineStr"/>
    </row>
    <row r="2407" ht="15" customHeight="1">
      <c r="A2407" t="inlineStr">
        <is>
          <t>A 18005-2025</t>
        </is>
      </c>
      <c r="B2407" s="1" t="n">
        <v>45761.42232638889</v>
      </c>
      <c r="C2407" s="1" t="n">
        <v>45895</v>
      </c>
      <c r="D2407" t="inlineStr">
        <is>
          <t>NORRBOTTENS LÄN</t>
        </is>
      </c>
      <c r="E2407" t="inlineStr">
        <is>
          <t>KALIX</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36115-2023</t>
        </is>
      </c>
      <c r="B2408" s="1" t="n">
        <v>45149</v>
      </c>
      <c r="C2408" s="1" t="n">
        <v>45895</v>
      </c>
      <c r="D2408" t="inlineStr">
        <is>
          <t>NORRBOTTENS LÄN</t>
        </is>
      </c>
      <c r="E2408" t="inlineStr">
        <is>
          <t>BODEN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22618-2025</t>
        </is>
      </c>
      <c r="B2409" s="1" t="n">
        <v>45789.42767361111</v>
      </c>
      <c r="C2409" s="1" t="n">
        <v>45895</v>
      </c>
      <c r="D2409" t="inlineStr">
        <is>
          <t>NORRBOTTENS LÄN</t>
        </is>
      </c>
      <c r="E2409" t="inlineStr">
        <is>
          <t>KALIX</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14264-2024</t>
        </is>
      </c>
      <c r="B2410" s="1" t="n">
        <v>45393</v>
      </c>
      <c r="C2410" s="1" t="n">
        <v>45895</v>
      </c>
      <c r="D2410" t="inlineStr">
        <is>
          <t>NORRBOTTENS LÄN</t>
        </is>
      </c>
      <c r="E2410" t="inlineStr">
        <is>
          <t>ÖVERTORNEÅ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3895-2025</t>
        </is>
      </c>
      <c r="B2411" s="1" t="n">
        <v>45683</v>
      </c>
      <c r="C2411" s="1" t="n">
        <v>45895</v>
      </c>
      <c r="D2411" t="inlineStr">
        <is>
          <t>NORRBOTTENS LÄN</t>
        </is>
      </c>
      <c r="E2411" t="inlineStr">
        <is>
          <t>LULEÅ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25414-2024</t>
        </is>
      </c>
      <c r="B2412" s="1" t="n">
        <v>45462</v>
      </c>
      <c r="C2412" s="1" t="n">
        <v>45895</v>
      </c>
      <c r="D2412" t="inlineStr">
        <is>
          <t>NORRBOTTENS LÄN</t>
        </is>
      </c>
      <c r="E2412" t="inlineStr">
        <is>
          <t>PITEÅ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51293-2024</t>
        </is>
      </c>
      <c r="B2413" s="1" t="n">
        <v>45603.92878472222</v>
      </c>
      <c r="C2413" s="1" t="n">
        <v>45895</v>
      </c>
      <c r="D2413" t="inlineStr">
        <is>
          <t>NORRBOTTENS LÄN</t>
        </is>
      </c>
      <c r="E2413" t="inlineStr">
        <is>
          <t>JOKKMOKK</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56276-2021</t>
        </is>
      </c>
      <c r="B2414" s="1" t="n">
        <v>44479</v>
      </c>
      <c r="C2414" s="1" t="n">
        <v>45895</v>
      </c>
      <c r="D2414" t="inlineStr">
        <is>
          <t>NORRBOTTENS LÄN</t>
        </is>
      </c>
      <c r="E2414" t="inlineStr">
        <is>
          <t>ARJEPLOG</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25270-2023</t>
        </is>
      </c>
      <c r="B2415" s="1" t="n">
        <v>45079</v>
      </c>
      <c r="C2415" s="1" t="n">
        <v>45895</v>
      </c>
      <c r="D2415" t="inlineStr">
        <is>
          <t>NORRBOTTENS LÄN</t>
        </is>
      </c>
      <c r="E2415" t="inlineStr">
        <is>
          <t>ARJEPLOG</t>
        </is>
      </c>
      <c r="F2415" t="inlineStr">
        <is>
          <t>Övriga statliga verk och myndigheter</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38969-2024</t>
        </is>
      </c>
      <c r="B2416" s="1" t="n">
        <v>45548</v>
      </c>
      <c r="C2416" s="1" t="n">
        <v>45895</v>
      </c>
      <c r="D2416" t="inlineStr">
        <is>
          <t>NORRBOTTENS LÄN</t>
        </is>
      </c>
      <c r="E2416" t="inlineStr">
        <is>
          <t>PITEÅ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72364-2021</t>
        </is>
      </c>
      <c r="B2417" s="1" t="n">
        <v>44543</v>
      </c>
      <c r="C2417" s="1" t="n">
        <v>45895</v>
      </c>
      <c r="D2417" t="inlineStr">
        <is>
          <t>NORRBOTTENS LÄN</t>
        </is>
      </c>
      <c r="E2417" t="inlineStr">
        <is>
          <t>ÖVERKALIX</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20744-2024</t>
        </is>
      </c>
      <c r="B2418" s="1" t="n">
        <v>45436</v>
      </c>
      <c r="C2418" s="1" t="n">
        <v>45895</v>
      </c>
      <c r="D2418" t="inlineStr">
        <is>
          <t>NORRBOTTENS LÄN</t>
        </is>
      </c>
      <c r="E2418" t="inlineStr">
        <is>
          <t>KIRUNA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29078-2024</t>
        </is>
      </c>
      <c r="B2419" s="1" t="n">
        <v>45481</v>
      </c>
      <c r="C2419" s="1" t="n">
        <v>45895</v>
      </c>
      <c r="D2419" t="inlineStr">
        <is>
          <t>NORRBOTTENS LÄN</t>
        </is>
      </c>
      <c r="E2419" t="inlineStr">
        <is>
          <t>PAJALA</t>
        </is>
      </c>
      <c r="G2419" t="n">
        <v>21.3</v>
      </c>
      <c r="H2419" t="n">
        <v>0</v>
      </c>
      <c r="I2419" t="n">
        <v>0</v>
      </c>
      <c r="J2419" t="n">
        <v>0</v>
      </c>
      <c r="K2419" t="n">
        <v>0</v>
      </c>
      <c r="L2419" t="n">
        <v>0</v>
      </c>
      <c r="M2419" t="n">
        <v>0</v>
      </c>
      <c r="N2419" t="n">
        <v>0</v>
      </c>
      <c r="O2419" t="n">
        <v>0</v>
      </c>
      <c r="P2419" t="n">
        <v>0</v>
      </c>
      <c r="Q2419" t="n">
        <v>0</v>
      </c>
      <c r="R2419" s="2" t="inlineStr"/>
    </row>
    <row r="2420" ht="15" customHeight="1">
      <c r="A2420" t="inlineStr">
        <is>
          <t>A 34760-2022</t>
        </is>
      </c>
      <c r="B2420" s="1" t="n">
        <v>44795</v>
      </c>
      <c r="C2420" s="1" t="n">
        <v>45895</v>
      </c>
      <c r="D2420" t="inlineStr">
        <is>
          <t>NORRBOTTENS LÄN</t>
        </is>
      </c>
      <c r="E2420" t="inlineStr">
        <is>
          <t>BODEN</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39559-2022</t>
        </is>
      </c>
      <c r="B2421" s="1" t="n">
        <v>44818</v>
      </c>
      <c r="C2421" s="1" t="n">
        <v>45895</v>
      </c>
      <c r="D2421" t="inlineStr">
        <is>
          <t>NORRBOTTENS LÄN</t>
        </is>
      </c>
      <c r="E2421" t="inlineStr">
        <is>
          <t>GÄLLIVARE</t>
        </is>
      </c>
      <c r="F2421" t="inlineStr">
        <is>
          <t>Sveaskog</t>
        </is>
      </c>
      <c r="G2421" t="n">
        <v>11.6</v>
      </c>
      <c r="H2421" t="n">
        <v>0</v>
      </c>
      <c r="I2421" t="n">
        <v>0</v>
      </c>
      <c r="J2421" t="n">
        <v>0</v>
      </c>
      <c r="K2421" t="n">
        <v>0</v>
      </c>
      <c r="L2421" t="n">
        <v>0</v>
      </c>
      <c r="M2421" t="n">
        <v>0</v>
      </c>
      <c r="N2421" t="n">
        <v>0</v>
      </c>
      <c r="O2421" t="n">
        <v>0</v>
      </c>
      <c r="P2421" t="n">
        <v>0</v>
      </c>
      <c r="Q2421" t="n">
        <v>0</v>
      </c>
      <c r="R2421" s="2" t="inlineStr"/>
    </row>
    <row r="2422" ht="15" customHeight="1">
      <c r="A2422" t="inlineStr">
        <is>
          <t>A 58950-2024</t>
        </is>
      </c>
      <c r="B2422" s="1" t="n">
        <v>45636.55809027778</v>
      </c>
      <c r="C2422" s="1" t="n">
        <v>45895</v>
      </c>
      <c r="D2422" t="inlineStr">
        <is>
          <t>NORRBOTTENS LÄN</t>
        </is>
      </c>
      <c r="E2422" t="inlineStr">
        <is>
          <t>HAPARANDA</t>
        </is>
      </c>
      <c r="G2422" t="n">
        <v>18.6</v>
      </c>
      <c r="H2422" t="n">
        <v>0</v>
      </c>
      <c r="I2422" t="n">
        <v>0</v>
      </c>
      <c r="J2422" t="n">
        <v>0</v>
      </c>
      <c r="K2422" t="n">
        <v>0</v>
      </c>
      <c r="L2422" t="n">
        <v>0</v>
      </c>
      <c r="M2422" t="n">
        <v>0</v>
      </c>
      <c r="N2422" t="n">
        <v>0</v>
      </c>
      <c r="O2422" t="n">
        <v>0</v>
      </c>
      <c r="P2422" t="n">
        <v>0</v>
      </c>
      <c r="Q2422" t="n">
        <v>0</v>
      </c>
      <c r="R2422" s="2" t="inlineStr"/>
    </row>
    <row r="2423" ht="15" customHeight="1">
      <c r="A2423" t="inlineStr">
        <is>
          <t>A 51839-2023</t>
        </is>
      </c>
      <c r="B2423" s="1" t="n">
        <v>45215</v>
      </c>
      <c r="C2423" s="1" t="n">
        <v>45895</v>
      </c>
      <c r="D2423" t="inlineStr">
        <is>
          <t>NORRBOTTENS LÄN</t>
        </is>
      </c>
      <c r="E2423" t="inlineStr">
        <is>
          <t>KALIX</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51845-2023</t>
        </is>
      </c>
      <c r="B2424" s="1" t="n">
        <v>45215</v>
      </c>
      <c r="C2424" s="1" t="n">
        <v>45895</v>
      </c>
      <c r="D2424" t="inlineStr">
        <is>
          <t>NORRBOTTENS LÄN</t>
        </is>
      </c>
      <c r="E2424" t="inlineStr">
        <is>
          <t>KALIX</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31827-2024</t>
        </is>
      </c>
      <c r="B2425" s="1" t="n">
        <v>45509.61607638889</v>
      </c>
      <c r="C2425" s="1" t="n">
        <v>45895</v>
      </c>
      <c r="D2425" t="inlineStr">
        <is>
          <t>NORRBOTTENS LÄN</t>
        </is>
      </c>
      <c r="E2425" t="inlineStr">
        <is>
          <t>ÖVERTORNEÅ</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20905-2025</t>
        </is>
      </c>
      <c r="B2426" s="1" t="n">
        <v>45777.40407407407</v>
      </c>
      <c r="C2426" s="1" t="n">
        <v>45895</v>
      </c>
      <c r="D2426" t="inlineStr">
        <is>
          <t>NORRBOTTENS LÄN</t>
        </is>
      </c>
      <c r="E2426" t="inlineStr">
        <is>
          <t>ARJEPLOG</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23028-2025</t>
        </is>
      </c>
      <c r="B2427" s="1" t="n">
        <v>45790.65724537037</v>
      </c>
      <c r="C2427" s="1" t="n">
        <v>45895</v>
      </c>
      <c r="D2427" t="inlineStr">
        <is>
          <t>NORRBOTTENS LÄN</t>
        </is>
      </c>
      <c r="E2427" t="inlineStr">
        <is>
          <t>KALIX</t>
        </is>
      </c>
      <c r="F2427" t="inlineStr">
        <is>
          <t>SCA</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23040-2025</t>
        </is>
      </c>
      <c r="B2428" s="1" t="n">
        <v>45790.66396990741</v>
      </c>
      <c r="C2428" s="1" t="n">
        <v>45895</v>
      </c>
      <c r="D2428" t="inlineStr">
        <is>
          <t>NORRBOTTENS LÄN</t>
        </is>
      </c>
      <c r="E2428" t="inlineStr">
        <is>
          <t>HAPARANDA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5653-2022</t>
        </is>
      </c>
      <c r="B2429" s="1" t="n">
        <v>44595</v>
      </c>
      <c r="C2429" s="1" t="n">
        <v>45895</v>
      </c>
      <c r="D2429" t="inlineStr">
        <is>
          <t>NORRBOTTENS LÄN</t>
        </is>
      </c>
      <c r="E2429" t="inlineStr">
        <is>
          <t>ÖVERKALIX</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22956-2025</t>
        </is>
      </c>
      <c r="B2430" s="1" t="n">
        <v>45789</v>
      </c>
      <c r="C2430" s="1" t="n">
        <v>45895</v>
      </c>
      <c r="D2430" t="inlineStr">
        <is>
          <t>NORRBOTTENS LÄN</t>
        </is>
      </c>
      <c r="E2430" t="inlineStr">
        <is>
          <t>PITEÅ</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833-2025</t>
        </is>
      </c>
      <c r="B2431" s="1" t="n">
        <v>45665</v>
      </c>
      <c r="C2431" s="1" t="n">
        <v>45895</v>
      </c>
      <c r="D2431" t="inlineStr">
        <is>
          <t>NORRBOTTENS LÄN</t>
        </is>
      </c>
      <c r="E2431" t="inlineStr">
        <is>
          <t>GÄLLIVARE</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836-2025</t>
        </is>
      </c>
      <c r="B2432" s="1" t="n">
        <v>45665</v>
      </c>
      <c r="C2432" s="1" t="n">
        <v>45895</v>
      </c>
      <c r="D2432" t="inlineStr">
        <is>
          <t>NORRBOTTENS LÄN</t>
        </is>
      </c>
      <c r="E2432" t="inlineStr">
        <is>
          <t>GÄLLIVARE</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839-2025</t>
        </is>
      </c>
      <c r="B2433" s="1" t="n">
        <v>45665</v>
      </c>
      <c r="C2433" s="1" t="n">
        <v>45895</v>
      </c>
      <c r="D2433" t="inlineStr">
        <is>
          <t>NORRBOTTENS LÄN</t>
        </is>
      </c>
      <c r="E2433" t="inlineStr">
        <is>
          <t>GÄLLIVARE</t>
        </is>
      </c>
      <c r="F2433" t="inlineStr">
        <is>
          <t>Sveaskog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12323-2023</t>
        </is>
      </c>
      <c r="B2434" s="1" t="n">
        <v>44995</v>
      </c>
      <c r="C2434" s="1" t="n">
        <v>45895</v>
      </c>
      <c r="D2434" t="inlineStr">
        <is>
          <t>NORRBOTTENS LÄN</t>
        </is>
      </c>
      <c r="E2434" t="inlineStr">
        <is>
          <t>LULEÅ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23203-2024</t>
        </is>
      </c>
      <c r="B2435" s="1" t="n">
        <v>45451</v>
      </c>
      <c r="C2435" s="1" t="n">
        <v>45895</v>
      </c>
      <c r="D2435" t="inlineStr">
        <is>
          <t>NORRBOTTENS LÄN</t>
        </is>
      </c>
      <c r="E2435" t="inlineStr">
        <is>
          <t>JOKKMOKK</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26675-2024</t>
        </is>
      </c>
      <c r="B2436" s="1" t="n">
        <v>45470.32200231482</v>
      </c>
      <c r="C2436" s="1" t="n">
        <v>45895</v>
      </c>
      <c r="D2436" t="inlineStr">
        <is>
          <t>NORRBOTTENS LÄN</t>
        </is>
      </c>
      <c r="E2436" t="inlineStr">
        <is>
          <t>KALIX</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11535-2025</t>
        </is>
      </c>
      <c r="B2437" s="1" t="n">
        <v>45726</v>
      </c>
      <c r="C2437" s="1" t="n">
        <v>45895</v>
      </c>
      <c r="D2437" t="inlineStr">
        <is>
          <t>NORRBOTTENS LÄN</t>
        </is>
      </c>
      <c r="E2437" t="inlineStr">
        <is>
          <t>ARVIDSJAUR</t>
        </is>
      </c>
      <c r="F2437" t="inlineStr">
        <is>
          <t>Allmännings- och besparingsskogar</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11539-2025</t>
        </is>
      </c>
      <c r="B2438" s="1" t="n">
        <v>45726</v>
      </c>
      <c r="C2438" s="1" t="n">
        <v>45895</v>
      </c>
      <c r="D2438" t="inlineStr">
        <is>
          <t>NORRBOTTENS LÄN</t>
        </is>
      </c>
      <c r="E2438" t="inlineStr">
        <is>
          <t>ARVIDSJAUR</t>
        </is>
      </c>
      <c r="F2438" t="inlineStr">
        <is>
          <t>Allmännings- och besparingsskogar</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14336-2025</t>
        </is>
      </c>
      <c r="B2439" s="1" t="n">
        <v>45740.9174537037</v>
      </c>
      <c r="C2439" s="1" t="n">
        <v>45895</v>
      </c>
      <c r="D2439" t="inlineStr">
        <is>
          <t>NORRBOTTENS LÄN</t>
        </is>
      </c>
      <c r="E2439" t="inlineStr">
        <is>
          <t>PAJALA</t>
        </is>
      </c>
      <c r="G2439" t="n">
        <v>17.5</v>
      </c>
      <c r="H2439" t="n">
        <v>0</v>
      </c>
      <c r="I2439" t="n">
        <v>0</v>
      </c>
      <c r="J2439" t="n">
        <v>0</v>
      </c>
      <c r="K2439" t="n">
        <v>0</v>
      </c>
      <c r="L2439" t="n">
        <v>0</v>
      </c>
      <c r="M2439" t="n">
        <v>0</v>
      </c>
      <c r="N2439" t="n">
        <v>0</v>
      </c>
      <c r="O2439" t="n">
        <v>0</v>
      </c>
      <c r="P2439" t="n">
        <v>0</v>
      </c>
      <c r="Q2439" t="n">
        <v>0</v>
      </c>
      <c r="R2439" s="2" t="inlineStr"/>
    </row>
    <row r="2440" ht="15" customHeight="1">
      <c r="A2440" t="inlineStr">
        <is>
          <t>A 26684-2024</t>
        </is>
      </c>
      <c r="B2440" s="1" t="n">
        <v>45470.35256944445</v>
      </c>
      <c r="C2440" s="1" t="n">
        <v>45895</v>
      </c>
      <c r="D2440" t="inlineStr">
        <is>
          <t>NORRBOTTENS LÄN</t>
        </is>
      </c>
      <c r="E2440" t="inlineStr">
        <is>
          <t>ARVIDSJAUR</t>
        </is>
      </c>
      <c r="F2440" t="inlineStr">
        <is>
          <t>Sveaskog</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26689-2024</t>
        </is>
      </c>
      <c r="B2441" s="1" t="n">
        <v>45470.35973379629</v>
      </c>
      <c r="C2441" s="1" t="n">
        <v>45895</v>
      </c>
      <c r="D2441" t="inlineStr">
        <is>
          <t>NORRBOTTENS LÄN</t>
        </is>
      </c>
      <c r="E2441" t="inlineStr">
        <is>
          <t>ARVIDSJAUR</t>
        </is>
      </c>
      <c r="F2441" t="inlineStr">
        <is>
          <t>Sveaskog</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60773-2024</t>
        </is>
      </c>
      <c r="B2442" s="1" t="n">
        <v>45644.58398148148</v>
      </c>
      <c r="C2442" s="1" t="n">
        <v>45895</v>
      </c>
      <c r="D2442" t="inlineStr">
        <is>
          <t>NORRBOTTENS LÄN</t>
        </is>
      </c>
      <c r="E2442" t="inlineStr">
        <is>
          <t>ÄLVSBYN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60774-2024</t>
        </is>
      </c>
      <c r="B2443" s="1" t="n">
        <v>45644</v>
      </c>
      <c r="C2443" s="1" t="n">
        <v>45895</v>
      </c>
      <c r="D2443" t="inlineStr">
        <is>
          <t>NORRBOTTENS LÄN</t>
        </is>
      </c>
      <c r="E2443" t="inlineStr">
        <is>
          <t>ÖVERKALIX</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57326-2024</t>
        </is>
      </c>
      <c r="B2444" s="1" t="n">
        <v>45629</v>
      </c>
      <c r="C2444" s="1" t="n">
        <v>45895</v>
      </c>
      <c r="D2444" t="inlineStr">
        <is>
          <t>NORRBOTTENS LÄN</t>
        </is>
      </c>
      <c r="E2444" t="inlineStr">
        <is>
          <t>KALIX</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62061-2022</t>
        </is>
      </c>
      <c r="B2445" s="1" t="n">
        <v>44914</v>
      </c>
      <c r="C2445" s="1" t="n">
        <v>45895</v>
      </c>
      <c r="D2445" t="inlineStr">
        <is>
          <t>NORRBOTTENS LÄN</t>
        </is>
      </c>
      <c r="E2445" t="inlineStr">
        <is>
          <t>LULEÅ</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22710-2025</t>
        </is>
      </c>
      <c r="B2446" s="1" t="n">
        <v>45789.55678240741</v>
      </c>
      <c r="C2446" s="1" t="n">
        <v>45895</v>
      </c>
      <c r="D2446" t="inlineStr">
        <is>
          <t>NORRBOTTENS LÄN</t>
        </is>
      </c>
      <c r="E2446" t="inlineStr">
        <is>
          <t>ÖVERKALIX</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19527-2024</t>
        </is>
      </c>
      <c r="B2447" s="1" t="n">
        <v>45429</v>
      </c>
      <c r="C2447" s="1" t="n">
        <v>45895</v>
      </c>
      <c r="D2447" t="inlineStr">
        <is>
          <t>NORRBOTTENS LÄN</t>
        </is>
      </c>
      <c r="E2447" t="inlineStr">
        <is>
          <t>KALIX</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22702-2025</t>
        </is>
      </c>
      <c r="B2448" s="1" t="n">
        <v>45789</v>
      </c>
      <c r="C2448" s="1" t="n">
        <v>45895</v>
      </c>
      <c r="D2448" t="inlineStr">
        <is>
          <t>NORRBOTTENS LÄN</t>
        </is>
      </c>
      <c r="E2448" t="inlineStr">
        <is>
          <t>ÖVERKALIX</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12346-2025</t>
        </is>
      </c>
      <c r="B2449" s="1" t="n">
        <v>45730.34466435185</v>
      </c>
      <c r="C2449" s="1" t="n">
        <v>45895</v>
      </c>
      <c r="D2449" t="inlineStr">
        <is>
          <t>NORRBOTTENS LÄN</t>
        </is>
      </c>
      <c r="E2449" t="inlineStr">
        <is>
          <t>KALIX</t>
        </is>
      </c>
      <c r="F2449" t="inlineStr">
        <is>
          <t>SCA</t>
        </is>
      </c>
      <c r="G2449" t="n">
        <v>28.4</v>
      </c>
      <c r="H2449" t="n">
        <v>0</v>
      </c>
      <c r="I2449" t="n">
        <v>0</v>
      </c>
      <c r="J2449" t="n">
        <v>0</v>
      </c>
      <c r="K2449" t="n">
        <v>0</v>
      </c>
      <c r="L2449" t="n">
        <v>0</v>
      </c>
      <c r="M2449" t="n">
        <v>0</v>
      </c>
      <c r="N2449" t="n">
        <v>0</v>
      </c>
      <c r="O2449" t="n">
        <v>0</v>
      </c>
      <c r="P2449" t="n">
        <v>0</v>
      </c>
      <c r="Q2449" t="n">
        <v>0</v>
      </c>
      <c r="R2449" s="2" t="inlineStr"/>
    </row>
    <row r="2450" ht="15" customHeight="1">
      <c r="A2450" t="inlineStr">
        <is>
          <t>A 36894-2023</t>
        </is>
      </c>
      <c r="B2450" s="1" t="n">
        <v>45154</v>
      </c>
      <c r="C2450" s="1" t="n">
        <v>45895</v>
      </c>
      <c r="D2450" t="inlineStr">
        <is>
          <t>NORRBOTTENS LÄN</t>
        </is>
      </c>
      <c r="E2450" t="inlineStr">
        <is>
          <t>PAJALA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28046-2024</t>
        </is>
      </c>
      <c r="B2451" s="1" t="n">
        <v>45476</v>
      </c>
      <c r="C2451" s="1" t="n">
        <v>45895</v>
      </c>
      <c r="D2451" t="inlineStr">
        <is>
          <t>NORRBOTTENS LÄN</t>
        </is>
      </c>
      <c r="E2451" t="inlineStr">
        <is>
          <t>GÄLLIVARE</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6777-2023</t>
        </is>
      </c>
      <c r="B2452" s="1" t="n">
        <v>44966</v>
      </c>
      <c r="C2452" s="1" t="n">
        <v>45895</v>
      </c>
      <c r="D2452" t="inlineStr">
        <is>
          <t>NORRBOTTENS LÄN</t>
        </is>
      </c>
      <c r="E2452" t="inlineStr">
        <is>
          <t>JOKKMOKK</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29328-2024</t>
        </is>
      </c>
      <c r="B2453" s="1" t="n">
        <v>45483</v>
      </c>
      <c r="C2453" s="1" t="n">
        <v>45895</v>
      </c>
      <c r="D2453" t="inlineStr">
        <is>
          <t>NORRBOTTENS LÄN</t>
        </is>
      </c>
      <c r="E2453" t="inlineStr">
        <is>
          <t>BODEN</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48179-2024</t>
        </is>
      </c>
      <c r="B2454" s="1" t="n">
        <v>45589.88046296296</v>
      </c>
      <c r="C2454" s="1" t="n">
        <v>45895</v>
      </c>
      <c r="D2454" t="inlineStr">
        <is>
          <t>NORRBOTTENS LÄN</t>
        </is>
      </c>
      <c r="E2454" t="inlineStr">
        <is>
          <t>PAJALA</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62443-2023</t>
        </is>
      </c>
      <c r="B2455" s="1" t="n">
        <v>45268</v>
      </c>
      <c r="C2455" s="1" t="n">
        <v>45895</v>
      </c>
      <c r="D2455" t="inlineStr">
        <is>
          <t>NORRBOTTENS LÄN</t>
        </is>
      </c>
      <c r="E2455" t="inlineStr">
        <is>
          <t>KALIX</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38160-2024</t>
        </is>
      </c>
      <c r="B2456" s="1" t="n">
        <v>45545.44503472222</v>
      </c>
      <c r="C2456" s="1" t="n">
        <v>45895</v>
      </c>
      <c r="D2456" t="inlineStr">
        <is>
          <t>NORRBOTTENS LÄN</t>
        </is>
      </c>
      <c r="E2456" t="inlineStr">
        <is>
          <t>PAJALA</t>
        </is>
      </c>
      <c r="F2456" t="inlineStr">
        <is>
          <t>Sveaskog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38161-2024</t>
        </is>
      </c>
      <c r="B2457" s="1" t="n">
        <v>45545</v>
      </c>
      <c r="C2457" s="1" t="n">
        <v>45895</v>
      </c>
      <c r="D2457" t="inlineStr">
        <is>
          <t>NORRBOTTENS LÄN</t>
        </is>
      </c>
      <c r="E2457" t="inlineStr">
        <is>
          <t>PAJALA</t>
        </is>
      </c>
      <c r="F2457" t="inlineStr">
        <is>
          <t>Sveaskog</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55381-2024</t>
        </is>
      </c>
      <c r="B2458" s="1" t="n">
        <v>45622</v>
      </c>
      <c r="C2458" s="1" t="n">
        <v>45895</v>
      </c>
      <c r="D2458" t="inlineStr">
        <is>
          <t>NORRBOTTENS LÄN</t>
        </is>
      </c>
      <c r="E2458" t="inlineStr">
        <is>
          <t>GÄLLIVARE</t>
        </is>
      </c>
      <c r="F2458" t="inlineStr">
        <is>
          <t>Sveaskog</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59662-2024</t>
        </is>
      </c>
      <c r="B2459" s="1" t="n">
        <v>45639</v>
      </c>
      <c r="C2459" s="1" t="n">
        <v>45895</v>
      </c>
      <c r="D2459" t="inlineStr">
        <is>
          <t>NORRBOTTENS LÄN</t>
        </is>
      </c>
      <c r="E2459" t="inlineStr">
        <is>
          <t>ÖVERTORNEÅ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59675-2024</t>
        </is>
      </c>
      <c r="B2460" s="1" t="n">
        <v>45639</v>
      </c>
      <c r="C2460" s="1" t="n">
        <v>45895</v>
      </c>
      <c r="D2460" t="inlineStr">
        <is>
          <t>NORRBOTTENS LÄN</t>
        </is>
      </c>
      <c r="E2460" t="inlineStr">
        <is>
          <t>GÄLLIVARE</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60387-2024</t>
        </is>
      </c>
      <c r="B2461" s="1" t="n">
        <v>45643.48357638889</v>
      </c>
      <c r="C2461" s="1" t="n">
        <v>45895</v>
      </c>
      <c r="D2461" t="inlineStr">
        <is>
          <t>NORRBOTTENS LÄN</t>
        </is>
      </c>
      <c r="E2461" t="inlineStr">
        <is>
          <t>LULEÅ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60418-2024</t>
        </is>
      </c>
      <c r="B2462" s="1" t="n">
        <v>45643</v>
      </c>
      <c r="C2462" s="1" t="n">
        <v>45895</v>
      </c>
      <c r="D2462" t="inlineStr">
        <is>
          <t>NORRBOTTENS LÄN</t>
        </is>
      </c>
      <c r="E2462" t="inlineStr">
        <is>
          <t>ÖVERKALIX</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63221-2023</t>
        </is>
      </c>
      <c r="B2463" s="1" t="n">
        <v>45273.63354166667</v>
      </c>
      <c r="C2463" s="1" t="n">
        <v>45895</v>
      </c>
      <c r="D2463" t="inlineStr">
        <is>
          <t>NORRBOTTENS LÄN</t>
        </is>
      </c>
      <c r="E2463" t="inlineStr">
        <is>
          <t>PITEÅ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51083-2023</t>
        </is>
      </c>
      <c r="B2464" s="1" t="n">
        <v>45218.71888888889</v>
      </c>
      <c r="C2464" s="1" t="n">
        <v>45895</v>
      </c>
      <c r="D2464" t="inlineStr">
        <is>
          <t>NORRBOTTENS LÄN</t>
        </is>
      </c>
      <c r="E2464" t="inlineStr">
        <is>
          <t>PAJALA</t>
        </is>
      </c>
      <c r="F2464" t="inlineStr">
        <is>
          <t>Sveaskog</t>
        </is>
      </c>
      <c r="G2464" t="n">
        <v>25.1</v>
      </c>
      <c r="H2464" t="n">
        <v>0</v>
      </c>
      <c r="I2464" t="n">
        <v>0</v>
      </c>
      <c r="J2464" t="n">
        <v>0</v>
      </c>
      <c r="K2464" t="n">
        <v>0</v>
      </c>
      <c r="L2464" t="n">
        <v>0</v>
      </c>
      <c r="M2464" t="n">
        <v>0</v>
      </c>
      <c r="N2464" t="n">
        <v>0</v>
      </c>
      <c r="O2464" t="n">
        <v>0</v>
      </c>
      <c r="P2464" t="n">
        <v>0</v>
      </c>
      <c r="Q2464" t="n">
        <v>0</v>
      </c>
      <c r="R2464" s="2" t="inlineStr"/>
    </row>
    <row r="2465" ht="15" customHeight="1">
      <c r="A2465" t="inlineStr">
        <is>
          <t>A 40937-2023</t>
        </is>
      </c>
      <c r="B2465" s="1" t="n">
        <v>45173</v>
      </c>
      <c r="C2465" s="1" t="n">
        <v>45895</v>
      </c>
      <c r="D2465" t="inlineStr">
        <is>
          <t>NORRBOTTENS LÄN</t>
        </is>
      </c>
      <c r="E2465" t="inlineStr">
        <is>
          <t>ARVIDSJAUR</t>
        </is>
      </c>
      <c r="F2465" t="inlineStr">
        <is>
          <t>Övriga Aktiebolag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3055-2025</t>
        </is>
      </c>
      <c r="B2466" s="1" t="n">
        <v>45678.61530092593</v>
      </c>
      <c r="C2466" s="1" t="n">
        <v>45895</v>
      </c>
      <c r="D2466" t="inlineStr">
        <is>
          <t>NORRBOTTENS LÄN</t>
        </is>
      </c>
      <c r="E2466" t="inlineStr">
        <is>
          <t>JOKKMOKK</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56076-2021</t>
        </is>
      </c>
      <c r="B2467" s="1" t="n">
        <v>44477.53277777778</v>
      </c>
      <c r="C2467" s="1" t="n">
        <v>45895</v>
      </c>
      <c r="D2467" t="inlineStr">
        <is>
          <t>NORRBOTTENS LÄN</t>
        </is>
      </c>
      <c r="E2467" t="inlineStr">
        <is>
          <t>ÖVERKALIX</t>
        </is>
      </c>
      <c r="F2467" t="inlineStr">
        <is>
          <t>Sveaskog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50327-2023</t>
        </is>
      </c>
      <c r="B2468" s="1" t="n">
        <v>45216</v>
      </c>
      <c r="C2468" s="1" t="n">
        <v>45895</v>
      </c>
      <c r="D2468" t="inlineStr">
        <is>
          <t>NORRBOTTENS LÄN</t>
        </is>
      </c>
      <c r="E2468" t="inlineStr">
        <is>
          <t>BODEN</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11620-2025</t>
        </is>
      </c>
      <c r="B2469" s="1" t="n">
        <v>45726</v>
      </c>
      <c r="C2469" s="1" t="n">
        <v>45895</v>
      </c>
      <c r="D2469" t="inlineStr">
        <is>
          <t>NORRBOTTENS LÄN</t>
        </is>
      </c>
      <c r="E2469" t="inlineStr">
        <is>
          <t>ARVIDSJAUR</t>
        </is>
      </c>
      <c r="F2469" t="inlineStr">
        <is>
          <t>Allmännings- och besparingsskogar</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3521-2023</t>
        </is>
      </c>
      <c r="B2470" s="1" t="n">
        <v>44950.35271990741</v>
      </c>
      <c r="C2470" s="1" t="n">
        <v>45895</v>
      </c>
      <c r="D2470" t="inlineStr">
        <is>
          <t>NORRBOTTENS LÄN</t>
        </is>
      </c>
      <c r="E2470" t="inlineStr">
        <is>
          <t>PITEÅ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4129-2024</t>
        </is>
      </c>
      <c r="B2471" s="1" t="n">
        <v>45323</v>
      </c>
      <c r="C2471" s="1" t="n">
        <v>45895</v>
      </c>
      <c r="D2471" t="inlineStr">
        <is>
          <t>NORRBOTTENS LÄN</t>
        </is>
      </c>
      <c r="E2471" t="inlineStr">
        <is>
          <t>PITEÅ</t>
        </is>
      </c>
      <c r="F2471" t="inlineStr">
        <is>
          <t>Sveaskog</t>
        </is>
      </c>
      <c r="G2471" t="n">
        <v>37.1</v>
      </c>
      <c r="H2471" t="n">
        <v>0</v>
      </c>
      <c r="I2471" t="n">
        <v>0</v>
      </c>
      <c r="J2471" t="n">
        <v>0</v>
      </c>
      <c r="K2471" t="n">
        <v>0</v>
      </c>
      <c r="L2471" t="n">
        <v>0</v>
      </c>
      <c r="M2471" t="n">
        <v>0</v>
      </c>
      <c r="N2471" t="n">
        <v>0</v>
      </c>
      <c r="O2471" t="n">
        <v>0</v>
      </c>
      <c r="P2471" t="n">
        <v>0</v>
      </c>
      <c r="Q2471" t="n">
        <v>0</v>
      </c>
      <c r="R2471" s="2" t="inlineStr"/>
    </row>
    <row r="2472" ht="15" customHeight="1">
      <c r="A2472" t="inlineStr">
        <is>
          <t>A 4137-2024</t>
        </is>
      </c>
      <c r="B2472" s="1" t="n">
        <v>45323</v>
      </c>
      <c r="C2472" s="1" t="n">
        <v>45895</v>
      </c>
      <c r="D2472" t="inlineStr">
        <is>
          <t>NORRBOTTENS LÄN</t>
        </is>
      </c>
      <c r="E2472" t="inlineStr">
        <is>
          <t>LULEÅ</t>
        </is>
      </c>
      <c r="G2472" t="n">
        <v>13.1</v>
      </c>
      <c r="H2472" t="n">
        <v>0</v>
      </c>
      <c r="I2472" t="n">
        <v>0</v>
      </c>
      <c r="J2472" t="n">
        <v>0</v>
      </c>
      <c r="K2472" t="n">
        <v>0</v>
      </c>
      <c r="L2472" t="n">
        <v>0</v>
      </c>
      <c r="M2472" t="n">
        <v>0</v>
      </c>
      <c r="N2472" t="n">
        <v>0</v>
      </c>
      <c r="O2472" t="n">
        <v>0</v>
      </c>
      <c r="P2472" t="n">
        <v>0</v>
      </c>
      <c r="Q2472" t="n">
        <v>0</v>
      </c>
      <c r="R2472" s="2" t="inlineStr"/>
    </row>
    <row r="2473" ht="15" customHeight="1">
      <c r="A2473" t="inlineStr">
        <is>
          <t>A 49730-2024</t>
        </is>
      </c>
      <c r="B2473" s="1" t="n">
        <v>45596</v>
      </c>
      <c r="C2473" s="1" t="n">
        <v>45895</v>
      </c>
      <c r="D2473" t="inlineStr">
        <is>
          <t>NORRBOTTENS LÄN</t>
        </is>
      </c>
      <c r="E2473" t="inlineStr">
        <is>
          <t>BODEN</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50103-2024</t>
        </is>
      </c>
      <c r="B2474" s="1" t="n">
        <v>45600.3993287037</v>
      </c>
      <c r="C2474" s="1" t="n">
        <v>45895</v>
      </c>
      <c r="D2474" t="inlineStr">
        <is>
          <t>NORRBOTTENS LÄN</t>
        </is>
      </c>
      <c r="E2474" t="inlineStr">
        <is>
          <t>BODEN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50107-2024</t>
        </is>
      </c>
      <c r="B2475" s="1" t="n">
        <v>45600.40488425926</v>
      </c>
      <c r="C2475" s="1" t="n">
        <v>45895</v>
      </c>
      <c r="D2475" t="inlineStr">
        <is>
          <t>NORRBOTTENS LÄN</t>
        </is>
      </c>
      <c r="E2475" t="inlineStr">
        <is>
          <t>BODEN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50132-2024</t>
        </is>
      </c>
      <c r="B2476" s="1" t="n">
        <v>45600.43767361111</v>
      </c>
      <c r="C2476" s="1" t="n">
        <v>45895</v>
      </c>
      <c r="D2476" t="inlineStr">
        <is>
          <t>NORRBOTTENS LÄN</t>
        </is>
      </c>
      <c r="E2476" t="inlineStr">
        <is>
          <t>KALIX</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44690-2023</t>
        </is>
      </c>
      <c r="B2477" s="1" t="n">
        <v>45189</v>
      </c>
      <c r="C2477" s="1" t="n">
        <v>45895</v>
      </c>
      <c r="D2477" t="inlineStr">
        <is>
          <t>NORRBOTTENS LÄN</t>
        </is>
      </c>
      <c r="E2477" t="inlineStr">
        <is>
          <t>GÄLLIVARE</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52667-2024</t>
        </is>
      </c>
      <c r="B2478" s="1" t="n">
        <v>45610</v>
      </c>
      <c r="C2478" s="1" t="n">
        <v>45895</v>
      </c>
      <c r="D2478" t="inlineStr">
        <is>
          <t>NORRBOTTENS LÄN</t>
        </is>
      </c>
      <c r="E2478" t="inlineStr">
        <is>
          <t>LULEÅ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45218-2023</t>
        </is>
      </c>
      <c r="B2479" s="1" t="n">
        <v>45191</v>
      </c>
      <c r="C2479" s="1" t="n">
        <v>45895</v>
      </c>
      <c r="D2479" t="inlineStr">
        <is>
          <t>NORRBOTTENS LÄN</t>
        </is>
      </c>
      <c r="E2479" t="inlineStr">
        <is>
          <t>KALIX</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57577-2024</t>
        </is>
      </c>
      <c r="B2480" s="1" t="n">
        <v>45630</v>
      </c>
      <c r="C2480" s="1" t="n">
        <v>45895</v>
      </c>
      <c r="D2480" t="inlineStr">
        <is>
          <t>NORRBOTTENS LÄN</t>
        </is>
      </c>
      <c r="E2480" t="inlineStr">
        <is>
          <t>PAJALA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53069-2020</t>
        </is>
      </c>
      <c r="B2481" s="1" t="n">
        <v>44120</v>
      </c>
      <c r="C2481" s="1" t="n">
        <v>45895</v>
      </c>
      <c r="D2481" t="inlineStr">
        <is>
          <t>NORRBOTTENS LÄN</t>
        </is>
      </c>
      <c r="E2481" t="inlineStr">
        <is>
          <t>BODEN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53102-2020</t>
        </is>
      </c>
      <c r="B2482" s="1" t="n">
        <v>44120</v>
      </c>
      <c r="C2482" s="1" t="n">
        <v>45895</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684-2022</t>
        </is>
      </c>
      <c r="B2483" s="1" t="n">
        <v>44568</v>
      </c>
      <c r="C2483" s="1" t="n">
        <v>45895</v>
      </c>
      <c r="D2483" t="inlineStr">
        <is>
          <t>NORRBOTTENS LÄN</t>
        </is>
      </c>
      <c r="E2483" t="inlineStr">
        <is>
          <t>PAJALA</t>
        </is>
      </c>
      <c r="G2483" t="n">
        <v>20.5</v>
      </c>
      <c r="H2483" t="n">
        <v>0</v>
      </c>
      <c r="I2483" t="n">
        <v>0</v>
      </c>
      <c r="J2483" t="n">
        <v>0</v>
      </c>
      <c r="K2483" t="n">
        <v>0</v>
      </c>
      <c r="L2483" t="n">
        <v>0</v>
      </c>
      <c r="M2483" t="n">
        <v>0</v>
      </c>
      <c r="N2483" t="n">
        <v>0</v>
      </c>
      <c r="O2483" t="n">
        <v>0</v>
      </c>
      <c r="P2483" t="n">
        <v>0</v>
      </c>
      <c r="Q2483" t="n">
        <v>0</v>
      </c>
      <c r="R2483" s="2" t="inlineStr"/>
    </row>
    <row r="2484" ht="15" customHeight="1">
      <c r="A2484" t="inlineStr">
        <is>
          <t>A 706-2022</t>
        </is>
      </c>
      <c r="B2484" s="1" t="n">
        <v>44566</v>
      </c>
      <c r="C2484" s="1" t="n">
        <v>45895</v>
      </c>
      <c r="D2484" t="inlineStr">
        <is>
          <t>NORRBOTTENS LÄN</t>
        </is>
      </c>
      <c r="E2484" t="inlineStr">
        <is>
          <t>BODEN</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13119-2025</t>
        </is>
      </c>
      <c r="B2485" s="1" t="n">
        <v>45734</v>
      </c>
      <c r="C2485" s="1" t="n">
        <v>45895</v>
      </c>
      <c r="D2485" t="inlineStr">
        <is>
          <t>NORRBOTTENS LÄN</t>
        </is>
      </c>
      <c r="E2485" t="inlineStr">
        <is>
          <t>ARJEPLOG</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22978-2025</t>
        </is>
      </c>
      <c r="B2486" s="1" t="n">
        <v>45790</v>
      </c>
      <c r="C2486" s="1" t="n">
        <v>45895</v>
      </c>
      <c r="D2486" t="inlineStr">
        <is>
          <t>NORRBOTTENS LÄN</t>
        </is>
      </c>
      <c r="E2486" t="inlineStr">
        <is>
          <t>PITEÅ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20916-2025</t>
        </is>
      </c>
      <c r="B2487" s="1" t="n">
        <v>45777.41037037037</v>
      </c>
      <c r="C2487" s="1" t="n">
        <v>45895</v>
      </c>
      <c r="D2487" t="inlineStr">
        <is>
          <t>NORRBOTTENS LÄN</t>
        </is>
      </c>
      <c r="E2487" t="inlineStr">
        <is>
          <t>ARJEPLOG</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57053-2023</t>
        </is>
      </c>
      <c r="B2488" s="1" t="n">
        <v>45244</v>
      </c>
      <c r="C2488" s="1" t="n">
        <v>45895</v>
      </c>
      <c r="D2488" t="inlineStr">
        <is>
          <t>NORRBOTTENS LÄN</t>
        </is>
      </c>
      <c r="E2488" t="inlineStr">
        <is>
          <t>PITEÅ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22990-2025</t>
        </is>
      </c>
      <c r="B2489" s="1" t="n">
        <v>45790</v>
      </c>
      <c r="C2489" s="1" t="n">
        <v>45895</v>
      </c>
      <c r="D2489" t="inlineStr">
        <is>
          <t>NORRBOTTENS LÄN</t>
        </is>
      </c>
      <c r="E2489" t="inlineStr">
        <is>
          <t>PITEÅ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42639-2024</t>
        </is>
      </c>
      <c r="B2490" s="1" t="n">
        <v>45565.91135416667</v>
      </c>
      <c r="C2490" s="1" t="n">
        <v>45895</v>
      </c>
      <c r="D2490" t="inlineStr">
        <is>
          <t>NORRBOTTENS LÄN</t>
        </is>
      </c>
      <c r="E2490" t="inlineStr">
        <is>
          <t>JOKKMOKK</t>
        </is>
      </c>
      <c r="G2490" t="n">
        <v>34.5</v>
      </c>
      <c r="H2490" t="n">
        <v>0</v>
      </c>
      <c r="I2490" t="n">
        <v>0</v>
      </c>
      <c r="J2490" t="n">
        <v>0</v>
      </c>
      <c r="K2490" t="n">
        <v>0</v>
      </c>
      <c r="L2490" t="n">
        <v>0</v>
      </c>
      <c r="M2490" t="n">
        <v>0</v>
      </c>
      <c r="N2490" t="n">
        <v>0</v>
      </c>
      <c r="O2490" t="n">
        <v>0</v>
      </c>
      <c r="P2490" t="n">
        <v>0</v>
      </c>
      <c r="Q2490" t="n">
        <v>0</v>
      </c>
      <c r="R2490" s="2" t="inlineStr"/>
    </row>
    <row r="2491" ht="15" customHeight="1">
      <c r="A2491" t="inlineStr">
        <is>
          <t>A 61210-2024</t>
        </is>
      </c>
      <c r="B2491" s="1" t="n">
        <v>45645</v>
      </c>
      <c r="C2491" s="1" t="n">
        <v>45895</v>
      </c>
      <c r="D2491" t="inlineStr">
        <is>
          <t>NORRBOTTENS LÄN</t>
        </is>
      </c>
      <c r="E2491" t="inlineStr">
        <is>
          <t>BODEN</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55221-2022</t>
        </is>
      </c>
      <c r="B2492" s="1" t="n">
        <v>44886</v>
      </c>
      <c r="C2492" s="1" t="n">
        <v>45895</v>
      </c>
      <c r="D2492" t="inlineStr">
        <is>
          <t>NORRBOTTENS LÄN</t>
        </is>
      </c>
      <c r="E2492" t="inlineStr">
        <is>
          <t>GÄLLIVARE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55223-2022</t>
        </is>
      </c>
      <c r="B2493" s="1" t="n">
        <v>44886</v>
      </c>
      <c r="C2493" s="1" t="n">
        <v>45895</v>
      </c>
      <c r="D2493" t="inlineStr">
        <is>
          <t>NORRBOTTENS LÄN</t>
        </is>
      </c>
      <c r="E2493" t="inlineStr">
        <is>
          <t>GÄLLIVARE</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31104-2024</t>
        </is>
      </c>
      <c r="B2494" s="1" t="n">
        <v>45502</v>
      </c>
      <c r="C2494" s="1" t="n">
        <v>45895</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52459-2024</t>
        </is>
      </c>
      <c r="B2495" s="1" t="n">
        <v>45609.51568287037</v>
      </c>
      <c r="C2495" s="1" t="n">
        <v>45895</v>
      </c>
      <c r="D2495" t="inlineStr">
        <is>
          <t>NORRBOTTENS LÄN</t>
        </is>
      </c>
      <c r="E2495" t="inlineStr">
        <is>
          <t>KALIX</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51631-2023</t>
        </is>
      </c>
      <c r="B2496" s="1" t="n">
        <v>45222.53628472222</v>
      </c>
      <c r="C2496" s="1" t="n">
        <v>45895</v>
      </c>
      <c r="D2496" t="inlineStr">
        <is>
          <t>NORRBOTTENS LÄN</t>
        </is>
      </c>
      <c r="E2496" t="inlineStr">
        <is>
          <t>ARVIDSJAUR</t>
        </is>
      </c>
      <c r="F2496" t="inlineStr">
        <is>
          <t>Sveaskog</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17536-2023</t>
        </is>
      </c>
      <c r="B2497" s="1" t="n">
        <v>45034</v>
      </c>
      <c r="C2497" s="1" t="n">
        <v>45895</v>
      </c>
      <c r="D2497" t="inlineStr">
        <is>
          <t>NORRBOTTENS LÄN</t>
        </is>
      </c>
      <c r="E2497" t="inlineStr">
        <is>
          <t>ARJEPLOG</t>
        </is>
      </c>
      <c r="F2497" t="inlineStr">
        <is>
          <t>Övriga statliga verk och myndigheter</t>
        </is>
      </c>
      <c r="G2497" t="n">
        <v>20.3</v>
      </c>
      <c r="H2497" t="n">
        <v>0</v>
      </c>
      <c r="I2497" t="n">
        <v>0</v>
      </c>
      <c r="J2497" t="n">
        <v>0</v>
      </c>
      <c r="K2497" t="n">
        <v>0</v>
      </c>
      <c r="L2497" t="n">
        <v>0</v>
      </c>
      <c r="M2497" t="n">
        <v>0</v>
      </c>
      <c r="N2497" t="n">
        <v>0</v>
      </c>
      <c r="O2497" t="n">
        <v>0</v>
      </c>
      <c r="P2497" t="n">
        <v>0</v>
      </c>
      <c r="Q2497" t="n">
        <v>0</v>
      </c>
      <c r="R2497" s="2" t="inlineStr"/>
    </row>
    <row r="2498" ht="15" customHeight="1">
      <c r="A2498" t="inlineStr">
        <is>
          <t>A 22726-2025</t>
        </is>
      </c>
      <c r="B2498" s="1" t="n">
        <v>45789.57393518519</v>
      </c>
      <c r="C2498" s="1" t="n">
        <v>45895</v>
      </c>
      <c r="D2498" t="inlineStr">
        <is>
          <t>NORRBOTTENS LÄN</t>
        </is>
      </c>
      <c r="E2498" t="inlineStr">
        <is>
          <t>ÖVERTORNEÅ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2309-2023</t>
        </is>
      </c>
      <c r="B2499" s="1" t="n">
        <v>44942</v>
      </c>
      <c r="C2499" s="1" t="n">
        <v>45895</v>
      </c>
      <c r="D2499" t="inlineStr">
        <is>
          <t>NORRBOTTENS LÄN</t>
        </is>
      </c>
      <c r="E2499" t="inlineStr">
        <is>
          <t>ARVIDSJAUR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20402-2024</t>
        </is>
      </c>
      <c r="B2500" s="1" t="n">
        <v>45435</v>
      </c>
      <c r="C2500" s="1" t="n">
        <v>45895</v>
      </c>
      <c r="D2500" t="inlineStr">
        <is>
          <t>NORRBOTTENS LÄN</t>
        </is>
      </c>
      <c r="E2500" t="inlineStr">
        <is>
          <t>PITEÅ</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659-2024</t>
        </is>
      </c>
      <c r="B2501" s="1" t="n">
        <v>45299.93310185185</v>
      </c>
      <c r="C2501" s="1" t="n">
        <v>45895</v>
      </c>
      <c r="D2501" t="inlineStr">
        <is>
          <t>NORRBOTTENS LÄN</t>
        </is>
      </c>
      <c r="E2501" t="inlineStr">
        <is>
          <t>KALIX</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33932-2022</t>
        </is>
      </c>
      <c r="B2502" s="1" t="n">
        <v>44790</v>
      </c>
      <c r="C2502" s="1" t="n">
        <v>45895</v>
      </c>
      <c r="D2502" t="inlineStr">
        <is>
          <t>NORRBOTTENS LÄN</t>
        </is>
      </c>
      <c r="E2502" t="inlineStr">
        <is>
          <t>PAJALA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43910-2020</t>
        </is>
      </c>
      <c r="B2503" s="1" t="n">
        <v>44081</v>
      </c>
      <c r="C2503" s="1" t="n">
        <v>45895</v>
      </c>
      <c r="D2503" t="inlineStr">
        <is>
          <t>NORRBOTTENS LÄN</t>
        </is>
      </c>
      <c r="E2503" t="inlineStr">
        <is>
          <t>GÄLLIVARE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32905-2024</t>
        </is>
      </c>
      <c r="B2504" s="1" t="n">
        <v>45516</v>
      </c>
      <c r="C2504" s="1" t="n">
        <v>45895</v>
      </c>
      <c r="D2504" t="inlineStr">
        <is>
          <t>NORRBOTTENS LÄN</t>
        </is>
      </c>
      <c r="E2504" t="inlineStr">
        <is>
          <t>ÄLVSBYN</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32906-2024</t>
        </is>
      </c>
      <c r="B2505" s="1" t="n">
        <v>45516</v>
      </c>
      <c r="C2505" s="1" t="n">
        <v>45895</v>
      </c>
      <c r="D2505" t="inlineStr">
        <is>
          <t>NORRBOTTENS LÄN</t>
        </is>
      </c>
      <c r="E2505" t="inlineStr">
        <is>
          <t>BODEN</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1507-2022</t>
        </is>
      </c>
      <c r="B2506" s="1" t="n">
        <v>44573</v>
      </c>
      <c r="C2506" s="1" t="n">
        <v>45895</v>
      </c>
      <c r="D2506" t="inlineStr">
        <is>
          <t>NORRBOTTENS LÄN</t>
        </is>
      </c>
      <c r="E2506" t="inlineStr">
        <is>
          <t>BODEN</t>
        </is>
      </c>
      <c r="F2506" t="inlineStr">
        <is>
          <t>Övriga statliga verk och myndigheter</t>
        </is>
      </c>
      <c r="G2506" t="n">
        <v>15.4</v>
      </c>
      <c r="H2506" t="n">
        <v>0</v>
      </c>
      <c r="I2506" t="n">
        <v>0</v>
      </c>
      <c r="J2506" t="n">
        <v>0</v>
      </c>
      <c r="K2506" t="n">
        <v>0</v>
      </c>
      <c r="L2506" t="n">
        <v>0</v>
      </c>
      <c r="M2506" t="n">
        <v>0</v>
      </c>
      <c r="N2506" t="n">
        <v>0</v>
      </c>
      <c r="O2506" t="n">
        <v>0</v>
      </c>
      <c r="P2506" t="n">
        <v>0</v>
      </c>
      <c r="Q2506" t="n">
        <v>0</v>
      </c>
      <c r="R2506" s="2" t="inlineStr"/>
    </row>
    <row r="2507" ht="15" customHeight="1">
      <c r="A2507" t="inlineStr">
        <is>
          <t>A 32913-2024</t>
        </is>
      </c>
      <c r="B2507" s="1" t="n">
        <v>45516.94962962963</v>
      </c>
      <c r="C2507" s="1" t="n">
        <v>45895</v>
      </c>
      <c r="D2507" t="inlineStr">
        <is>
          <t>NORRBOTTENS LÄN</t>
        </is>
      </c>
      <c r="E2507" t="inlineStr">
        <is>
          <t>BODEN</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8271-2025</t>
        </is>
      </c>
      <c r="B2508" s="1" t="n">
        <v>45708</v>
      </c>
      <c r="C2508" s="1" t="n">
        <v>45895</v>
      </c>
      <c r="D2508" t="inlineStr">
        <is>
          <t>NORRBOTTENS LÄN</t>
        </is>
      </c>
      <c r="E2508" t="inlineStr">
        <is>
          <t>LULEÅ</t>
        </is>
      </c>
      <c r="G2508" t="n">
        <v>11.4</v>
      </c>
      <c r="H2508" t="n">
        <v>0</v>
      </c>
      <c r="I2508" t="n">
        <v>0</v>
      </c>
      <c r="J2508" t="n">
        <v>0</v>
      </c>
      <c r="K2508" t="n">
        <v>0</v>
      </c>
      <c r="L2508" t="n">
        <v>0</v>
      </c>
      <c r="M2508" t="n">
        <v>0</v>
      </c>
      <c r="N2508" t="n">
        <v>0</v>
      </c>
      <c r="O2508" t="n">
        <v>0</v>
      </c>
      <c r="P2508" t="n">
        <v>0</v>
      </c>
      <c r="Q2508" t="n">
        <v>0</v>
      </c>
      <c r="R2508" s="2" t="inlineStr"/>
    </row>
    <row r="2509" ht="15" customHeight="1">
      <c r="A2509" t="inlineStr">
        <is>
          <t>A 2477-2022</t>
        </is>
      </c>
      <c r="B2509" s="1" t="n">
        <v>44579.64950231482</v>
      </c>
      <c r="C2509" s="1" t="n">
        <v>45895</v>
      </c>
      <c r="D2509" t="inlineStr">
        <is>
          <t>NORRBOTTENS LÄN</t>
        </is>
      </c>
      <c r="E2509" t="inlineStr">
        <is>
          <t>HAPARANDA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32477-2024</t>
        </is>
      </c>
      <c r="B2510" s="1" t="n">
        <v>45513</v>
      </c>
      <c r="C2510" s="1" t="n">
        <v>45895</v>
      </c>
      <c r="D2510" t="inlineStr">
        <is>
          <t>NORRBOTTENS LÄN</t>
        </is>
      </c>
      <c r="E2510" t="inlineStr">
        <is>
          <t>ÖVERKALIX</t>
        </is>
      </c>
      <c r="F2510" t="inlineStr">
        <is>
          <t>Sveaskog</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62014-2023</t>
        </is>
      </c>
      <c r="B2511" s="1" t="n">
        <v>45266.64538194444</v>
      </c>
      <c r="C2511" s="1" t="n">
        <v>45895</v>
      </c>
      <c r="D2511" t="inlineStr">
        <is>
          <t>NORRBOTTENS LÄN</t>
        </is>
      </c>
      <c r="E2511" t="inlineStr">
        <is>
          <t>PITEÅ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55857-2024</t>
        </is>
      </c>
      <c r="B2512" s="1" t="n">
        <v>45622</v>
      </c>
      <c r="C2512" s="1" t="n">
        <v>45895</v>
      </c>
      <c r="D2512" t="inlineStr">
        <is>
          <t>NORRBOTTENS LÄN</t>
        </is>
      </c>
      <c r="E2512" t="inlineStr">
        <is>
          <t>ÖVERKALIX</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36463-2021</t>
        </is>
      </c>
      <c r="B2513" s="1" t="n">
        <v>44391</v>
      </c>
      <c r="C2513" s="1" t="n">
        <v>45895</v>
      </c>
      <c r="D2513" t="inlineStr">
        <is>
          <t>NORRBOTTENS LÄN</t>
        </is>
      </c>
      <c r="E2513" t="inlineStr">
        <is>
          <t>BODEN</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35234-2021</t>
        </is>
      </c>
      <c r="B2514" s="1" t="n">
        <v>44384</v>
      </c>
      <c r="C2514" s="1" t="n">
        <v>45895</v>
      </c>
      <c r="D2514" t="inlineStr">
        <is>
          <t>NORRBOTTENS LÄN</t>
        </is>
      </c>
      <c r="E2514" t="inlineStr">
        <is>
          <t>LULEÅ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7942-2023</t>
        </is>
      </c>
      <c r="B2515" s="1" t="n">
        <v>44970</v>
      </c>
      <c r="C2515" s="1" t="n">
        <v>45895</v>
      </c>
      <c r="D2515" t="inlineStr">
        <is>
          <t>NORRBOTTENS LÄN</t>
        </is>
      </c>
      <c r="E2515" t="inlineStr">
        <is>
          <t>PAJALA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58827-2024</t>
        </is>
      </c>
      <c r="B2516" s="1" t="n">
        <v>45635</v>
      </c>
      <c r="C2516" s="1" t="n">
        <v>45895</v>
      </c>
      <c r="D2516" t="inlineStr">
        <is>
          <t>NORRBOTTENS LÄN</t>
        </is>
      </c>
      <c r="E2516" t="inlineStr">
        <is>
          <t>LULEÅ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57111-2024</t>
        </is>
      </c>
      <c r="B2517" s="1" t="n">
        <v>45629.36480324074</v>
      </c>
      <c r="C2517" s="1" t="n">
        <v>45895</v>
      </c>
      <c r="D2517" t="inlineStr">
        <is>
          <t>NORRBOTTENS LÄN</t>
        </is>
      </c>
      <c r="E2517" t="inlineStr">
        <is>
          <t>ÖVERTORNEÅ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57115-2024</t>
        </is>
      </c>
      <c r="B2518" s="1" t="n">
        <v>45629.36509259259</v>
      </c>
      <c r="C2518" s="1" t="n">
        <v>45895</v>
      </c>
      <c r="D2518" t="inlineStr">
        <is>
          <t>NORRBOTTENS LÄN</t>
        </is>
      </c>
      <c r="E2518" t="inlineStr">
        <is>
          <t>LULEÅ</t>
        </is>
      </c>
      <c r="G2518" t="n">
        <v>10.4</v>
      </c>
      <c r="H2518" t="n">
        <v>0</v>
      </c>
      <c r="I2518" t="n">
        <v>0</v>
      </c>
      <c r="J2518" t="n">
        <v>0</v>
      </c>
      <c r="K2518" t="n">
        <v>0</v>
      </c>
      <c r="L2518" t="n">
        <v>0</v>
      </c>
      <c r="M2518" t="n">
        <v>0</v>
      </c>
      <c r="N2518" t="n">
        <v>0</v>
      </c>
      <c r="O2518" t="n">
        <v>0</v>
      </c>
      <c r="P2518" t="n">
        <v>0</v>
      </c>
      <c r="Q2518" t="n">
        <v>0</v>
      </c>
      <c r="R2518" s="2" t="inlineStr"/>
    </row>
    <row r="2519" ht="15" customHeight="1">
      <c r="A2519" t="inlineStr">
        <is>
          <t>A 58055-2024</t>
        </is>
      </c>
      <c r="B2519" s="1" t="n">
        <v>45631.86152777778</v>
      </c>
      <c r="C2519" s="1" t="n">
        <v>45895</v>
      </c>
      <c r="D2519" t="inlineStr">
        <is>
          <t>NORRBOTTENS LÄN</t>
        </is>
      </c>
      <c r="E2519" t="inlineStr">
        <is>
          <t>PAJALA</t>
        </is>
      </c>
      <c r="G2519" t="n">
        <v>20.3</v>
      </c>
      <c r="H2519" t="n">
        <v>0</v>
      </c>
      <c r="I2519" t="n">
        <v>0</v>
      </c>
      <c r="J2519" t="n">
        <v>0</v>
      </c>
      <c r="K2519" t="n">
        <v>0</v>
      </c>
      <c r="L2519" t="n">
        <v>0</v>
      </c>
      <c r="M2519" t="n">
        <v>0</v>
      </c>
      <c r="N2519" t="n">
        <v>0</v>
      </c>
      <c r="O2519" t="n">
        <v>0</v>
      </c>
      <c r="P2519" t="n">
        <v>0</v>
      </c>
      <c r="Q2519" t="n">
        <v>0</v>
      </c>
      <c r="R2519" s="2" t="inlineStr"/>
    </row>
    <row r="2520" ht="15" customHeight="1">
      <c r="A2520" t="inlineStr">
        <is>
          <t>A 60466-2024</t>
        </is>
      </c>
      <c r="B2520" s="1" t="n">
        <v>45643</v>
      </c>
      <c r="C2520" s="1" t="n">
        <v>45895</v>
      </c>
      <c r="D2520" t="inlineStr">
        <is>
          <t>NORRBOTTENS LÄN</t>
        </is>
      </c>
      <c r="E2520" t="inlineStr">
        <is>
          <t>BODEN</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46037-2021</t>
        </is>
      </c>
      <c r="B2521" s="1" t="n">
        <v>44441</v>
      </c>
      <c r="C2521" s="1" t="n">
        <v>45895</v>
      </c>
      <c r="D2521" t="inlineStr">
        <is>
          <t>NORRBOTTENS LÄN</t>
        </is>
      </c>
      <c r="E2521" t="inlineStr">
        <is>
          <t>ÖVERTORNEÅ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23109-2025</t>
        </is>
      </c>
      <c r="B2522" s="1" t="n">
        <v>45791.36502314815</v>
      </c>
      <c r="C2522" s="1" t="n">
        <v>45895</v>
      </c>
      <c r="D2522" t="inlineStr">
        <is>
          <t>NORRBOTTENS LÄN</t>
        </is>
      </c>
      <c r="E2522" t="inlineStr">
        <is>
          <t>PAJALA</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817-2025</t>
        </is>
      </c>
      <c r="B2523" s="1" t="n">
        <v>45664</v>
      </c>
      <c r="C2523" s="1" t="n">
        <v>45895</v>
      </c>
      <c r="D2523" t="inlineStr">
        <is>
          <t>NORRBOTTENS LÄN</t>
        </is>
      </c>
      <c r="E2523" t="inlineStr">
        <is>
          <t>LULEÅ</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25309-2024</t>
        </is>
      </c>
      <c r="B2524" s="1" t="n">
        <v>45462</v>
      </c>
      <c r="C2524" s="1" t="n">
        <v>45895</v>
      </c>
      <c r="D2524" t="inlineStr">
        <is>
          <t>NORRBOTTENS LÄN</t>
        </is>
      </c>
      <c r="E2524" t="inlineStr">
        <is>
          <t>ÖVERTORNEÅ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20286-2025</t>
        </is>
      </c>
      <c r="B2525" s="1" t="n">
        <v>45774</v>
      </c>
      <c r="C2525" s="1" t="n">
        <v>45895</v>
      </c>
      <c r="D2525" t="inlineStr">
        <is>
          <t>NORRBOTTENS LÄN</t>
        </is>
      </c>
      <c r="E2525" t="inlineStr">
        <is>
          <t>GÄLLIVARE</t>
        </is>
      </c>
      <c r="F2525" t="inlineStr">
        <is>
          <t>SCA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20289-2025</t>
        </is>
      </c>
      <c r="B2526" s="1" t="n">
        <v>45774</v>
      </c>
      <c r="C2526" s="1" t="n">
        <v>45895</v>
      </c>
      <c r="D2526" t="inlineStr">
        <is>
          <t>NORRBOTTENS LÄN</t>
        </is>
      </c>
      <c r="E2526" t="inlineStr">
        <is>
          <t>BODEN</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7713-2025</t>
        </is>
      </c>
      <c r="B2527" s="1" t="n">
        <v>45706.42768518518</v>
      </c>
      <c r="C2527" s="1" t="n">
        <v>45895</v>
      </c>
      <c r="D2527" t="inlineStr">
        <is>
          <t>NORRBOTTENS LÄN</t>
        </is>
      </c>
      <c r="E2527" t="inlineStr">
        <is>
          <t>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57811-2024</t>
        </is>
      </c>
      <c r="B2528" s="1" t="n">
        <v>45631</v>
      </c>
      <c r="C2528" s="1" t="n">
        <v>45895</v>
      </c>
      <c r="D2528" t="inlineStr">
        <is>
          <t>NORRBOTTENS LÄN</t>
        </is>
      </c>
      <c r="E2528" t="inlineStr">
        <is>
          <t>PITEÅ</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10060-2025</t>
        </is>
      </c>
      <c r="B2529" s="1" t="n">
        <v>45719.53412037037</v>
      </c>
      <c r="C2529" s="1" t="n">
        <v>45895</v>
      </c>
      <c r="D2529" t="inlineStr">
        <is>
          <t>NORRBOTTENS LÄN</t>
        </is>
      </c>
      <c r="E2529" t="inlineStr">
        <is>
          <t>KALIX</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8903-2025</t>
        </is>
      </c>
      <c r="B2530" s="1" t="n">
        <v>45712</v>
      </c>
      <c r="C2530" s="1" t="n">
        <v>45895</v>
      </c>
      <c r="D2530" t="inlineStr">
        <is>
          <t>NORRBOTTENS LÄN</t>
        </is>
      </c>
      <c r="E2530" t="inlineStr">
        <is>
          <t>LULEÅ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10065-2025</t>
        </is>
      </c>
      <c r="B2531" s="1" t="n">
        <v>45719.54244212963</v>
      </c>
      <c r="C2531" s="1" t="n">
        <v>45895</v>
      </c>
      <c r="D2531" t="inlineStr">
        <is>
          <t>NORRBOTTENS LÄN</t>
        </is>
      </c>
      <c r="E2531" t="inlineStr">
        <is>
          <t>KALIX</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23404-2025</t>
        </is>
      </c>
      <c r="B2532" s="1" t="n">
        <v>45792</v>
      </c>
      <c r="C2532" s="1" t="n">
        <v>45895</v>
      </c>
      <c r="D2532" t="inlineStr">
        <is>
          <t>NORRBOTTENS LÄN</t>
        </is>
      </c>
      <c r="E2532" t="inlineStr">
        <is>
          <t>ÄLVSBYN</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32511-2021</t>
        </is>
      </c>
      <c r="B2533" s="1" t="n">
        <v>44374</v>
      </c>
      <c r="C2533" s="1" t="n">
        <v>45895</v>
      </c>
      <c r="D2533" t="inlineStr">
        <is>
          <t>NORRBOTTENS LÄN</t>
        </is>
      </c>
      <c r="E2533" t="inlineStr">
        <is>
          <t>BODEN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15081-2021</t>
        </is>
      </c>
      <c r="B2534" s="1" t="n">
        <v>44281</v>
      </c>
      <c r="C2534" s="1" t="n">
        <v>45895</v>
      </c>
      <c r="D2534" t="inlineStr">
        <is>
          <t>NORRBOTTENS LÄN</t>
        </is>
      </c>
      <c r="E2534" t="inlineStr">
        <is>
          <t>PITEÅ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23647-2025</t>
        </is>
      </c>
      <c r="B2535" s="1" t="n">
        <v>45792.6985300926</v>
      </c>
      <c r="C2535" s="1" t="n">
        <v>45895</v>
      </c>
      <c r="D2535" t="inlineStr">
        <is>
          <t>NORRBOTTENS LÄN</t>
        </is>
      </c>
      <c r="E2535" t="inlineStr">
        <is>
          <t>KALIX</t>
        </is>
      </c>
      <c r="F2535" t="inlineStr">
        <is>
          <t>SCA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23505-2025</t>
        </is>
      </c>
      <c r="B2536" s="1" t="n">
        <v>45792</v>
      </c>
      <c r="C2536" s="1" t="n">
        <v>45895</v>
      </c>
      <c r="D2536" t="inlineStr">
        <is>
          <t>NORRBOTTENS LÄN</t>
        </is>
      </c>
      <c r="E2536" t="inlineStr">
        <is>
          <t>LULEÅ</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23520-2025</t>
        </is>
      </c>
      <c r="B2537" s="1" t="n">
        <v>45792.51074074074</v>
      </c>
      <c r="C2537" s="1" t="n">
        <v>45895</v>
      </c>
      <c r="D2537" t="inlineStr">
        <is>
          <t>NORRBOTTENS LÄN</t>
        </is>
      </c>
      <c r="E2537" t="inlineStr">
        <is>
          <t>LULEÅ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23524-2025</t>
        </is>
      </c>
      <c r="B2538" s="1" t="n">
        <v>45792</v>
      </c>
      <c r="C2538" s="1" t="n">
        <v>45895</v>
      </c>
      <c r="D2538" t="inlineStr">
        <is>
          <t>NORRBOTTENS LÄN</t>
        </is>
      </c>
      <c r="E2538" t="inlineStr">
        <is>
          <t>LULEÅ</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28314-2024</t>
        </is>
      </c>
      <c r="B2539" s="1" t="n">
        <v>45477</v>
      </c>
      <c r="C2539" s="1" t="n">
        <v>45895</v>
      </c>
      <c r="D2539" t="inlineStr">
        <is>
          <t>NORRBOTTENS LÄN</t>
        </is>
      </c>
      <c r="E2539" t="inlineStr">
        <is>
          <t>ÄLVSBYN</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55588-2023</t>
        </is>
      </c>
      <c r="B2540" s="1" t="n">
        <v>45238.67594907407</v>
      </c>
      <c r="C2540" s="1" t="n">
        <v>45895</v>
      </c>
      <c r="D2540" t="inlineStr">
        <is>
          <t>NORRBOTTENS LÄN</t>
        </is>
      </c>
      <c r="E2540" t="inlineStr">
        <is>
          <t>GÄLLIVARE</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17421-2023</t>
        </is>
      </c>
      <c r="B2541" s="1" t="n">
        <v>45035.92607638889</v>
      </c>
      <c r="C2541" s="1" t="n">
        <v>45895</v>
      </c>
      <c r="D2541" t="inlineStr">
        <is>
          <t>NORRBOTTENS LÄN</t>
        </is>
      </c>
      <c r="E2541" t="inlineStr">
        <is>
          <t>LULEÅ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17423-2023</t>
        </is>
      </c>
      <c r="B2542" s="1" t="n">
        <v>45035.92623842593</v>
      </c>
      <c r="C2542" s="1" t="n">
        <v>45895</v>
      </c>
      <c r="D2542" t="inlineStr">
        <is>
          <t>NORRBOTTENS LÄN</t>
        </is>
      </c>
      <c r="E2542" t="inlineStr">
        <is>
          <t>PITEÅ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17425-2023</t>
        </is>
      </c>
      <c r="B2543" s="1" t="n">
        <v>45035</v>
      </c>
      <c r="C2543" s="1" t="n">
        <v>45895</v>
      </c>
      <c r="D2543" t="inlineStr">
        <is>
          <t>NORRBOTTENS LÄN</t>
        </is>
      </c>
      <c r="E2543" t="inlineStr">
        <is>
          <t>LULEÅ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48770-2021</t>
        </is>
      </c>
      <c r="B2544" s="1" t="n">
        <v>44452</v>
      </c>
      <c r="C2544" s="1" t="n">
        <v>45895</v>
      </c>
      <c r="D2544" t="inlineStr">
        <is>
          <t>NORRBOTTENS LÄN</t>
        </is>
      </c>
      <c r="E2544" t="inlineStr">
        <is>
          <t>ÖVERTORNEÅ</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17447-2023</t>
        </is>
      </c>
      <c r="B2545" s="1" t="n">
        <v>45035</v>
      </c>
      <c r="C2545" s="1" t="n">
        <v>45895</v>
      </c>
      <c r="D2545" t="inlineStr">
        <is>
          <t>NORRBOTTENS LÄN</t>
        </is>
      </c>
      <c r="E2545" t="inlineStr">
        <is>
          <t>PITEÅ</t>
        </is>
      </c>
      <c r="F2545" t="inlineStr">
        <is>
          <t>SCA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48792-2021</t>
        </is>
      </c>
      <c r="B2546" s="1" t="n">
        <v>44452</v>
      </c>
      <c r="C2546" s="1" t="n">
        <v>45895</v>
      </c>
      <c r="D2546" t="inlineStr">
        <is>
          <t>NORRBOTTENS LÄN</t>
        </is>
      </c>
      <c r="E2546" t="inlineStr">
        <is>
          <t>ÖVERTORNEÅ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52327-2022</t>
        </is>
      </c>
      <c r="B2547" s="1" t="n">
        <v>44873</v>
      </c>
      <c r="C2547" s="1" t="n">
        <v>45895</v>
      </c>
      <c r="D2547" t="inlineStr">
        <is>
          <t>NORRBOTTENS LÄN</t>
        </is>
      </c>
      <c r="E2547" t="inlineStr">
        <is>
          <t>ÄLVSBYN</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64826-2023</t>
        </is>
      </c>
      <c r="B2548" s="1" t="n">
        <v>45281</v>
      </c>
      <c r="C2548" s="1" t="n">
        <v>45895</v>
      </c>
      <c r="D2548" t="inlineStr">
        <is>
          <t>NORRBOTTENS LÄN</t>
        </is>
      </c>
      <c r="E2548" t="inlineStr">
        <is>
          <t>ARJEPLOG</t>
        </is>
      </c>
      <c r="F2548" t="inlineStr">
        <is>
          <t>Sveaskog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23893-2024</t>
        </is>
      </c>
      <c r="B2549" s="1" t="n">
        <v>45455</v>
      </c>
      <c r="C2549" s="1" t="n">
        <v>45895</v>
      </c>
      <c r="D2549" t="inlineStr">
        <is>
          <t>NORRBOTTENS LÄN</t>
        </is>
      </c>
      <c r="E2549" t="inlineStr">
        <is>
          <t>PAJALA</t>
        </is>
      </c>
      <c r="F2549" t="inlineStr">
        <is>
          <t>Sveaskog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23613-2025</t>
        </is>
      </c>
      <c r="B2550" s="1" t="n">
        <v>45792</v>
      </c>
      <c r="C2550" s="1" t="n">
        <v>45895</v>
      </c>
      <c r="D2550" t="inlineStr">
        <is>
          <t>NORRBOTTENS LÄN</t>
        </is>
      </c>
      <c r="E2550" t="inlineStr">
        <is>
          <t>ÖVERTORNEÅ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36286-2024</t>
        </is>
      </c>
      <c r="B2551" s="1" t="n">
        <v>45534</v>
      </c>
      <c r="C2551" s="1" t="n">
        <v>45895</v>
      </c>
      <c r="D2551" t="inlineStr">
        <is>
          <t>NORRBOTTENS LÄN</t>
        </is>
      </c>
      <c r="E2551" t="inlineStr">
        <is>
          <t>ÖVERTORNEÅ</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22480-2024</t>
        </is>
      </c>
      <c r="B2552" s="1" t="n">
        <v>45446</v>
      </c>
      <c r="C2552" s="1" t="n">
        <v>45895</v>
      </c>
      <c r="D2552" t="inlineStr">
        <is>
          <t>NORRBOTTENS LÄN</t>
        </is>
      </c>
      <c r="E2552" t="inlineStr">
        <is>
          <t>KALIX</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14375-2021</t>
        </is>
      </c>
      <c r="B2553" s="1" t="n">
        <v>44279</v>
      </c>
      <c r="C2553" s="1" t="n">
        <v>45895</v>
      </c>
      <c r="D2553" t="inlineStr">
        <is>
          <t>NORRBOTTENS LÄN</t>
        </is>
      </c>
      <c r="E2553" t="inlineStr">
        <is>
          <t>ARJEPLOG</t>
        </is>
      </c>
      <c r="F2553" t="inlineStr">
        <is>
          <t>Övriga statliga verk och myndigheter</t>
        </is>
      </c>
      <c r="G2553" t="n">
        <v>60</v>
      </c>
      <c r="H2553" t="n">
        <v>0</v>
      </c>
      <c r="I2553" t="n">
        <v>0</v>
      </c>
      <c r="J2553" t="n">
        <v>0</v>
      </c>
      <c r="K2553" t="n">
        <v>0</v>
      </c>
      <c r="L2553" t="n">
        <v>0</v>
      </c>
      <c r="M2553" t="n">
        <v>0</v>
      </c>
      <c r="N2553" t="n">
        <v>0</v>
      </c>
      <c r="O2553" t="n">
        <v>0</v>
      </c>
      <c r="P2553" t="n">
        <v>0</v>
      </c>
      <c r="Q2553" t="n">
        <v>0</v>
      </c>
      <c r="R2553" s="2" t="inlineStr"/>
    </row>
    <row r="2554" ht="15" customHeight="1">
      <c r="A2554" t="inlineStr">
        <is>
          <t>A 22494-2024</t>
        </is>
      </c>
      <c r="B2554" s="1" t="n">
        <v>45447</v>
      </c>
      <c r="C2554" s="1" t="n">
        <v>45895</v>
      </c>
      <c r="D2554" t="inlineStr">
        <is>
          <t>NORRBOTTENS LÄN</t>
        </is>
      </c>
      <c r="E2554" t="inlineStr">
        <is>
          <t>KIRUNA</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30785-2024</t>
        </is>
      </c>
      <c r="B2555" s="1" t="n">
        <v>45496</v>
      </c>
      <c r="C2555" s="1" t="n">
        <v>45895</v>
      </c>
      <c r="D2555" t="inlineStr">
        <is>
          <t>NORRBOTTENS LÄN</t>
        </is>
      </c>
      <c r="E2555" t="inlineStr">
        <is>
          <t>LULEÅ</t>
        </is>
      </c>
      <c r="F2555" t="inlineStr">
        <is>
          <t>Naturvårdsverket</t>
        </is>
      </c>
      <c r="G2555" t="n">
        <v>11.7</v>
      </c>
      <c r="H2555" t="n">
        <v>0</v>
      </c>
      <c r="I2555" t="n">
        <v>0</v>
      </c>
      <c r="J2555" t="n">
        <v>0</v>
      </c>
      <c r="K2555" t="n">
        <v>0</v>
      </c>
      <c r="L2555" t="n">
        <v>0</v>
      </c>
      <c r="M2555" t="n">
        <v>0</v>
      </c>
      <c r="N2555" t="n">
        <v>0</v>
      </c>
      <c r="O2555" t="n">
        <v>0</v>
      </c>
      <c r="P2555" t="n">
        <v>0</v>
      </c>
      <c r="Q2555" t="n">
        <v>0</v>
      </c>
      <c r="R2555" s="2" t="inlineStr"/>
    </row>
    <row r="2556" ht="15" customHeight="1">
      <c r="A2556" t="inlineStr">
        <is>
          <t>A 23558-2025</t>
        </is>
      </c>
      <c r="B2556" s="1" t="n">
        <v>45792.58125</v>
      </c>
      <c r="C2556" s="1" t="n">
        <v>45895</v>
      </c>
      <c r="D2556" t="inlineStr">
        <is>
          <t>NORRBOTTENS LÄN</t>
        </is>
      </c>
      <c r="E2556" t="inlineStr">
        <is>
          <t>PAJALA</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41130-2023</t>
        </is>
      </c>
      <c r="B2557" s="1" t="n">
        <v>45173</v>
      </c>
      <c r="C2557" s="1" t="n">
        <v>45895</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2823-2024</t>
        </is>
      </c>
      <c r="B2558" s="1" t="n">
        <v>45314</v>
      </c>
      <c r="C2558" s="1" t="n">
        <v>45895</v>
      </c>
      <c r="D2558" t="inlineStr">
        <is>
          <t>NORRBOTTENS LÄN</t>
        </is>
      </c>
      <c r="E2558" t="inlineStr">
        <is>
          <t>PAJALA</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23317-2025</t>
        </is>
      </c>
      <c r="B2559" s="1" t="n">
        <v>45791.61278935185</v>
      </c>
      <c r="C2559" s="1" t="n">
        <v>45895</v>
      </c>
      <c r="D2559" t="inlineStr">
        <is>
          <t>NORRBOTTENS LÄN</t>
        </is>
      </c>
      <c r="E2559" t="inlineStr">
        <is>
          <t>JOKKMOKK</t>
        </is>
      </c>
      <c r="F2559" t="inlineStr">
        <is>
          <t>Sveaskog</t>
        </is>
      </c>
      <c r="G2559" t="n">
        <v>22.4</v>
      </c>
      <c r="H2559" t="n">
        <v>0</v>
      </c>
      <c r="I2559" t="n">
        <v>0</v>
      </c>
      <c r="J2559" t="n">
        <v>0</v>
      </c>
      <c r="K2559" t="n">
        <v>0</v>
      </c>
      <c r="L2559" t="n">
        <v>0</v>
      </c>
      <c r="M2559" t="n">
        <v>0</v>
      </c>
      <c r="N2559" t="n">
        <v>0</v>
      </c>
      <c r="O2559" t="n">
        <v>0</v>
      </c>
      <c r="P2559" t="n">
        <v>0</v>
      </c>
      <c r="Q2559" t="n">
        <v>0</v>
      </c>
      <c r="R2559" s="2" t="inlineStr"/>
    </row>
    <row r="2560" ht="15" customHeight="1">
      <c r="A2560" t="inlineStr">
        <is>
          <t>A 18053-2024</t>
        </is>
      </c>
      <c r="B2560" s="1" t="n">
        <v>45420</v>
      </c>
      <c r="C2560" s="1" t="n">
        <v>45895</v>
      </c>
      <c r="D2560" t="inlineStr">
        <is>
          <t>NORRBOTTENS LÄN</t>
        </is>
      </c>
      <c r="E2560" t="inlineStr">
        <is>
          <t>LULEÅ</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18057-2024</t>
        </is>
      </c>
      <c r="B2561" s="1" t="n">
        <v>45420</v>
      </c>
      <c r="C2561" s="1" t="n">
        <v>45895</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56754-2024</t>
        </is>
      </c>
      <c r="B2562" s="1" t="n">
        <v>45625</v>
      </c>
      <c r="C2562" s="1" t="n">
        <v>45895</v>
      </c>
      <c r="D2562" t="inlineStr">
        <is>
          <t>NORRBOTTENS LÄN</t>
        </is>
      </c>
      <c r="E2562" t="inlineStr">
        <is>
          <t>ARJEPLOG</t>
        </is>
      </c>
      <c r="G2562" t="n">
        <v>11.5</v>
      </c>
      <c r="H2562" t="n">
        <v>0</v>
      </c>
      <c r="I2562" t="n">
        <v>0</v>
      </c>
      <c r="J2562" t="n">
        <v>0</v>
      </c>
      <c r="K2562" t="n">
        <v>0</v>
      </c>
      <c r="L2562" t="n">
        <v>0</v>
      </c>
      <c r="M2562" t="n">
        <v>0</v>
      </c>
      <c r="N2562" t="n">
        <v>0</v>
      </c>
      <c r="O2562" t="n">
        <v>0</v>
      </c>
      <c r="P2562" t="n">
        <v>0</v>
      </c>
      <c r="Q2562" t="n">
        <v>0</v>
      </c>
      <c r="R2562" s="2" t="inlineStr"/>
    </row>
    <row r="2563" ht="15" customHeight="1">
      <c r="A2563" t="inlineStr">
        <is>
          <t>A 12682-2022</t>
        </is>
      </c>
      <c r="B2563" s="1" t="n">
        <v>44641</v>
      </c>
      <c r="C2563" s="1" t="n">
        <v>45895</v>
      </c>
      <c r="D2563" t="inlineStr">
        <is>
          <t>NORRBOTTENS LÄN</t>
        </is>
      </c>
      <c r="E2563" t="inlineStr">
        <is>
          <t>PAJALA</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61518-2023</t>
        </is>
      </c>
      <c r="B2564" s="1" t="n">
        <v>45265.33850694444</v>
      </c>
      <c r="C2564" s="1" t="n">
        <v>45895</v>
      </c>
      <c r="D2564" t="inlineStr">
        <is>
          <t>NORRBOTTENS LÄN</t>
        </is>
      </c>
      <c r="E2564" t="inlineStr">
        <is>
          <t>ÄLVSBYN</t>
        </is>
      </c>
      <c r="F2564" t="inlineStr">
        <is>
          <t>Sveaskog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56544-2024</t>
        </is>
      </c>
      <c r="B2565" s="1" t="n">
        <v>45625.56363425926</v>
      </c>
      <c r="C2565" s="1" t="n">
        <v>45895</v>
      </c>
      <c r="D2565" t="inlineStr">
        <is>
          <t>NORRBOTTENS LÄN</t>
        </is>
      </c>
      <c r="E2565" t="inlineStr">
        <is>
          <t>ÖVERTORNEÅ</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23150-2025</t>
        </is>
      </c>
      <c r="B2566" s="1" t="n">
        <v>45791</v>
      </c>
      <c r="C2566" s="1" t="n">
        <v>45895</v>
      </c>
      <c r="D2566" t="inlineStr">
        <is>
          <t>NORRBOTTENS LÄN</t>
        </is>
      </c>
      <c r="E2566" t="inlineStr">
        <is>
          <t>ÄLVSBYN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29677-2024</t>
        </is>
      </c>
      <c r="B2567" s="1" t="n">
        <v>45484</v>
      </c>
      <c r="C2567" s="1" t="n">
        <v>45895</v>
      </c>
      <c r="D2567" t="inlineStr">
        <is>
          <t>NORRBOTTENS LÄN</t>
        </is>
      </c>
      <c r="E2567" t="inlineStr">
        <is>
          <t>ARVIDSJAUR</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23323-2025</t>
        </is>
      </c>
      <c r="B2568" s="1" t="n">
        <v>45791.61981481482</v>
      </c>
      <c r="C2568" s="1" t="n">
        <v>45895</v>
      </c>
      <c r="D2568" t="inlineStr">
        <is>
          <t>NORRBOTTENS LÄN</t>
        </is>
      </c>
      <c r="E2568" t="inlineStr">
        <is>
          <t>BODEN</t>
        </is>
      </c>
      <c r="F2568" t="inlineStr">
        <is>
          <t>Sveaskog</t>
        </is>
      </c>
      <c r="G2568" t="n">
        <v>21.8</v>
      </c>
      <c r="H2568" t="n">
        <v>0</v>
      </c>
      <c r="I2568" t="n">
        <v>0</v>
      </c>
      <c r="J2568" t="n">
        <v>0</v>
      </c>
      <c r="K2568" t="n">
        <v>0</v>
      </c>
      <c r="L2568" t="n">
        <v>0</v>
      </c>
      <c r="M2568" t="n">
        <v>0</v>
      </c>
      <c r="N2568" t="n">
        <v>0</v>
      </c>
      <c r="O2568" t="n">
        <v>0</v>
      </c>
      <c r="P2568" t="n">
        <v>0</v>
      </c>
      <c r="Q2568" t="n">
        <v>0</v>
      </c>
      <c r="R2568" s="2" t="inlineStr"/>
    </row>
    <row r="2569" ht="15" customHeight="1">
      <c r="A2569" t="inlineStr">
        <is>
          <t>A 58981-2024</t>
        </is>
      </c>
      <c r="B2569" s="1" t="n">
        <v>45636.61908564815</v>
      </c>
      <c r="C2569" s="1" t="n">
        <v>45895</v>
      </c>
      <c r="D2569" t="inlineStr">
        <is>
          <t>NORRBOTTENS LÄN</t>
        </is>
      </c>
      <c r="E2569" t="inlineStr">
        <is>
          <t>HAPARANDA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5723-2024</t>
        </is>
      </c>
      <c r="B2570" s="1" t="n">
        <v>45334</v>
      </c>
      <c r="C2570" s="1" t="n">
        <v>45895</v>
      </c>
      <c r="D2570" t="inlineStr">
        <is>
          <t>NORRBOTTENS LÄN</t>
        </is>
      </c>
      <c r="E2570" t="inlineStr">
        <is>
          <t>ÖVERKALIX</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59698-2024</t>
        </is>
      </c>
      <c r="B2571" s="1" t="n">
        <v>45639</v>
      </c>
      <c r="C2571" s="1" t="n">
        <v>45895</v>
      </c>
      <c r="D2571" t="inlineStr">
        <is>
          <t>NORRBOTTENS LÄN</t>
        </is>
      </c>
      <c r="E2571" t="inlineStr">
        <is>
          <t>GÄLLIVARE</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59704-2024</t>
        </is>
      </c>
      <c r="B2572" s="1" t="n">
        <v>45639</v>
      </c>
      <c r="C2572" s="1" t="n">
        <v>45895</v>
      </c>
      <c r="D2572" t="inlineStr">
        <is>
          <t>NORRBOTTENS LÄN</t>
        </is>
      </c>
      <c r="E2572" t="inlineStr">
        <is>
          <t>GÄLLIVARE</t>
        </is>
      </c>
      <c r="F2572" t="inlineStr">
        <is>
          <t>Sveaskog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41157-2024</t>
        </is>
      </c>
      <c r="B2573" s="1" t="n">
        <v>45559.4780787037</v>
      </c>
      <c r="C2573" s="1" t="n">
        <v>45895</v>
      </c>
      <c r="D2573" t="inlineStr">
        <is>
          <t>NORRBOTTENS LÄN</t>
        </is>
      </c>
      <c r="E2573" t="inlineStr">
        <is>
          <t>PITEÅ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46951-2024</t>
        </is>
      </c>
      <c r="B2574" s="1" t="n">
        <v>45585</v>
      </c>
      <c r="C2574" s="1" t="n">
        <v>45895</v>
      </c>
      <c r="D2574" t="inlineStr">
        <is>
          <t>NORRBOTTENS LÄN</t>
        </is>
      </c>
      <c r="E2574" t="inlineStr">
        <is>
          <t>PAJALA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31535-2024</t>
        </is>
      </c>
      <c r="B2575" s="1" t="n">
        <v>45505</v>
      </c>
      <c r="C2575" s="1" t="n">
        <v>45895</v>
      </c>
      <c r="D2575" t="inlineStr">
        <is>
          <t>NORRBOTTENS LÄN</t>
        </is>
      </c>
      <c r="E2575" t="inlineStr">
        <is>
          <t>JOKKMOKK</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31552-2024</t>
        </is>
      </c>
      <c r="B2576" s="1" t="n">
        <v>45505.96447916667</v>
      </c>
      <c r="C2576" s="1" t="n">
        <v>45895</v>
      </c>
      <c r="D2576" t="inlineStr">
        <is>
          <t>NORRBOTTENS LÄN</t>
        </is>
      </c>
      <c r="E2576" t="inlineStr">
        <is>
          <t>PITEÅ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49520-2024</t>
        </is>
      </c>
      <c r="B2577" s="1" t="n">
        <v>45596</v>
      </c>
      <c r="C2577" s="1" t="n">
        <v>45895</v>
      </c>
      <c r="D2577" t="inlineStr">
        <is>
          <t>NORRBOTTENS LÄN</t>
        </is>
      </c>
      <c r="E2577" t="inlineStr">
        <is>
          <t>PITEÅ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28713-2024</t>
        </is>
      </c>
      <c r="B2578" s="1" t="n">
        <v>45478.53486111111</v>
      </c>
      <c r="C2578" s="1" t="n">
        <v>45895</v>
      </c>
      <c r="D2578" t="inlineStr">
        <is>
          <t>NORRBOTTENS LÄN</t>
        </is>
      </c>
      <c r="E2578" t="inlineStr">
        <is>
          <t>PITEÅ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23559-2025</t>
        </is>
      </c>
      <c r="B2579" s="1" t="n">
        <v>45792.58290509259</v>
      </c>
      <c r="C2579" s="1" t="n">
        <v>45895</v>
      </c>
      <c r="D2579" t="inlineStr">
        <is>
          <t>NORRBOTTENS LÄN</t>
        </is>
      </c>
      <c r="E2579" t="inlineStr">
        <is>
          <t>BODEN</t>
        </is>
      </c>
      <c r="F2579" t="inlineStr">
        <is>
          <t>Sveaskog</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30355-2024</t>
        </is>
      </c>
      <c r="B2580" s="1" t="n">
        <v>45490.96008101852</v>
      </c>
      <c r="C2580" s="1" t="n">
        <v>45895</v>
      </c>
      <c r="D2580" t="inlineStr">
        <is>
          <t>NORRBOTTENS LÄN</t>
        </is>
      </c>
      <c r="E2580" t="inlineStr">
        <is>
          <t>PAJALA</t>
        </is>
      </c>
      <c r="G2580" t="n">
        <v>24.6</v>
      </c>
      <c r="H2580" t="n">
        <v>0</v>
      </c>
      <c r="I2580" t="n">
        <v>0</v>
      </c>
      <c r="J2580" t="n">
        <v>0</v>
      </c>
      <c r="K2580" t="n">
        <v>0</v>
      </c>
      <c r="L2580" t="n">
        <v>0</v>
      </c>
      <c r="M2580" t="n">
        <v>0</v>
      </c>
      <c r="N2580" t="n">
        <v>0</v>
      </c>
      <c r="O2580" t="n">
        <v>0</v>
      </c>
      <c r="P2580" t="n">
        <v>0</v>
      </c>
      <c r="Q2580" t="n">
        <v>0</v>
      </c>
      <c r="R2580" s="2" t="inlineStr"/>
    </row>
    <row r="2581" ht="15" customHeight="1">
      <c r="A2581" t="inlineStr">
        <is>
          <t>A 30409-2024</t>
        </is>
      </c>
      <c r="B2581" s="1" t="n">
        <v>45491.61465277777</v>
      </c>
      <c r="C2581" s="1" t="n">
        <v>45895</v>
      </c>
      <c r="D2581" t="inlineStr">
        <is>
          <t>NORRBOTTENS LÄN</t>
        </is>
      </c>
      <c r="E2581" t="inlineStr">
        <is>
          <t>PAJALA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30413-2024</t>
        </is>
      </c>
      <c r="B2582" s="1" t="n">
        <v>45491.63013888889</v>
      </c>
      <c r="C2582" s="1" t="n">
        <v>45895</v>
      </c>
      <c r="D2582" t="inlineStr">
        <is>
          <t>NORRBOTTENS LÄN</t>
        </is>
      </c>
      <c r="E2582" t="inlineStr">
        <is>
          <t>PAJALA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52697-2023</t>
        </is>
      </c>
      <c r="B2583" s="1" t="n">
        <v>45219</v>
      </c>
      <c r="C2583" s="1" t="n">
        <v>45895</v>
      </c>
      <c r="D2583" t="inlineStr">
        <is>
          <t>NORRBOTTENS LÄN</t>
        </is>
      </c>
      <c r="E2583" t="inlineStr">
        <is>
          <t>LULEÅ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34878-2023</t>
        </is>
      </c>
      <c r="B2584" s="1" t="n">
        <v>45141</v>
      </c>
      <c r="C2584" s="1" t="n">
        <v>45895</v>
      </c>
      <c r="D2584" t="inlineStr">
        <is>
          <t>NORRBOTTENS LÄN</t>
        </is>
      </c>
      <c r="E2584" t="inlineStr">
        <is>
          <t>PITEÅ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23607-2025</t>
        </is>
      </c>
      <c r="B2585" s="1" t="n">
        <v>45792.65668981482</v>
      </c>
      <c r="C2585" s="1" t="n">
        <v>45895</v>
      </c>
      <c r="D2585" t="inlineStr">
        <is>
          <t>NORRBOTTENS LÄN</t>
        </is>
      </c>
      <c r="E2585" t="inlineStr">
        <is>
          <t>GÄLLIVARE</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56800-2024</t>
        </is>
      </c>
      <c r="B2586" s="1" t="n">
        <v>45625</v>
      </c>
      <c r="C2586" s="1" t="n">
        <v>45895</v>
      </c>
      <c r="D2586" t="inlineStr">
        <is>
          <t>NORRBOTTENS LÄN</t>
        </is>
      </c>
      <c r="E2586" t="inlineStr">
        <is>
          <t>ARJEPLOG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1867-2023</t>
        </is>
      </c>
      <c r="B2587" s="1" t="n">
        <v>44938.93743055555</v>
      </c>
      <c r="C2587" s="1" t="n">
        <v>45895</v>
      </c>
      <c r="D2587" t="inlineStr">
        <is>
          <t>NORRBOTTENS LÄN</t>
        </is>
      </c>
      <c r="E2587" t="inlineStr">
        <is>
          <t>ÖVERKALIX</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26643-2024</t>
        </is>
      </c>
      <c r="B2588" s="1" t="n">
        <v>45469.92849537037</v>
      </c>
      <c r="C2588" s="1" t="n">
        <v>45895</v>
      </c>
      <c r="D2588" t="inlineStr">
        <is>
          <t>NORRBOTTENS LÄN</t>
        </is>
      </c>
      <c r="E2588" t="inlineStr">
        <is>
          <t>PAJALA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23648-2025</t>
        </is>
      </c>
      <c r="B2589" s="1" t="n">
        <v>45792.69864583333</v>
      </c>
      <c r="C2589" s="1" t="n">
        <v>45895</v>
      </c>
      <c r="D2589" t="inlineStr">
        <is>
          <t>NORRBOTTENS LÄN</t>
        </is>
      </c>
      <c r="E2589" t="inlineStr">
        <is>
          <t>BODEN</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28718-2024</t>
        </is>
      </c>
      <c r="B2590" s="1" t="n">
        <v>45478.54375</v>
      </c>
      <c r="C2590" s="1" t="n">
        <v>45895</v>
      </c>
      <c r="D2590" t="inlineStr">
        <is>
          <t>NORRBOTTENS LÄN</t>
        </is>
      </c>
      <c r="E2590" t="inlineStr">
        <is>
          <t>PITEÅ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23638-2025</t>
        </is>
      </c>
      <c r="B2591" s="1" t="n">
        <v>45792</v>
      </c>
      <c r="C2591" s="1" t="n">
        <v>45895</v>
      </c>
      <c r="D2591" t="inlineStr">
        <is>
          <t>NORRBOTTENS LÄN</t>
        </is>
      </c>
      <c r="E2591" t="inlineStr">
        <is>
          <t>GÄLLIVARE</t>
        </is>
      </c>
      <c r="F2591" t="inlineStr">
        <is>
          <t>Allmännings- och besparingsskogar</t>
        </is>
      </c>
      <c r="G2591" t="n">
        <v>19.3</v>
      </c>
      <c r="H2591" t="n">
        <v>0</v>
      </c>
      <c r="I2591" t="n">
        <v>0</v>
      </c>
      <c r="J2591" t="n">
        <v>0</v>
      </c>
      <c r="K2591" t="n">
        <v>0</v>
      </c>
      <c r="L2591" t="n">
        <v>0</v>
      </c>
      <c r="M2591" t="n">
        <v>0</v>
      </c>
      <c r="N2591" t="n">
        <v>0</v>
      </c>
      <c r="O2591" t="n">
        <v>0</v>
      </c>
      <c r="P2591" t="n">
        <v>0</v>
      </c>
      <c r="Q2591" t="n">
        <v>0</v>
      </c>
      <c r="R2591" s="2" t="inlineStr"/>
    </row>
    <row r="2592" ht="15" customHeight="1">
      <c r="A2592" t="inlineStr">
        <is>
          <t>A 36322-2023</t>
        </is>
      </c>
      <c r="B2592" s="1" t="n">
        <v>45152</v>
      </c>
      <c r="C2592" s="1" t="n">
        <v>45895</v>
      </c>
      <c r="D2592" t="inlineStr">
        <is>
          <t>NORRBOTTENS LÄN</t>
        </is>
      </c>
      <c r="E2592" t="inlineStr">
        <is>
          <t>GÄLLIVARE</t>
        </is>
      </c>
      <c r="F2592" t="inlineStr">
        <is>
          <t>Allmännings- och besparingsskogar</t>
        </is>
      </c>
      <c r="G2592" t="n">
        <v>36.8</v>
      </c>
      <c r="H2592" t="n">
        <v>0</v>
      </c>
      <c r="I2592" t="n">
        <v>0</v>
      </c>
      <c r="J2592" t="n">
        <v>0</v>
      </c>
      <c r="K2592" t="n">
        <v>0</v>
      </c>
      <c r="L2592" t="n">
        <v>0</v>
      </c>
      <c r="M2592" t="n">
        <v>0</v>
      </c>
      <c r="N2592" t="n">
        <v>0</v>
      </c>
      <c r="O2592" t="n">
        <v>0</v>
      </c>
      <c r="P2592" t="n">
        <v>0</v>
      </c>
      <c r="Q2592" t="n">
        <v>0</v>
      </c>
      <c r="R2592" s="2" t="inlineStr"/>
    </row>
    <row r="2593" ht="15" customHeight="1">
      <c r="A2593" t="inlineStr">
        <is>
          <t>A 12558-2024</t>
        </is>
      </c>
      <c r="B2593" s="1" t="n">
        <v>45379</v>
      </c>
      <c r="C2593" s="1" t="n">
        <v>45895</v>
      </c>
      <c r="D2593" t="inlineStr">
        <is>
          <t>NORRBOTTENS LÄN</t>
        </is>
      </c>
      <c r="E2593" t="inlineStr">
        <is>
          <t>BODEN</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23089-2025</t>
        </is>
      </c>
      <c r="B2594" s="1" t="n">
        <v>45791.3437037037</v>
      </c>
      <c r="C2594" s="1" t="n">
        <v>45895</v>
      </c>
      <c r="D2594" t="inlineStr">
        <is>
          <t>NORRBOTTENS LÄN</t>
        </is>
      </c>
      <c r="E2594" t="inlineStr">
        <is>
          <t>KALIX</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23092-2025</t>
        </is>
      </c>
      <c r="B2595" s="1" t="n">
        <v>45791.34467592592</v>
      </c>
      <c r="C2595" s="1" t="n">
        <v>45895</v>
      </c>
      <c r="D2595" t="inlineStr">
        <is>
          <t>NORRBOTTENS LÄN</t>
        </is>
      </c>
      <c r="E2595" t="inlineStr">
        <is>
          <t>BODEN</t>
        </is>
      </c>
      <c r="F2595" t="inlineStr">
        <is>
          <t>SCA</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23108-2025</t>
        </is>
      </c>
      <c r="B2596" s="1" t="n">
        <v>45791.36490740741</v>
      </c>
      <c r="C2596" s="1" t="n">
        <v>45895</v>
      </c>
      <c r="D2596" t="inlineStr">
        <is>
          <t>NORRBOTTENS LÄN</t>
        </is>
      </c>
      <c r="E2596" t="inlineStr">
        <is>
          <t>PAJALA</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48624-2023</t>
        </is>
      </c>
      <c r="B2597" s="1" t="n">
        <v>45208</v>
      </c>
      <c r="C2597" s="1" t="n">
        <v>45895</v>
      </c>
      <c r="D2597" t="inlineStr">
        <is>
          <t>NORRBOTTENS LÄN</t>
        </is>
      </c>
      <c r="E2597" t="inlineStr">
        <is>
          <t>PITEÅ</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7039-2022</t>
        </is>
      </c>
      <c r="B2598" s="1" t="n">
        <v>44603</v>
      </c>
      <c r="C2598" s="1" t="n">
        <v>45895</v>
      </c>
      <c r="D2598" t="inlineStr">
        <is>
          <t>NORRBOTTENS LÄN</t>
        </is>
      </c>
      <c r="E2598" t="inlineStr">
        <is>
          <t>ÖVERKALIX</t>
        </is>
      </c>
      <c r="F2598" t="inlineStr">
        <is>
          <t>Övriga statliga verk och myndigheter</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66739-2021</t>
        </is>
      </c>
      <c r="B2599" s="1" t="n">
        <v>44520.84179398148</v>
      </c>
      <c r="C2599" s="1" t="n">
        <v>45895</v>
      </c>
      <c r="D2599" t="inlineStr">
        <is>
          <t>NORRBOTTENS LÄN</t>
        </is>
      </c>
      <c r="E2599" t="inlineStr">
        <is>
          <t>KALIX</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51277-2024</t>
        </is>
      </c>
      <c r="B2600" s="1" t="n">
        <v>45603.74953703704</v>
      </c>
      <c r="C2600" s="1" t="n">
        <v>45895</v>
      </c>
      <c r="D2600" t="inlineStr">
        <is>
          <t>NORRBOTTENS LÄN</t>
        </is>
      </c>
      <c r="E2600" t="inlineStr">
        <is>
          <t>LULEÅ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23411-2025</t>
        </is>
      </c>
      <c r="B2601" s="1" t="n">
        <v>45792</v>
      </c>
      <c r="C2601" s="1" t="n">
        <v>45895</v>
      </c>
      <c r="D2601" t="inlineStr">
        <is>
          <t>NORRBOTTENS LÄN</t>
        </is>
      </c>
      <c r="E2601" t="inlineStr">
        <is>
          <t>ÄLVSBYN</t>
        </is>
      </c>
      <c r="F2601" t="inlineStr">
        <is>
          <t>SCA</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23423-2025</t>
        </is>
      </c>
      <c r="B2602" s="1" t="n">
        <v>45792</v>
      </c>
      <c r="C2602" s="1" t="n">
        <v>45895</v>
      </c>
      <c r="D2602" t="inlineStr">
        <is>
          <t>NORRBOTTENS LÄN</t>
        </is>
      </c>
      <c r="E2602" t="inlineStr">
        <is>
          <t>ÖVERTORNEÅ</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51336-2024</t>
        </is>
      </c>
      <c r="B2603" s="1" t="n">
        <v>45604.34443287037</v>
      </c>
      <c r="C2603" s="1" t="n">
        <v>45895</v>
      </c>
      <c r="D2603" t="inlineStr">
        <is>
          <t>NORRBOTTENS LÄN</t>
        </is>
      </c>
      <c r="E2603" t="inlineStr">
        <is>
          <t>JOKKMOKK</t>
        </is>
      </c>
      <c r="F2603" t="inlineStr">
        <is>
          <t>SCA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19259-2024</t>
        </is>
      </c>
      <c r="B2604" s="1" t="n">
        <v>45428</v>
      </c>
      <c r="C2604" s="1" t="n">
        <v>45895</v>
      </c>
      <c r="D2604" t="inlineStr">
        <is>
          <t>NORRBOTTENS LÄN</t>
        </is>
      </c>
      <c r="E2604" t="inlineStr">
        <is>
          <t>ÖVERKALIX</t>
        </is>
      </c>
      <c r="F2604" t="inlineStr">
        <is>
          <t>Sveaskog</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23608-2025</t>
        </is>
      </c>
      <c r="B2605" s="1" t="n">
        <v>45792.65879629629</v>
      </c>
      <c r="C2605" s="1" t="n">
        <v>45895</v>
      </c>
      <c r="D2605" t="inlineStr">
        <is>
          <t>NORRBOTTENS LÄN</t>
        </is>
      </c>
      <c r="E2605" t="inlineStr">
        <is>
          <t>ÖVERTORNEÅ</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23321-2025</t>
        </is>
      </c>
      <c r="B2606" s="1" t="n">
        <v>45791.615625</v>
      </c>
      <c r="C2606" s="1" t="n">
        <v>45895</v>
      </c>
      <c r="D2606" t="inlineStr">
        <is>
          <t>NORRBOTTENS LÄN</t>
        </is>
      </c>
      <c r="E2606" t="inlineStr">
        <is>
          <t>BODEN</t>
        </is>
      </c>
      <c r="F2606" t="inlineStr">
        <is>
          <t>Sveaskog</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34969-2024</t>
        </is>
      </c>
      <c r="B2607" s="1" t="n">
        <v>45527.50440972222</v>
      </c>
      <c r="C2607" s="1" t="n">
        <v>45895</v>
      </c>
      <c r="D2607" t="inlineStr">
        <is>
          <t>NORRBOTTENS LÄN</t>
        </is>
      </c>
      <c r="E2607" t="inlineStr">
        <is>
          <t>BODEN</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23315-2025</t>
        </is>
      </c>
      <c r="B2608" s="1" t="n">
        <v>45791.61200231482</v>
      </c>
      <c r="C2608" s="1" t="n">
        <v>45895</v>
      </c>
      <c r="D2608" t="inlineStr">
        <is>
          <t>NORRBOTTENS LÄN</t>
        </is>
      </c>
      <c r="E2608" t="inlineStr">
        <is>
          <t>BODEN</t>
        </is>
      </c>
      <c r="F2608" t="inlineStr">
        <is>
          <t>Sveaskog</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37821-2024</t>
        </is>
      </c>
      <c r="B2609" s="1" t="n">
        <v>45544</v>
      </c>
      <c r="C2609" s="1" t="n">
        <v>45895</v>
      </c>
      <c r="D2609" t="inlineStr">
        <is>
          <t>NORRBOTTENS LÄN</t>
        </is>
      </c>
      <c r="E2609" t="inlineStr">
        <is>
          <t>PITEÅ</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60651-2023</t>
        </is>
      </c>
      <c r="B2610" s="1" t="n">
        <v>45260</v>
      </c>
      <c r="C2610" s="1" t="n">
        <v>45895</v>
      </c>
      <c r="D2610" t="inlineStr">
        <is>
          <t>NORRBOTTENS LÄN</t>
        </is>
      </c>
      <c r="E2610" t="inlineStr">
        <is>
          <t>LULEÅ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28861-2024</t>
        </is>
      </c>
      <c r="B2611" s="1" t="n">
        <v>45478</v>
      </c>
      <c r="C2611" s="1" t="n">
        <v>45895</v>
      </c>
      <c r="D2611" t="inlineStr">
        <is>
          <t>NORRBOTTENS LÄN</t>
        </is>
      </c>
      <c r="E2611" t="inlineStr">
        <is>
          <t>PITEÅ</t>
        </is>
      </c>
      <c r="G2611" t="n">
        <v>44.7</v>
      </c>
      <c r="H2611" t="n">
        <v>0</v>
      </c>
      <c r="I2611" t="n">
        <v>0</v>
      </c>
      <c r="J2611" t="n">
        <v>0</v>
      </c>
      <c r="K2611" t="n">
        <v>0</v>
      </c>
      <c r="L2611" t="n">
        <v>0</v>
      </c>
      <c r="M2611" t="n">
        <v>0</v>
      </c>
      <c r="N2611" t="n">
        <v>0</v>
      </c>
      <c r="O2611" t="n">
        <v>0</v>
      </c>
      <c r="P2611" t="n">
        <v>0</v>
      </c>
      <c r="Q2611" t="n">
        <v>0</v>
      </c>
      <c r="R2611" s="2" t="inlineStr"/>
    </row>
    <row r="2612" ht="15" customHeight="1">
      <c r="A2612" t="inlineStr">
        <is>
          <t>A 40940-2024</t>
        </is>
      </c>
      <c r="B2612" s="1" t="n">
        <v>45558.64387731482</v>
      </c>
      <c r="C2612" s="1" t="n">
        <v>45895</v>
      </c>
      <c r="D2612" t="inlineStr">
        <is>
          <t>NORRBOTTENS LÄN</t>
        </is>
      </c>
      <c r="E2612" t="inlineStr">
        <is>
          <t>ARVIDSJAUR</t>
        </is>
      </c>
      <c r="F2612" t="inlineStr">
        <is>
          <t>Sveaskog</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23128-2025</t>
        </is>
      </c>
      <c r="B2613" s="1" t="n">
        <v>45791</v>
      </c>
      <c r="C2613" s="1" t="n">
        <v>45895</v>
      </c>
      <c r="D2613" t="inlineStr">
        <is>
          <t>NORRBOTTENS LÄN</t>
        </is>
      </c>
      <c r="E2613" t="inlineStr">
        <is>
          <t>PITEÅ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52181-2023</t>
        </is>
      </c>
      <c r="B2614" s="1" t="n">
        <v>45224</v>
      </c>
      <c r="C2614" s="1" t="n">
        <v>45895</v>
      </c>
      <c r="D2614" t="inlineStr">
        <is>
          <t>NORRBOTTENS LÄN</t>
        </is>
      </c>
      <c r="E2614" t="inlineStr">
        <is>
          <t>JOKKMOKK</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7327-2025</t>
        </is>
      </c>
      <c r="B2615" s="1" t="n">
        <v>45702</v>
      </c>
      <c r="C2615" s="1" t="n">
        <v>45895</v>
      </c>
      <c r="D2615" t="inlineStr">
        <is>
          <t>NORRBOTTENS LÄN</t>
        </is>
      </c>
      <c r="E2615" t="inlineStr">
        <is>
          <t>ARVIDSJAUR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6552-2024</t>
        </is>
      </c>
      <c r="B2616" s="1" t="n">
        <v>45341</v>
      </c>
      <c r="C2616" s="1" t="n">
        <v>45895</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73716-2021</t>
        </is>
      </c>
      <c r="B2617" s="1" t="n">
        <v>44552</v>
      </c>
      <c r="C2617" s="1" t="n">
        <v>45895</v>
      </c>
      <c r="D2617" t="inlineStr">
        <is>
          <t>NORRBOTTENS LÄN</t>
        </is>
      </c>
      <c r="E2617" t="inlineStr">
        <is>
          <t>PAJALA</t>
        </is>
      </c>
      <c r="F2617" t="inlineStr">
        <is>
          <t>Sveaskog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5524-2024</t>
        </is>
      </c>
      <c r="B2618" s="1" t="n">
        <v>45334.3878125</v>
      </c>
      <c r="C2618" s="1" t="n">
        <v>45895</v>
      </c>
      <c r="D2618" t="inlineStr">
        <is>
          <t>NORRBOTTENS LÄN</t>
        </is>
      </c>
      <c r="E2618" t="inlineStr">
        <is>
          <t>PITEÅ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54614-2020</t>
        </is>
      </c>
      <c r="B2619" s="1" t="n">
        <v>44127</v>
      </c>
      <c r="C2619" s="1" t="n">
        <v>45895</v>
      </c>
      <c r="D2619" t="inlineStr">
        <is>
          <t>NORRBOTTENS LÄN</t>
        </is>
      </c>
      <c r="E2619" t="inlineStr">
        <is>
          <t>BODEN</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73774-2021</t>
        </is>
      </c>
      <c r="B2620" s="1" t="n">
        <v>44552</v>
      </c>
      <c r="C2620" s="1" t="n">
        <v>45895</v>
      </c>
      <c r="D2620" t="inlineStr">
        <is>
          <t>NORRBOTTENS LÄN</t>
        </is>
      </c>
      <c r="E2620" t="inlineStr">
        <is>
          <t>ÄLVSBYN</t>
        </is>
      </c>
      <c r="F2620" t="inlineStr">
        <is>
          <t>Sveaskog</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10832-2025</t>
        </is>
      </c>
      <c r="B2621" s="1" t="n">
        <v>45722</v>
      </c>
      <c r="C2621" s="1" t="n">
        <v>45895</v>
      </c>
      <c r="D2621" t="inlineStr">
        <is>
          <t>NORRBOTTENS LÄN</t>
        </is>
      </c>
      <c r="E2621" t="inlineStr">
        <is>
          <t>ARVIDSJAUR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10852-2025</t>
        </is>
      </c>
      <c r="B2622" s="1" t="n">
        <v>45722</v>
      </c>
      <c r="C2622" s="1" t="n">
        <v>45895</v>
      </c>
      <c r="D2622" t="inlineStr">
        <is>
          <t>NORRBOTTENS LÄN</t>
        </is>
      </c>
      <c r="E2622" t="inlineStr">
        <is>
          <t>ARVIDSJAUR</t>
        </is>
      </c>
      <c r="F2622" t="inlineStr">
        <is>
          <t>Sveaskog</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30416-2024</t>
        </is>
      </c>
      <c r="B2623" s="1" t="n">
        <v>45491.64596064815</v>
      </c>
      <c r="C2623" s="1" t="n">
        <v>45895</v>
      </c>
      <c r="D2623" t="inlineStr">
        <is>
          <t>NORRBOTTENS LÄN</t>
        </is>
      </c>
      <c r="E2623" t="inlineStr">
        <is>
          <t>PAJALA</t>
        </is>
      </c>
      <c r="G2623" t="n">
        <v>61.1</v>
      </c>
      <c r="H2623" t="n">
        <v>0</v>
      </c>
      <c r="I2623" t="n">
        <v>0</v>
      </c>
      <c r="J2623" t="n">
        <v>0</v>
      </c>
      <c r="K2623" t="n">
        <v>0</v>
      </c>
      <c r="L2623" t="n">
        <v>0</v>
      </c>
      <c r="M2623" t="n">
        <v>0</v>
      </c>
      <c r="N2623" t="n">
        <v>0</v>
      </c>
      <c r="O2623" t="n">
        <v>0</v>
      </c>
      <c r="P2623" t="n">
        <v>0</v>
      </c>
      <c r="Q2623" t="n">
        <v>0</v>
      </c>
      <c r="R2623" s="2" t="inlineStr"/>
    </row>
    <row r="2624" ht="15" customHeight="1">
      <c r="A2624" t="inlineStr">
        <is>
          <t>A 44340-2024</t>
        </is>
      </c>
      <c r="B2624" s="1" t="n">
        <v>45573</v>
      </c>
      <c r="C2624" s="1" t="n">
        <v>45895</v>
      </c>
      <c r="D2624" t="inlineStr">
        <is>
          <t>NORRBOTTENS LÄN</t>
        </is>
      </c>
      <c r="E2624" t="inlineStr">
        <is>
          <t>GÄLLIVARE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56111-2020</t>
        </is>
      </c>
      <c r="B2625" s="1" t="n">
        <v>44133</v>
      </c>
      <c r="C2625" s="1" t="n">
        <v>45895</v>
      </c>
      <c r="D2625" t="inlineStr">
        <is>
          <t>NORRBOTTENS LÄN</t>
        </is>
      </c>
      <c r="E2625" t="inlineStr">
        <is>
          <t>HAPARANDA</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56125-2020</t>
        </is>
      </c>
      <c r="B2626" s="1" t="n">
        <v>44133</v>
      </c>
      <c r="C2626" s="1" t="n">
        <v>45895</v>
      </c>
      <c r="D2626" t="inlineStr">
        <is>
          <t>NORRBOTTENS LÄN</t>
        </is>
      </c>
      <c r="E2626" t="inlineStr">
        <is>
          <t>HAPARANDA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44348-2024</t>
        </is>
      </c>
      <c r="B2627" s="1" t="n">
        <v>45573</v>
      </c>
      <c r="C2627" s="1" t="n">
        <v>45895</v>
      </c>
      <c r="D2627" t="inlineStr">
        <is>
          <t>NORRBOTTENS LÄN</t>
        </is>
      </c>
      <c r="E2627" t="inlineStr">
        <is>
          <t>ÄLVSBYN</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47918-2024</t>
        </is>
      </c>
      <c r="B2628" s="1" t="n">
        <v>45589.34434027778</v>
      </c>
      <c r="C2628" s="1" t="n">
        <v>45895</v>
      </c>
      <c r="D2628" t="inlineStr">
        <is>
          <t>NORRBOTTENS LÄN</t>
        </is>
      </c>
      <c r="E2628" t="inlineStr">
        <is>
          <t>LULEÅ</t>
        </is>
      </c>
      <c r="F2628" t="inlineStr">
        <is>
          <t>Naturvårdsverket</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47920-2024</t>
        </is>
      </c>
      <c r="B2629" s="1" t="n">
        <v>45589</v>
      </c>
      <c r="C2629" s="1" t="n">
        <v>45895</v>
      </c>
      <c r="D2629" t="inlineStr">
        <is>
          <t>NORRBOTTENS LÄN</t>
        </is>
      </c>
      <c r="E2629" t="inlineStr">
        <is>
          <t>BODEN</t>
        </is>
      </c>
      <c r="F2629" t="inlineStr">
        <is>
          <t>Naturvårdsverket</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45794-2024</t>
        </is>
      </c>
      <c r="B2630" s="1" t="n">
        <v>45579.6725</v>
      </c>
      <c r="C2630" s="1" t="n">
        <v>45895</v>
      </c>
      <c r="D2630" t="inlineStr">
        <is>
          <t>NORRBOTTENS LÄN</t>
        </is>
      </c>
      <c r="E2630" t="inlineStr">
        <is>
          <t>ARVIDSJAUR</t>
        </is>
      </c>
      <c r="F2630" t="inlineStr">
        <is>
          <t>Sveaskog</t>
        </is>
      </c>
      <c r="G2630" t="n">
        <v>37.7</v>
      </c>
      <c r="H2630" t="n">
        <v>0</v>
      </c>
      <c r="I2630" t="n">
        <v>0</v>
      </c>
      <c r="J2630" t="n">
        <v>0</v>
      </c>
      <c r="K2630" t="n">
        <v>0</v>
      </c>
      <c r="L2630" t="n">
        <v>0</v>
      </c>
      <c r="M2630" t="n">
        <v>0</v>
      </c>
      <c r="N2630" t="n">
        <v>0</v>
      </c>
      <c r="O2630" t="n">
        <v>0</v>
      </c>
      <c r="P2630" t="n">
        <v>0</v>
      </c>
      <c r="Q2630" t="n">
        <v>0</v>
      </c>
      <c r="R2630" s="2" t="inlineStr"/>
    </row>
    <row r="2631" ht="15" customHeight="1">
      <c r="A2631" t="inlineStr">
        <is>
          <t>A 27944-2024</t>
        </is>
      </c>
      <c r="B2631" s="1" t="n">
        <v>45476</v>
      </c>
      <c r="C2631" s="1" t="n">
        <v>45895</v>
      </c>
      <c r="D2631" t="inlineStr">
        <is>
          <t>NORRBOTTENS LÄN</t>
        </is>
      </c>
      <c r="E2631" t="inlineStr">
        <is>
          <t>ARVIDSJAUR</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23259-2024</t>
        </is>
      </c>
      <c r="B2632" s="1" t="n">
        <v>45453</v>
      </c>
      <c r="C2632" s="1" t="n">
        <v>45895</v>
      </c>
      <c r="D2632" t="inlineStr">
        <is>
          <t>NORRBOTTENS LÄN</t>
        </is>
      </c>
      <c r="E2632" t="inlineStr">
        <is>
          <t>ÖVERTORNEÅ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29683-2024</t>
        </is>
      </c>
      <c r="B2633" s="1" t="n">
        <v>45484</v>
      </c>
      <c r="C2633" s="1" t="n">
        <v>45895</v>
      </c>
      <c r="D2633" t="inlineStr">
        <is>
          <t>NORRBOTTENS LÄN</t>
        </is>
      </c>
      <c r="E2633" t="inlineStr">
        <is>
          <t>ÄLVSBYN</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23516-2025</t>
        </is>
      </c>
      <c r="B2634" s="1" t="n">
        <v>45792</v>
      </c>
      <c r="C2634" s="1" t="n">
        <v>45895</v>
      </c>
      <c r="D2634" t="inlineStr">
        <is>
          <t>NORRBOTTENS LÄN</t>
        </is>
      </c>
      <c r="E2634" t="inlineStr">
        <is>
          <t>LULEÅ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23519-2025</t>
        </is>
      </c>
      <c r="B2635" s="1" t="n">
        <v>45792.51074074074</v>
      </c>
      <c r="C2635" s="1" t="n">
        <v>45895</v>
      </c>
      <c r="D2635" t="inlineStr">
        <is>
          <t>NORRBOTTENS LÄN</t>
        </is>
      </c>
      <c r="E2635" t="inlineStr">
        <is>
          <t>LULEÅ</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55720-2024</t>
        </is>
      </c>
      <c r="B2636" s="1" t="n">
        <v>45622.7453125</v>
      </c>
      <c r="C2636" s="1" t="n">
        <v>45895</v>
      </c>
      <c r="D2636" t="inlineStr">
        <is>
          <t>NORRBOTTENS LÄN</t>
        </is>
      </c>
      <c r="E2636" t="inlineStr">
        <is>
          <t>LULEÅ</t>
        </is>
      </c>
      <c r="G2636" t="n">
        <v>11.6</v>
      </c>
      <c r="H2636" t="n">
        <v>0</v>
      </c>
      <c r="I2636" t="n">
        <v>0</v>
      </c>
      <c r="J2636" t="n">
        <v>0</v>
      </c>
      <c r="K2636" t="n">
        <v>0</v>
      </c>
      <c r="L2636" t="n">
        <v>0</v>
      </c>
      <c r="M2636" t="n">
        <v>0</v>
      </c>
      <c r="N2636" t="n">
        <v>0</v>
      </c>
      <c r="O2636" t="n">
        <v>0</v>
      </c>
      <c r="P2636" t="n">
        <v>0</v>
      </c>
      <c r="Q2636" t="n">
        <v>0</v>
      </c>
      <c r="R2636" s="2" t="inlineStr"/>
    </row>
    <row r="2637" ht="15" customHeight="1">
      <c r="A2637" t="inlineStr">
        <is>
          <t>A 47198-2024</t>
        </is>
      </c>
      <c r="B2637" s="1" t="n">
        <v>45586.63260416667</v>
      </c>
      <c r="C2637" s="1" t="n">
        <v>45895</v>
      </c>
      <c r="D2637" t="inlineStr">
        <is>
          <t>NORRBOTTENS LÄN</t>
        </is>
      </c>
      <c r="E2637" t="inlineStr">
        <is>
          <t>PITEÅ</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39987-2024</t>
        </is>
      </c>
      <c r="B2638" s="1" t="n">
        <v>45553</v>
      </c>
      <c r="C2638" s="1" t="n">
        <v>45895</v>
      </c>
      <c r="D2638" t="inlineStr">
        <is>
          <t>NORRBOTTENS LÄN</t>
        </is>
      </c>
      <c r="E2638" t="inlineStr">
        <is>
          <t>BODEN</t>
        </is>
      </c>
      <c r="F2638" t="inlineStr">
        <is>
          <t>Sveaskog</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8750-2025</t>
        </is>
      </c>
      <c r="B2639" s="1" t="n">
        <v>45712.56173611111</v>
      </c>
      <c r="C2639" s="1" t="n">
        <v>45895</v>
      </c>
      <c r="D2639" t="inlineStr">
        <is>
          <t>NORRBOTTENS LÄN</t>
        </is>
      </c>
      <c r="E2639" t="inlineStr">
        <is>
          <t>LULEÅ</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42645-2024</t>
        </is>
      </c>
      <c r="B2640" s="1" t="n">
        <v>45566.29878472222</v>
      </c>
      <c r="C2640" s="1" t="n">
        <v>45895</v>
      </c>
      <c r="D2640" t="inlineStr">
        <is>
          <t>NORRBOTTENS LÄN</t>
        </is>
      </c>
      <c r="E2640" t="inlineStr">
        <is>
          <t>PITEÅ</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42450-2023</t>
        </is>
      </c>
      <c r="B2641" s="1" t="n">
        <v>45180</v>
      </c>
      <c r="C2641" s="1" t="n">
        <v>45895</v>
      </c>
      <c r="D2641" t="inlineStr">
        <is>
          <t>NORRBOTTENS LÄN</t>
        </is>
      </c>
      <c r="E2641" t="inlineStr">
        <is>
          <t>PITEÅ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41989-2024</t>
        </is>
      </c>
      <c r="B2642" s="1" t="n">
        <v>45561.63650462963</v>
      </c>
      <c r="C2642" s="1" t="n">
        <v>45895</v>
      </c>
      <c r="D2642" t="inlineStr">
        <is>
          <t>NORRBOTTENS LÄN</t>
        </is>
      </c>
      <c r="E2642" t="inlineStr">
        <is>
          <t>ÄLVSBYN</t>
        </is>
      </c>
      <c r="F2642" t="inlineStr">
        <is>
          <t>SCA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10066-2023</t>
        </is>
      </c>
      <c r="B2643" s="1" t="n">
        <v>44985</v>
      </c>
      <c r="C2643" s="1" t="n">
        <v>45895</v>
      </c>
      <c r="D2643" t="inlineStr">
        <is>
          <t>NORRBOTTENS LÄN</t>
        </is>
      </c>
      <c r="E2643" t="inlineStr">
        <is>
          <t>ÄLVSBYN</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29944-2024</t>
        </is>
      </c>
      <c r="B2644" s="1" t="n">
        <v>45488.42760416667</v>
      </c>
      <c r="C2644" s="1" t="n">
        <v>45895</v>
      </c>
      <c r="D2644" t="inlineStr">
        <is>
          <t>NORRBOTTENS LÄN</t>
        </is>
      </c>
      <c r="E2644" t="inlineStr">
        <is>
          <t>PITEÅ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74228-2021</t>
        </is>
      </c>
      <c r="B2645" s="1" t="n">
        <v>44553</v>
      </c>
      <c r="C2645" s="1" t="n">
        <v>45895</v>
      </c>
      <c r="D2645" t="inlineStr">
        <is>
          <t>NORRBOTTENS LÄN</t>
        </is>
      </c>
      <c r="E2645" t="inlineStr">
        <is>
          <t>ÖVERTORNEÅ</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54336-2024</t>
        </is>
      </c>
      <c r="B2646" s="1" t="n">
        <v>45617.38408564815</v>
      </c>
      <c r="C2646" s="1" t="n">
        <v>45895</v>
      </c>
      <c r="D2646" t="inlineStr">
        <is>
          <t>NORRBOTTENS LÄN</t>
        </is>
      </c>
      <c r="E2646" t="inlineStr">
        <is>
          <t>ARVIDSJAUR</t>
        </is>
      </c>
      <c r="F2646" t="inlineStr">
        <is>
          <t>Sveaskog</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28758-2024</t>
        </is>
      </c>
      <c r="B2647" s="1" t="n">
        <v>45478</v>
      </c>
      <c r="C2647" s="1" t="n">
        <v>45895</v>
      </c>
      <c r="D2647" t="inlineStr">
        <is>
          <t>NORRBOTTENS LÄN</t>
        </is>
      </c>
      <c r="E2647" t="inlineStr">
        <is>
          <t>BODEN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21516-2024</t>
        </is>
      </c>
      <c r="B2648" s="1" t="n">
        <v>45441</v>
      </c>
      <c r="C2648" s="1" t="n">
        <v>45895</v>
      </c>
      <c r="D2648" t="inlineStr">
        <is>
          <t>NORRBOTTENS LÄN</t>
        </is>
      </c>
      <c r="E2648" t="inlineStr">
        <is>
          <t>ÖVERTORNEÅ</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31242-2023</t>
        </is>
      </c>
      <c r="B2649" s="1" t="n">
        <v>45103</v>
      </c>
      <c r="C2649" s="1" t="n">
        <v>45895</v>
      </c>
      <c r="D2649" t="inlineStr">
        <is>
          <t>NORRBOTTENS LÄN</t>
        </is>
      </c>
      <c r="E2649" t="inlineStr">
        <is>
          <t>HAPARANDA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43861-2023</t>
        </is>
      </c>
      <c r="B2650" s="1" t="n">
        <v>45187</v>
      </c>
      <c r="C2650" s="1" t="n">
        <v>45895</v>
      </c>
      <c r="D2650" t="inlineStr">
        <is>
          <t>NORRBOTTENS LÄN</t>
        </is>
      </c>
      <c r="E2650" t="inlineStr">
        <is>
          <t>LULEÅ</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23112-2025</t>
        </is>
      </c>
      <c r="B2651" s="1" t="n">
        <v>45791.36725694445</v>
      </c>
      <c r="C2651" s="1" t="n">
        <v>45895</v>
      </c>
      <c r="D2651" t="inlineStr">
        <is>
          <t>NORRBOTTENS LÄN</t>
        </is>
      </c>
      <c r="E2651" t="inlineStr">
        <is>
          <t>PITEÅ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43911-2023</t>
        </is>
      </c>
      <c r="B2652" s="1" t="n">
        <v>45187.69538194445</v>
      </c>
      <c r="C2652" s="1" t="n">
        <v>45895</v>
      </c>
      <c r="D2652" t="inlineStr">
        <is>
          <t>NORRBOTTENS LÄN</t>
        </is>
      </c>
      <c r="E2652" t="inlineStr">
        <is>
          <t>PITEÅ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36400-2022</t>
        </is>
      </c>
      <c r="B2653" s="1" t="n">
        <v>44804</v>
      </c>
      <c r="C2653" s="1" t="n">
        <v>45895</v>
      </c>
      <c r="D2653" t="inlineStr">
        <is>
          <t>NORRBOTTENS LÄN</t>
        </is>
      </c>
      <c r="E2653" t="inlineStr">
        <is>
          <t>ARVIDSJAUR</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8903-2023</t>
        </is>
      </c>
      <c r="B2654" s="1" t="n">
        <v>44973</v>
      </c>
      <c r="C2654" s="1" t="n">
        <v>45895</v>
      </c>
      <c r="D2654" t="inlineStr">
        <is>
          <t>NORRBOTTENS LÄN</t>
        </is>
      </c>
      <c r="E2654" t="inlineStr">
        <is>
          <t>PAJALA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34615-2022</t>
        </is>
      </c>
      <c r="B2655" s="1" t="n">
        <v>44795</v>
      </c>
      <c r="C2655" s="1" t="n">
        <v>45895</v>
      </c>
      <c r="D2655" t="inlineStr">
        <is>
          <t>NORRBOTTENS LÄN</t>
        </is>
      </c>
      <c r="E2655" t="inlineStr">
        <is>
          <t>PITEÅ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23302-2025</t>
        </is>
      </c>
      <c r="B2656" s="1" t="n">
        <v>45791.59711805556</v>
      </c>
      <c r="C2656" s="1" t="n">
        <v>45895</v>
      </c>
      <c r="D2656" t="inlineStr">
        <is>
          <t>NORRBOTTENS LÄN</t>
        </is>
      </c>
      <c r="E2656" t="inlineStr">
        <is>
          <t>BODEN</t>
        </is>
      </c>
      <c r="F2656" t="inlineStr">
        <is>
          <t>Sveaskog</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29303-2021</t>
        </is>
      </c>
      <c r="B2657" s="1" t="n">
        <v>44361</v>
      </c>
      <c r="C2657" s="1" t="n">
        <v>45895</v>
      </c>
      <c r="D2657" t="inlineStr">
        <is>
          <t>NORRBOTTENS LÄN</t>
        </is>
      </c>
      <c r="E2657" t="inlineStr">
        <is>
          <t>PITEÅ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47191-2024</t>
        </is>
      </c>
      <c r="B2658" s="1" t="n">
        <v>45586.62868055556</v>
      </c>
      <c r="C2658" s="1" t="n">
        <v>45895</v>
      </c>
      <c r="D2658" t="inlineStr">
        <is>
          <t>NORRBOTTENS LÄN</t>
        </is>
      </c>
      <c r="E2658" t="inlineStr">
        <is>
          <t>PITEÅ</t>
        </is>
      </c>
      <c r="F2658" t="inlineStr">
        <is>
          <t>Sveaskog</t>
        </is>
      </c>
      <c r="G2658" t="n">
        <v>18.9</v>
      </c>
      <c r="H2658" t="n">
        <v>0</v>
      </c>
      <c r="I2658" t="n">
        <v>0</v>
      </c>
      <c r="J2658" t="n">
        <v>0</v>
      </c>
      <c r="K2658" t="n">
        <v>0</v>
      </c>
      <c r="L2658" t="n">
        <v>0</v>
      </c>
      <c r="M2658" t="n">
        <v>0</v>
      </c>
      <c r="N2658" t="n">
        <v>0</v>
      </c>
      <c r="O2658" t="n">
        <v>0</v>
      </c>
      <c r="P2658" t="n">
        <v>0</v>
      </c>
      <c r="Q2658" t="n">
        <v>0</v>
      </c>
      <c r="R2658" s="2" t="inlineStr"/>
    </row>
    <row r="2659" ht="15" customHeight="1">
      <c r="A2659" t="inlineStr">
        <is>
          <t>A 9069-2023</t>
        </is>
      </c>
      <c r="B2659" s="1" t="n">
        <v>44979</v>
      </c>
      <c r="C2659" s="1" t="n">
        <v>45895</v>
      </c>
      <c r="D2659" t="inlineStr">
        <is>
          <t>NORRBOTTENS LÄN</t>
        </is>
      </c>
      <c r="E2659" t="inlineStr">
        <is>
          <t>KIRUNA</t>
        </is>
      </c>
      <c r="F2659" t="inlineStr">
        <is>
          <t>SCA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37821-2023</t>
        </is>
      </c>
      <c r="B2660" s="1" t="n">
        <v>45160.30193287037</v>
      </c>
      <c r="C2660" s="1" t="n">
        <v>45895</v>
      </c>
      <c r="D2660" t="inlineStr">
        <is>
          <t>NORRBOTTENS LÄN</t>
        </is>
      </c>
      <c r="E2660" t="inlineStr">
        <is>
          <t>PITEÅ</t>
        </is>
      </c>
      <c r="F2660" t="inlineStr">
        <is>
          <t>Sveaskog</t>
        </is>
      </c>
      <c r="G2660" t="n">
        <v>15.7</v>
      </c>
      <c r="H2660" t="n">
        <v>0</v>
      </c>
      <c r="I2660" t="n">
        <v>0</v>
      </c>
      <c r="J2660" t="n">
        <v>0</v>
      </c>
      <c r="K2660" t="n">
        <v>0</v>
      </c>
      <c r="L2660" t="n">
        <v>0</v>
      </c>
      <c r="M2660" t="n">
        <v>0</v>
      </c>
      <c r="N2660" t="n">
        <v>0</v>
      </c>
      <c r="O2660" t="n">
        <v>0</v>
      </c>
      <c r="P2660" t="n">
        <v>0</v>
      </c>
      <c r="Q2660" t="n">
        <v>0</v>
      </c>
      <c r="R2660" s="2" t="inlineStr"/>
    </row>
    <row r="2661" ht="15" customHeight="1">
      <c r="A2661" t="inlineStr">
        <is>
          <t>A 57535-2024</t>
        </is>
      </c>
      <c r="B2661" s="1" t="n">
        <v>45630.42950231482</v>
      </c>
      <c r="C2661" s="1" t="n">
        <v>45895</v>
      </c>
      <c r="D2661" t="inlineStr">
        <is>
          <t>NORRBOTTENS LÄN</t>
        </is>
      </c>
      <c r="E2661" t="inlineStr">
        <is>
          <t>GÄLLIVARE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13537-2022</t>
        </is>
      </c>
      <c r="B2662" s="1" t="n">
        <v>44648.40035879629</v>
      </c>
      <c r="C2662" s="1" t="n">
        <v>45895</v>
      </c>
      <c r="D2662" t="inlineStr">
        <is>
          <t>NORRBOTTENS LÄN</t>
        </is>
      </c>
      <c r="E2662" t="inlineStr">
        <is>
          <t>KALIX</t>
        </is>
      </c>
      <c r="F2662" t="inlineStr">
        <is>
          <t>BillerudKorsnäs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35660-2024</t>
        </is>
      </c>
      <c r="B2663" s="1" t="n">
        <v>45532.37145833333</v>
      </c>
      <c r="C2663" s="1" t="n">
        <v>45895</v>
      </c>
      <c r="D2663" t="inlineStr">
        <is>
          <t>NORRBOTTENS LÄN</t>
        </is>
      </c>
      <c r="E2663" t="inlineStr">
        <is>
          <t>PITEÅ</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60721-2024</t>
        </is>
      </c>
      <c r="B2664" s="1" t="n">
        <v>45644</v>
      </c>
      <c r="C2664" s="1" t="n">
        <v>45895</v>
      </c>
      <c r="D2664" t="inlineStr">
        <is>
          <t>NORRBOTTENS LÄN</t>
        </is>
      </c>
      <c r="E2664" t="inlineStr">
        <is>
          <t>LULEÅ</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35670-2024</t>
        </is>
      </c>
      <c r="B2665" s="1" t="n">
        <v>45532.3909375</v>
      </c>
      <c r="C2665" s="1" t="n">
        <v>45895</v>
      </c>
      <c r="D2665" t="inlineStr">
        <is>
          <t>NORRBOTTENS LÄN</t>
        </is>
      </c>
      <c r="E2665" t="inlineStr">
        <is>
          <t>PITEÅ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9349-2023</t>
        </is>
      </c>
      <c r="B2666" s="1" t="n">
        <v>44980</v>
      </c>
      <c r="C2666" s="1" t="n">
        <v>45895</v>
      </c>
      <c r="D2666" t="inlineStr">
        <is>
          <t>NORRBOTTENS LÄN</t>
        </is>
      </c>
      <c r="E2666" t="inlineStr">
        <is>
          <t>JOKKMOKK</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9351-2023</t>
        </is>
      </c>
      <c r="B2667" s="1" t="n">
        <v>44980</v>
      </c>
      <c r="C2667" s="1" t="n">
        <v>45895</v>
      </c>
      <c r="D2667" t="inlineStr">
        <is>
          <t>NORRBOTTENS LÄN</t>
        </is>
      </c>
      <c r="E2667" t="inlineStr">
        <is>
          <t>JOKKMOKK</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44523-2020</t>
        </is>
      </c>
      <c r="B2668" s="1" t="n">
        <v>44085</v>
      </c>
      <c r="C2668" s="1" t="n">
        <v>45895</v>
      </c>
      <c r="D2668" t="inlineStr">
        <is>
          <t>NORRBOTTENS LÄN</t>
        </is>
      </c>
      <c r="E2668" t="inlineStr">
        <is>
          <t>ÄLVSBYN</t>
        </is>
      </c>
      <c r="F2668" t="inlineStr">
        <is>
          <t>Sveaskog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60739-2024</t>
        </is>
      </c>
      <c r="B2669" s="1" t="n">
        <v>45644.54944444444</v>
      </c>
      <c r="C2669" s="1" t="n">
        <v>45895</v>
      </c>
      <c r="D2669" t="inlineStr">
        <is>
          <t>NORRBOTTENS LÄN</t>
        </is>
      </c>
      <c r="E2669" t="inlineStr">
        <is>
          <t>PITEÅ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53751-2023</t>
        </is>
      </c>
      <c r="B2670" s="1" t="n">
        <v>45230</v>
      </c>
      <c r="C2670" s="1" t="n">
        <v>45895</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23297-2025</t>
        </is>
      </c>
      <c r="B2671" s="1" t="n">
        <v>45791.59445601852</v>
      </c>
      <c r="C2671" s="1" t="n">
        <v>45895</v>
      </c>
      <c r="D2671" t="inlineStr">
        <is>
          <t>NORRBOTTENS LÄN</t>
        </is>
      </c>
      <c r="E2671" t="inlineStr">
        <is>
          <t>KALIX</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23342-2025</t>
        </is>
      </c>
      <c r="B2672" s="1" t="n">
        <v>45791.65684027778</v>
      </c>
      <c r="C2672" s="1" t="n">
        <v>45895</v>
      </c>
      <c r="D2672" t="inlineStr">
        <is>
          <t>NORRBOTTENS LÄN</t>
        </is>
      </c>
      <c r="E2672" t="inlineStr">
        <is>
          <t>KALIX</t>
        </is>
      </c>
      <c r="F2672" t="inlineStr">
        <is>
          <t>SCA</t>
        </is>
      </c>
      <c r="G2672" t="n">
        <v>7.3</v>
      </c>
      <c r="H2672" t="n">
        <v>0</v>
      </c>
      <c r="I2672" t="n">
        <v>0</v>
      </c>
      <c r="J2672" t="n">
        <v>0</v>
      </c>
      <c r="K2672" t="n">
        <v>0</v>
      </c>
      <c r="L2672" t="n">
        <v>0</v>
      </c>
      <c r="M2672" t="n">
        <v>0</v>
      </c>
      <c r="N2672" t="n">
        <v>0</v>
      </c>
      <c r="O2672" t="n">
        <v>0</v>
      </c>
      <c r="P2672" t="n">
        <v>0</v>
      </c>
      <c r="Q2672" t="n">
        <v>0</v>
      </c>
      <c r="R2672" s="2" t="inlineStr"/>
      <c r="U2672">
        <f>HYPERLINK("https://klasma.github.io/Logging_2514/knärot/A 23342-2025 karta knärot.png", "A 23342-2025")</f>
        <v/>
      </c>
      <c r="V2672">
        <f>HYPERLINK("https://klasma.github.io/Logging_2514/klagomål/A 23342-2025 FSC-klagomål.docx", "A 23342-2025")</f>
        <v/>
      </c>
      <c r="W2672">
        <f>HYPERLINK("https://klasma.github.io/Logging_2514/klagomålsmail/A 23342-2025 FSC-klagomål mail.docx", "A 23342-2025")</f>
        <v/>
      </c>
      <c r="X2672">
        <f>HYPERLINK("https://klasma.github.io/Logging_2514/tillsyn/A 23342-2025 tillsynsbegäran.docx", "A 23342-2025")</f>
        <v/>
      </c>
      <c r="Y2672">
        <f>HYPERLINK("https://klasma.github.io/Logging_2514/tillsynsmail/A 23342-2025 tillsynsbegäran mail.docx", "A 23342-2025")</f>
        <v/>
      </c>
    </row>
    <row r="2673" ht="15" customHeight="1">
      <c r="A2673" t="inlineStr">
        <is>
          <t>A 36681-2021</t>
        </is>
      </c>
      <c r="B2673" s="1" t="n">
        <v>44392</v>
      </c>
      <c r="C2673" s="1" t="n">
        <v>45895</v>
      </c>
      <c r="D2673" t="inlineStr">
        <is>
          <t>NORRBOTTENS LÄN</t>
        </is>
      </c>
      <c r="E2673" t="inlineStr">
        <is>
          <t>GÄLLIVARE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23414-2025</t>
        </is>
      </c>
      <c r="B2674" s="1" t="n">
        <v>45792.34626157407</v>
      </c>
      <c r="C2674" s="1" t="n">
        <v>45895</v>
      </c>
      <c r="D2674" t="inlineStr">
        <is>
          <t>NORRBOTTENS LÄN</t>
        </is>
      </c>
      <c r="E2674" t="inlineStr">
        <is>
          <t>BODEN</t>
        </is>
      </c>
      <c r="F2674" t="inlineStr">
        <is>
          <t>SCA</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23161-2025</t>
        </is>
      </c>
      <c r="B2675" s="1" t="n">
        <v>45791.40768518519</v>
      </c>
      <c r="C2675" s="1" t="n">
        <v>45895</v>
      </c>
      <c r="D2675" t="inlineStr">
        <is>
          <t>NORRBOTTENS LÄN</t>
        </is>
      </c>
      <c r="E2675" t="inlineStr">
        <is>
          <t>PITEÅ</t>
        </is>
      </c>
      <c r="G2675" t="n">
        <v>16.7</v>
      </c>
      <c r="H2675" t="n">
        <v>0</v>
      </c>
      <c r="I2675" t="n">
        <v>0</v>
      </c>
      <c r="J2675" t="n">
        <v>0</v>
      </c>
      <c r="K2675" t="n">
        <v>0</v>
      </c>
      <c r="L2675" t="n">
        <v>0</v>
      </c>
      <c r="M2675" t="n">
        <v>0</v>
      </c>
      <c r="N2675" t="n">
        <v>0</v>
      </c>
      <c r="O2675" t="n">
        <v>0</v>
      </c>
      <c r="P2675" t="n">
        <v>0</v>
      </c>
      <c r="Q2675" t="n">
        <v>0</v>
      </c>
      <c r="R2675" s="2" t="inlineStr"/>
    </row>
    <row r="2676" ht="15" customHeight="1">
      <c r="A2676" t="inlineStr">
        <is>
          <t>A 23172-2025</t>
        </is>
      </c>
      <c r="B2676" s="1" t="n">
        <v>45791.42792824074</v>
      </c>
      <c r="C2676" s="1" t="n">
        <v>45895</v>
      </c>
      <c r="D2676" t="inlineStr">
        <is>
          <t>NORRBOTTENS LÄN</t>
        </is>
      </c>
      <c r="E2676" t="inlineStr">
        <is>
          <t>ÄLVSBYN</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4096-2024</t>
        </is>
      </c>
      <c r="B2677" s="1" t="n">
        <v>45323</v>
      </c>
      <c r="C2677" s="1" t="n">
        <v>45895</v>
      </c>
      <c r="D2677" t="inlineStr">
        <is>
          <t>NORRBOTTENS LÄN</t>
        </is>
      </c>
      <c r="E2677" t="inlineStr">
        <is>
          <t>PITEÅ</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55515-2024</t>
        </is>
      </c>
      <c r="B2678" s="1" t="n">
        <v>45622</v>
      </c>
      <c r="C2678" s="1" t="n">
        <v>45895</v>
      </c>
      <c r="D2678" t="inlineStr">
        <is>
          <t>NORRBOTTENS LÄN</t>
        </is>
      </c>
      <c r="E2678" t="inlineStr">
        <is>
          <t>PITEÅ</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25247-2024</t>
        </is>
      </c>
      <c r="B2679" s="1" t="n">
        <v>45462.60603009259</v>
      </c>
      <c r="C2679" s="1" t="n">
        <v>45895</v>
      </c>
      <c r="D2679" t="inlineStr">
        <is>
          <t>NORRBOTTENS LÄN</t>
        </is>
      </c>
      <c r="E2679" t="inlineStr">
        <is>
          <t>KALIX</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23982-2023</t>
        </is>
      </c>
      <c r="B2680" s="1" t="n">
        <v>45078</v>
      </c>
      <c r="C2680" s="1" t="n">
        <v>45895</v>
      </c>
      <c r="D2680" t="inlineStr">
        <is>
          <t>NORRBOTTENS LÄN</t>
        </is>
      </c>
      <c r="E2680" t="inlineStr">
        <is>
          <t>HAPARANDA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10608-2025</t>
        </is>
      </c>
      <c r="B2681" s="1" t="n">
        <v>45721</v>
      </c>
      <c r="C2681" s="1" t="n">
        <v>45895</v>
      </c>
      <c r="D2681" t="inlineStr">
        <is>
          <t>NORRBOTTENS LÄN</t>
        </is>
      </c>
      <c r="E2681" t="inlineStr">
        <is>
          <t>LULEÅ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65517-2021</t>
        </is>
      </c>
      <c r="B2682" s="1" t="n">
        <v>44516</v>
      </c>
      <c r="C2682" s="1" t="n">
        <v>45895</v>
      </c>
      <c r="D2682" t="inlineStr">
        <is>
          <t>NORRBOTTENS LÄN</t>
        </is>
      </c>
      <c r="E2682" t="inlineStr">
        <is>
          <t>GÄLLIVARE</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11622-2025</t>
        </is>
      </c>
      <c r="B2683" s="1" t="n">
        <v>45727.45553240741</v>
      </c>
      <c r="C2683" s="1" t="n">
        <v>45895</v>
      </c>
      <c r="D2683" t="inlineStr">
        <is>
          <t>NORRBOTTENS LÄN</t>
        </is>
      </c>
      <c r="E2683" t="inlineStr">
        <is>
          <t>ÖVERTORNEÅ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45654-2024</t>
        </is>
      </c>
      <c r="B2684" s="1" t="n">
        <v>45579</v>
      </c>
      <c r="C2684" s="1" t="n">
        <v>45895</v>
      </c>
      <c r="D2684" t="inlineStr">
        <is>
          <t>NORRBOTTENS LÄN</t>
        </is>
      </c>
      <c r="E2684" t="inlineStr">
        <is>
          <t>GÄLLIVARE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45655-2024</t>
        </is>
      </c>
      <c r="B2685" s="1" t="n">
        <v>45579</v>
      </c>
      <c r="C2685" s="1" t="n">
        <v>45895</v>
      </c>
      <c r="D2685" t="inlineStr">
        <is>
          <t>NORRBOTTENS LÄN</t>
        </is>
      </c>
      <c r="E2685" t="inlineStr">
        <is>
          <t>PAJALA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45662-2024</t>
        </is>
      </c>
      <c r="B2686" s="1" t="n">
        <v>45579</v>
      </c>
      <c r="C2686" s="1" t="n">
        <v>45895</v>
      </c>
      <c r="D2686" t="inlineStr">
        <is>
          <t>NORRBOTTENS LÄN</t>
        </is>
      </c>
      <c r="E2686" t="inlineStr">
        <is>
          <t>PAJALA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50576-2023</t>
        </is>
      </c>
      <c r="B2687" s="1" t="n">
        <v>45210</v>
      </c>
      <c r="C2687" s="1" t="n">
        <v>45895</v>
      </c>
      <c r="D2687" t="inlineStr">
        <is>
          <t>NORRBOTTENS LÄN</t>
        </is>
      </c>
      <c r="E2687" t="inlineStr">
        <is>
          <t>KALIX</t>
        </is>
      </c>
      <c r="F2687" t="inlineStr">
        <is>
          <t>Kommuner</t>
        </is>
      </c>
      <c r="G2687" t="n">
        <v>17.1</v>
      </c>
      <c r="H2687" t="n">
        <v>0</v>
      </c>
      <c r="I2687" t="n">
        <v>0</v>
      </c>
      <c r="J2687" t="n">
        <v>0</v>
      </c>
      <c r="K2687" t="n">
        <v>0</v>
      </c>
      <c r="L2687" t="n">
        <v>0</v>
      </c>
      <c r="M2687" t="n">
        <v>0</v>
      </c>
      <c r="N2687" t="n">
        <v>0</v>
      </c>
      <c r="O2687" t="n">
        <v>0</v>
      </c>
      <c r="P2687" t="n">
        <v>0</v>
      </c>
      <c r="Q2687" t="n">
        <v>0</v>
      </c>
      <c r="R2687" s="2" t="inlineStr"/>
    </row>
    <row r="2688" ht="15" customHeight="1">
      <c r="A2688" t="inlineStr">
        <is>
          <t>A 56412-2021</t>
        </is>
      </c>
      <c r="B2688" s="1" t="n">
        <v>44477</v>
      </c>
      <c r="C2688" s="1" t="n">
        <v>45895</v>
      </c>
      <c r="D2688" t="inlineStr">
        <is>
          <t>NORRBOTTENS LÄN</t>
        </is>
      </c>
      <c r="E2688" t="inlineStr">
        <is>
          <t>JOKKMOKK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23592-2024</t>
        </is>
      </c>
      <c r="B2689" s="1" t="n">
        <v>45454</v>
      </c>
      <c r="C2689" s="1" t="n">
        <v>45895</v>
      </c>
      <c r="D2689" t="inlineStr">
        <is>
          <t>NORRBOTTENS LÄN</t>
        </is>
      </c>
      <c r="E2689" t="inlineStr">
        <is>
          <t>ARVIDSJAUR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32251-2024</t>
        </is>
      </c>
      <c r="B2690" s="1" t="n">
        <v>45511.95188657408</v>
      </c>
      <c r="C2690" s="1" t="n">
        <v>45895</v>
      </c>
      <c r="D2690" t="inlineStr">
        <is>
          <t>NORRBOTTENS LÄN</t>
        </is>
      </c>
      <c r="E2690" t="inlineStr">
        <is>
          <t>PITEÅ</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23336-2025</t>
        </is>
      </c>
      <c r="B2691" s="1" t="n">
        <v>45791.65248842593</v>
      </c>
      <c r="C2691" s="1" t="n">
        <v>45895</v>
      </c>
      <c r="D2691" t="inlineStr">
        <is>
          <t>NORRBOTTENS LÄN</t>
        </is>
      </c>
      <c r="E2691" t="inlineStr">
        <is>
          <t>ÄLVSBYN</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23531-2025</t>
        </is>
      </c>
      <c r="B2692" s="1" t="n">
        <v>45792</v>
      </c>
      <c r="C2692" s="1" t="n">
        <v>45895</v>
      </c>
      <c r="D2692" t="inlineStr">
        <is>
          <t>NORRBOTTENS LÄN</t>
        </is>
      </c>
      <c r="E2692" t="inlineStr">
        <is>
          <t>LULEÅ</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23534-2025</t>
        </is>
      </c>
      <c r="B2693" s="1" t="n">
        <v>45792</v>
      </c>
      <c r="C2693" s="1" t="n">
        <v>45895</v>
      </c>
      <c r="D2693" t="inlineStr">
        <is>
          <t>NORRBOTTENS LÄN</t>
        </is>
      </c>
      <c r="E2693" t="inlineStr">
        <is>
          <t>LULEÅ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39003-2023</t>
        </is>
      </c>
      <c r="B2694" s="1" t="n">
        <v>45163.6749537037</v>
      </c>
      <c r="C2694" s="1" t="n">
        <v>45895</v>
      </c>
      <c r="D2694" t="inlineStr">
        <is>
          <t>NORRBOTTENS LÄN</t>
        </is>
      </c>
      <c r="E2694" t="inlineStr">
        <is>
          <t>KALIX</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28958-2024</t>
        </is>
      </c>
      <c r="B2695" s="1" t="n">
        <v>45481</v>
      </c>
      <c r="C2695" s="1" t="n">
        <v>45895</v>
      </c>
      <c r="D2695" t="inlineStr">
        <is>
          <t>NORRBOTTENS LÄN</t>
        </is>
      </c>
      <c r="E2695" t="inlineStr">
        <is>
          <t>KALIX</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50597-2024</t>
        </is>
      </c>
      <c r="B2696" s="1" t="n">
        <v>45601</v>
      </c>
      <c r="C2696" s="1" t="n">
        <v>45895</v>
      </c>
      <c r="D2696" t="inlineStr">
        <is>
          <t>NORRBOTTENS LÄN</t>
        </is>
      </c>
      <c r="E2696" t="inlineStr">
        <is>
          <t>ÄLVSBYN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50642-2024</t>
        </is>
      </c>
      <c r="B2697" s="1" t="n">
        <v>45601.68076388889</v>
      </c>
      <c r="C2697" s="1" t="n">
        <v>45895</v>
      </c>
      <c r="D2697" t="inlineStr">
        <is>
          <t>NORRBOTTENS LÄN</t>
        </is>
      </c>
      <c r="E2697" t="inlineStr">
        <is>
          <t>LULEÅ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50645-2024</t>
        </is>
      </c>
      <c r="B2698" s="1" t="n">
        <v>45601.68283564815</v>
      </c>
      <c r="C2698" s="1" t="n">
        <v>45895</v>
      </c>
      <c r="D2698" t="inlineStr">
        <is>
          <t>NORRBOTTENS LÄN</t>
        </is>
      </c>
      <c r="E2698" t="inlineStr">
        <is>
          <t>LULEÅ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50651-2024</t>
        </is>
      </c>
      <c r="B2699" s="1" t="n">
        <v>45601.70364583333</v>
      </c>
      <c r="C2699" s="1" t="n">
        <v>45895</v>
      </c>
      <c r="D2699" t="inlineStr">
        <is>
          <t>NORRBOTTENS LÄN</t>
        </is>
      </c>
      <c r="E2699" t="inlineStr">
        <is>
          <t>JOKKMOKK</t>
        </is>
      </c>
      <c r="F2699" t="inlineStr">
        <is>
          <t>Allmännings- och besparingsskogar</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23861-2025</t>
        </is>
      </c>
      <c r="B2700" s="1" t="n">
        <v>45793</v>
      </c>
      <c r="C2700" s="1" t="n">
        <v>45895</v>
      </c>
      <c r="D2700" t="inlineStr">
        <is>
          <t>NORRBOTTENS LÄN</t>
        </is>
      </c>
      <c r="E2700" t="inlineStr">
        <is>
          <t>ÖVERKALIX</t>
        </is>
      </c>
      <c r="F2700" t="inlineStr">
        <is>
          <t>Sveaskog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23870-2025</t>
        </is>
      </c>
      <c r="B2701" s="1" t="n">
        <v>45793.67730324074</v>
      </c>
      <c r="C2701" s="1" t="n">
        <v>45895</v>
      </c>
      <c r="D2701" t="inlineStr">
        <is>
          <t>NORRBOTTENS LÄN</t>
        </is>
      </c>
      <c r="E2701" t="inlineStr">
        <is>
          <t>ÖVERKALIX</t>
        </is>
      </c>
      <c r="F2701" t="inlineStr">
        <is>
          <t>Sveaskog</t>
        </is>
      </c>
      <c r="G2701" t="n">
        <v>8.5</v>
      </c>
      <c r="H2701" t="n">
        <v>0</v>
      </c>
      <c r="I2701" t="n">
        <v>0</v>
      </c>
      <c r="J2701" t="n">
        <v>0</v>
      </c>
      <c r="K2701" t="n">
        <v>0</v>
      </c>
      <c r="L2701" t="n">
        <v>0</v>
      </c>
      <c r="M2701" t="n">
        <v>0</v>
      </c>
      <c r="N2701" t="n">
        <v>0</v>
      </c>
      <c r="O2701" t="n">
        <v>0</v>
      </c>
      <c r="P2701" t="n">
        <v>0</v>
      </c>
      <c r="Q2701" t="n">
        <v>0</v>
      </c>
      <c r="R2701" s="2" t="inlineStr"/>
    </row>
    <row r="2702" ht="15" customHeight="1">
      <c r="A2702" t="inlineStr">
        <is>
          <t>A 29681-2024</t>
        </is>
      </c>
      <c r="B2702" s="1" t="n">
        <v>45484.94334490741</v>
      </c>
      <c r="C2702" s="1" t="n">
        <v>45895</v>
      </c>
      <c r="D2702" t="inlineStr">
        <is>
          <t>NORRBOTTENS LÄN</t>
        </is>
      </c>
      <c r="E2702" t="inlineStr">
        <is>
          <t>ARVIDSJAUR</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11856-2023</t>
        </is>
      </c>
      <c r="B2703" s="1" t="n">
        <v>44995</v>
      </c>
      <c r="C2703" s="1" t="n">
        <v>45895</v>
      </c>
      <c r="D2703" t="inlineStr">
        <is>
          <t>NORRBOTTENS LÄN</t>
        </is>
      </c>
      <c r="E2703" t="inlineStr">
        <is>
          <t>KALIX</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11537-2025</t>
        </is>
      </c>
      <c r="B2704" s="1" t="n">
        <v>45726</v>
      </c>
      <c r="C2704" s="1" t="n">
        <v>45895</v>
      </c>
      <c r="D2704" t="inlineStr">
        <is>
          <t>NORRBOTTENS LÄN</t>
        </is>
      </c>
      <c r="E2704" t="inlineStr">
        <is>
          <t>ARVIDSJAUR</t>
        </is>
      </c>
      <c r="F2704" t="inlineStr">
        <is>
          <t>Allmännings- och besparingsskogar</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11571-2025</t>
        </is>
      </c>
      <c r="B2705" s="1" t="n">
        <v>45726</v>
      </c>
      <c r="C2705" s="1" t="n">
        <v>45895</v>
      </c>
      <c r="D2705" t="inlineStr">
        <is>
          <t>NORRBOTTENS LÄN</t>
        </is>
      </c>
      <c r="E2705" t="inlineStr">
        <is>
          <t>ARVIDSJAUR</t>
        </is>
      </c>
      <c r="F2705" t="inlineStr">
        <is>
          <t>Allmännings- och besparingsskogar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50438-2024</t>
        </is>
      </c>
      <c r="B2706" s="1" t="n">
        <v>45601.41054398148</v>
      </c>
      <c r="C2706" s="1" t="n">
        <v>45895</v>
      </c>
      <c r="D2706" t="inlineStr">
        <is>
          <t>NORRBOTTENS LÄN</t>
        </is>
      </c>
      <c r="E2706" t="inlineStr">
        <is>
          <t>PITEÅ</t>
        </is>
      </c>
      <c r="G2706" t="n">
        <v>38.7</v>
      </c>
      <c r="H2706" t="n">
        <v>0</v>
      </c>
      <c r="I2706" t="n">
        <v>0</v>
      </c>
      <c r="J2706" t="n">
        <v>0</v>
      </c>
      <c r="K2706" t="n">
        <v>0</v>
      </c>
      <c r="L2706" t="n">
        <v>0</v>
      </c>
      <c r="M2706" t="n">
        <v>0</v>
      </c>
      <c r="N2706" t="n">
        <v>0</v>
      </c>
      <c r="O2706" t="n">
        <v>0</v>
      </c>
      <c r="P2706" t="n">
        <v>0</v>
      </c>
      <c r="Q2706" t="n">
        <v>0</v>
      </c>
      <c r="R2706" s="2" t="inlineStr"/>
    </row>
    <row r="2707" ht="15" customHeight="1">
      <c r="A2707" t="inlineStr">
        <is>
          <t>A 45512-2022</t>
        </is>
      </c>
      <c r="B2707" s="1" t="n">
        <v>44841</v>
      </c>
      <c r="C2707" s="1" t="n">
        <v>45895</v>
      </c>
      <c r="D2707" t="inlineStr">
        <is>
          <t>NORRBOTTENS LÄN</t>
        </is>
      </c>
      <c r="E2707" t="inlineStr">
        <is>
          <t>JOKKMOKK</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40432-2024</t>
        </is>
      </c>
      <c r="B2708" s="1" t="n">
        <v>45555.47401620371</v>
      </c>
      <c r="C2708" s="1" t="n">
        <v>45895</v>
      </c>
      <c r="D2708" t="inlineStr">
        <is>
          <t>NORRBOTTENS LÄN</t>
        </is>
      </c>
      <c r="E2708" t="inlineStr">
        <is>
          <t>JOKKMOKK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57214-2022</t>
        </is>
      </c>
      <c r="B2709" s="1" t="n">
        <v>44895.65135416666</v>
      </c>
      <c r="C2709" s="1" t="n">
        <v>45895</v>
      </c>
      <c r="D2709" t="inlineStr">
        <is>
          <t>NORRBOTTENS LÄN</t>
        </is>
      </c>
      <c r="E2709" t="inlineStr">
        <is>
          <t>ÄLVSBYN</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57233-2022</t>
        </is>
      </c>
      <c r="B2710" s="1" t="n">
        <v>44895.67405092593</v>
      </c>
      <c r="C2710" s="1" t="n">
        <v>45895</v>
      </c>
      <c r="D2710" t="inlineStr">
        <is>
          <t>NORRBOTTENS LÄN</t>
        </is>
      </c>
      <c r="E2710" t="inlineStr">
        <is>
          <t>ÄLVSBYN</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23719-2025</t>
        </is>
      </c>
      <c r="B2711" s="1" t="n">
        <v>45793.40042824074</v>
      </c>
      <c r="C2711" s="1" t="n">
        <v>45895</v>
      </c>
      <c r="D2711" t="inlineStr">
        <is>
          <t>NORRBOTTENS LÄN</t>
        </is>
      </c>
      <c r="E2711" t="inlineStr">
        <is>
          <t>LULEÅ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18780-2024</t>
        </is>
      </c>
      <c r="B2712" s="1" t="n">
        <v>45426</v>
      </c>
      <c r="C2712" s="1" t="n">
        <v>45895</v>
      </c>
      <c r="D2712" t="inlineStr">
        <is>
          <t>NORRBOTTENS LÄN</t>
        </is>
      </c>
      <c r="E2712" t="inlineStr">
        <is>
          <t>ARVIDSJAUR</t>
        </is>
      </c>
      <c r="F2712" t="inlineStr">
        <is>
          <t>Sveaskog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48128-2024</t>
        </is>
      </c>
      <c r="B2713" s="1" t="n">
        <v>45589.64586805556</v>
      </c>
      <c r="C2713" s="1" t="n">
        <v>45895</v>
      </c>
      <c r="D2713" t="inlineStr">
        <is>
          <t>NORRBOTTENS LÄN</t>
        </is>
      </c>
      <c r="E2713" t="inlineStr">
        <is>
          <t>KALIX</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54863-2022</t>
        </is>
      </c>
      <c r="B2714" s="1" t="n">
        <v>44884</v>
      </c>
      <c r="C2714" s="1" t="n">
        <v>45895</v>
      </c>
      <c r="D2714" t="inlineStr">
        <is>
          <t>NORRBOTTENS LÄN</t>
        </is>
      </c>
      <c r="E2714" t="inlineStr">
        <is>
          <t>PAJALA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4919-2025</t>
        </is>
      </c>
      <c r="B2715" s="1" t="n">
        <v>45688.68407407407</v>
      </c>
      <c r="C2715" s="1" t="n">
        <v>45895</v>
      </c>
      <c r="D2715" t="inlineStr">
        <is>
          <t>NORRBOTTENS LÄN</t>
        </is>
      </c>
      <c r="E2715" t="inlineStr">
        <is>
          <t>LULEÅ</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32061-2024</t>
        </is>
      </c>
      <c r="B2716" s="1" t="n">
        <v>45510</v>
      </c>
      <c r="C2716" s="1" t="n">
        <v>45895</v>
      </c>
      <c r="D2716" t="inlineStr">
        <is>
          <t>NORRBOTTENS LÄN</t>
        </is>
      </c>
      <c r="E2716" t="inlineStr">
        <is>
          <t>ÖVERKALIX</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44557-2023</t>
        </is>
      </c>
      <c r="B2717" s="1" t="n">
        <v>45189.53853009259</v>
      </c>
      <c r="C2717" s="1" t="n">
        <v>45895</v>
      </c>
      <c r="D2717" t="inlineStr">
        <is>
          <t>NORRBOTTENS LÄN</t>
        </is>
      </c>
      <c r="E2717" t="inlineStr">
        <is>
          <t>ARVIDSJAUR</t>
        </is>
      </c>
      <c r="F2717" t="inlineStr">
        <is>
          <t>Sveaskog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17000-2023</t>
        </is>
      </c>
      <c r="B2718" s="1" t="n">
        <v>45033</v>
      </c>
      <c r="C2718" s="1" t="n">
        <v>45895</v>
      </c>
      <c r="D2718" t="inlineStr">
        <is>
          <t>NORRBOTTENS LÄN</t>
        </is>
      </c>
      <c r="E2718" t="inlineStr">
        <is>
          <t>PAJALA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44213-2024</t>
        </is>
      </c>
      <c r="B2719" s="1" t="n">
        <v>45573</v>
      </c>
      <c r="C2719" s="1" t="n">
        <v>45895</v>
      </c>
      <c r="D2719" t="inlineStr">
        <is>
          <t>NORRBOTTENS LÄN</t>
        </is>
      </c>
      <c r="E2719" t="inlineStr">
        <is>
          <t>ÄLVSBYN</t>
        </is>
      </c>
      <c r="G2719" t="n">
        <v>13.5</v>
      </c>
      <c r="H2719" t="n">
        <v>0</v>
      </c>
      <c r="I2719" t="n">
        <v>0</v>
      </c>
      <c r="J2719" t="n">
        <v>0</v>
      </c>
      <c r="K2719" t="n">
        <v>0</v>
      </c>
      <c r="L2719" t="n">
        <v>0</v>
      </c>
      <c r="M2719" t="n">
        <v>0</v>
      </c>
      <c r="N2719" t="n">
        <v>0</v>
      </c>
      <c r="O2719" t="n">
        <v>0</v>
      </c>
      <c r="P2719" t="n">
        <v>0</v>
      </c>
      <c r="Q2719" t="n">
        <v>0</v>
      </c>
      <c r="R2719" s="2" t="inlineStr"/>
    </row>
    <row r="2720" ht="15" customHeight="1">
      <c r="A2720" t="inlineStr">
        <is>
          <t>A 21559-2023</t>
        </is>
      </c>
      <c r="B2720" s="1" t="n">
        <v>45063.57871527778</v>
      </c>
      <c r="C2720" s="1" t="n">
        <v>45895</v>
      </c>
      <c r="D2720" t="inlineStr">
        <is>
          <t>NORRBOTTENS LÄN</t>
        </is>
      </c>
      <c r="E2720" t="inlineStr">
        <is>
          <t>ÖVERKALIX</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7845-2024</t>
        </is>
      </c>
      <c r="B2721" s="1" t="n">
        <v>45349</v>
      </c>
      <c r="C2721" s="1" t="n">
        <v>45895</v>
      </c>
      <c r="D2721" t="inlineStr">
        <is>
          <t>NORRBOTTENS LÄN</t>
        </is>
      </c>
      <c r="E2721" t="inlineStr">
        <is>
          <t>JOKKMOKK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61925-2024</t>
        </is>
      </c>
      <c r="B2722" s="1" t="n">
        <v>45653</v>
      </c>
      <c r="C2722" s="1" t="n">
        <v>45895</v>
      </c>
      <c r="D2722" t="inlineStr">
        <is>
          <t>NORRBOTTENS LÄN</t>
        </is>
      </c>
      <c r="E2722" t="inlineStr">
        <is>
          <t>HAPARANDA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61942-2024</t>
        </is>
      </c>
      <c r="B2723" s="1" t="n">
        <v>45653.48405092592</v>
      </c>
      <c r="C2723" s="1" t="n">
        <v>45895</v>
      </c>
      <c r="D2723" t="inlineStr">
        <is>
          <t>NORRBOTTENS LÄN</t>
        </is>
      </c>
      <c r="E2723" t="inlineStr">
        <is>
          <t>LULEÅ</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71487-2021</t>
        </is>
      </c>
      <c r="B2724" s="1" t="n">
        <v>44539</v>
      </c>
      <c r="C2724" s="1" t="n">
        <v>45895</v>
      </c>
      <c r="D2724" t="inlineStr">
        <is>
          <t>NORRBOTTENS LÄN</t>
        </is>
      </c>
      <c r="E2724" t="inlineStr">
        <is>
          <t>PITEÅ</t>
        </is>
      </c>
      <c r="F2724" t="inlineStr">
        <is>
          <t>Kommuner</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41182-2024</t>
        </is>
      </c>
      <c r="B2725" s="1" t="n">
        <v>45559.49592592593</v>
      </c>
      <c r="C2725" s="1" t="n">
        <v>45895</v>
      </c>
      <c r="D2725" t="inlineStr">
        <is>
          <t>NORRBOTTENS LÄN</t>
        </is>
      </c>
      <c r="E2725" t="inlineStr">
        <is>
          <t>PITEÅ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41188-2024</t>
        </is>
      </c>
      <c r="B2726" s="1" t="n">
        <v>45559.50427083333</v>
      </c>
      <c r="C2726" s="1" t="n">
        <v>45895</v>
      </c>
      <c r="D2726" t="inlineStr">
        <is>
          <t>NORRBOTTENS LÄN</t>
        </is>
      </c>
      <c r="E2726" t="inlineStr">
        <is>
          <t>PITEÅ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16965-2024</t>
        </is>
      </c>
      <c r="B2727" s="1" t="n">
        <v>45411</v>
      </c>
      <c r="C2727" s="1" t="n">
        <v>45895</v>
      </c>
      <c r="D2727" t="inlineStr">
        <is>
          <t>NORRBOTTENS LÄN</t>
        </is>
      </c>
      <c r="E2727" t="inlineStr">
        <is>
          <t>BODEN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334-2025</t>
        </is>
      </c>
      <c r="B2728" s="1" t="n">
        <v>45660.67420138889</v>
      </c>
      <c r="C2728" s="1" t="n">
        <v>45895</v>
      </c>
      <c r="D2728" t="inlineStr">
        <is>
          <t>NORRBOTTENS LÄN</t>
        </is>
      </c>
      <c r="E2728" t="inlineStr">
        <is>
          <t>PAJALA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338-2025</t>
        </is>
      </c>
      <c r="B2729" s="1" t="n">
        <v>45660</v>
      </c>
      <c r="C2729" s="1" t="n">
        <v>45895</v>
      </c>
      <c r="D2729" t="inlineStr">
        <is>
          <t>NORRBOTTENS LÄN</t>
        </is>
      </c>
      <c r="E2729" t="inlineStr">
        <is>
          <t>PAJALA</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63828-2020</t>
        </is>
      </c>
      <c r="B2730" s="1" t="n">
        <v>44165</v>
      </c>
      <c r="C2730" s="1" t="n">
        <v>45895</v>
      </c>
      <c r="D2730" t="inlineStr">
        <is>
          <t>NORRBOTTENS LÄN</t>
        </is>
      </c>
      <c r="E2730" t="inlineStr">
        <is>
          <t>LULEÅ</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52908-2024</t>
        </is>
      </c>
      <c r="B2731" s="1" t="n">
        <v>45610</v>
      </c>
      <c r="C2731" s="1" t="n">
        <v>45895</v>
      </c>
      <c r="D2731" t="inlineStr">
        <is>
          <t>NORRBOTTENS LÄN</t>
        </is>
      </c>
      <c r="E2731" t="inlineStr">
        <is>
          <t>PITEÅ</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53752-2023</t>
        </is>
      </c>
      <c r="B2732" s="1" t="n">
        <v>45230</v>
      </c>
      <c r="C2732" s="1" t="n">
        <v>45895</v>
      </c>
      <c r="D2732" t="inlineStr">
        <is>
          <t>NORRBOTTENS LÄN</t>
        </is>
      </c>
      <c r="E2732" t="inlineStr">
        <is>
          <t>PITEÅ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25991-2024</t>
        </is>
      </c>
      <c r="B2733" s="1" t="n">
        <v>45467.76189814815</v>
      </c>
      <c r="C2733" s="1" t="n">
        <v>45895</v>
      </c>
      <c r="D2733" t="inlineStr">
        <is>
          <t>NORRBOTTENS LÄN</t>
        </is>
      </c>
      <c r="E2733" t="inlineStr">
        <is>
          <t>ÖVERKALIX</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11716-2023</t>
        </is>
      </c>
      <c r="B2734" s="1" t="n">
        <v>44992</v>
      </c>
      <c r="C2734" s="1" t="n">
        <v>45895</v>
      </c>
      <c r="D2734" t="inlineStr">
        <is>
          <t>NORRBOTTENS LÄN</t>
        </is>
      </c>
      <c r="E2734" t="inlineStr">
        <is>
          <t>LULEÅ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54941-2024</t>
        </is>
      </c>
      <c r="B2735" s="1" t="n">
        <v>45618.9441087963</v>
      </c>
      <c r="C2735" s="1" t="n">
        <v>45895</v>
      </c>
      <c r="D2735" t="inlineStr">
        <is>
          <t>NORRBOTTENS LÄN</t>
        </is>
      </c>
      <c r="E2735" t="inlineStr">
        <is>
          <t>PITEÅ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60772-2024</t>
        </is>
      </c>
      <c r="B2736" s="1" t="n">
        <v>45644</v>
      </c>
      <c r="C2736" s="1" t="n">
        <v>45895</v>
      </c>
      <c r="D2736" t="inlineStr">
        <is>
          <t>NORRBOTTENS LÄN</t>
        </is>
      </c>
      <c r="E2736" t="inlineStr">
        <is>
          <t>ÖVERKALIX</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3701-2024</t>
        </is>
      </c>
      <c r="B2737" s="1" t="n">
        <v>45321</v>
      </c>
      <c r="C2737" s="1" t="n">
        <v>45895</v>
      </c>
      <c r="D2737" t="inlineStr">
        <is>
          <t>NORRBOTTENS LÄN</t>
        </is>
      </c>
      <c r="E2737" t="inlineStr">
        <is>
          <t>ÖVERKALIX</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58643-2024</t>
        </is>
      </c>
      <c r="B2738" s="1" t="n">
        <v>45635.58863425926</v>
      </c>
      <c r="C2738" s="1" t="n">
        <v>45895</v>
      </c>
      <c r="D2738" t="inlineStr">
        <is>
          <t>NORRBOTTENS LÄN</t>
        </is>
      </c>
      <c r="E2738" t="inlineStr">
        <is>
          <t>PAJALA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58698-2024</t>
        </is>
      </c>
      <c r="B2739" s="1" t="n">
        <v>45635.63734953704</v>
      </c>
      <c r="C2739" s="1" t="n">
        <v>45895</v>
      </c>
      <c r="D2739" t="inlineStr">
        <is>
          <t>NORRBOTTENS LÄN</t>
        </is>
      </c>
      <c r="E2739" t="inlineStr">
        <is>
          <t>PITEÅ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24132-2025</t>
        </is>
      </c>
      <c r="B2740" s="1" t="n">
        <v>45796.63579861111</v>
      </c>
      <c r="C2740" s="1" t="n">
        <v>45895</v>
      </c>
      <c r="D2740" t="inlineStr">
        <is>
          <t>NORRBOTTENS LÄN</t>
        </is>
      </c>
      <c r="E2740" t="inlineStr">
        <is>
          <t>PAJALA</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61066-2024</t>
        </is>
      </c>
      <c r="B2741" s="1" t="n">
        <v>45645.49744212963</v>
      </c>
      <c r="C2741" s="1" t="n">
        <v>45895</v>
      </c>
      <c r="D2741" t="inlineStr">
        <is>
          <t>NORRBOTTENS LÄN</t>
        </is>
      </c>
      <c r="E2741" t="inlineStr">
        <is>
          <t>KIRUNA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4012-2022</t>
        </is>
      </c>
      <c r="B2742" s="1" t="n">
        <v>44587</v>
      </c>
      <c r="C2742" s="1" t="n">
        <v>45895</v>
      </c>
      <c r="D2742" t="inlineStr">
        <is>
          <t>NORRBOTTENS LÄN</t>
        </is>
      </c>
      <c r="E2742" t="inlineStr">
        <is>
          <t>ÖVERTORNEÅ</t>
        </is>
      </c>
      <c r="F2742" t="inlineStr">
        <is>
          <t>Kommuner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24139-2025</t>
        </is>
      </c>
      <c r="B2743" s="1" t="n">
        <v>45796</v>
      </c>
      <c r="C2743" s="1" t="n">
        <v>45895</v>
      </c>
      <c r="D2743" t="inlineStr">
        <is>
          <t>NORRBOTTENS LÄN</t>
        </is>
      </c>
      <c r="E2743" t="inlineStr">
        <is>
          <t>GÄLLIVARE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24144-2025</t>
        </is>
      </c>
      <c r="B2744" s="1" t="n">
        <v>45796.6446412037</v>
      </c>
      <c r="C2744" s="1" t="n">
        <v>45895</v>
      </c>
      <c r="D2744" t="inlineStr">
        <is>
          <t>NORRBOTTENS LÄN</t>
        </is>
      </c>
      <c r="E2744" t="inlineStr">
        <is>
          <t>ÖVERKALIX</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86-2025</t>
        </is>
      </c>
      <c r="B2745" s="1" t="n">
        <v>45659.45902777778</v>
      </c>
      <c r="C2745" s="1" t="n">
        <v>45895</v>
      </c>
      <c r="D2745" t="inlineStr">
        <is>
          <t>NORRBOTTENS LÄN</t>
        </is>
      </c>
      <c r="E2745" t="inlineStr">
        <is>
          <t>LULEÅ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5166-2025</t>
        </is>
      </c>
      <c r="B2746" s="1" t="n">
        <v>45691</v>
      </c>
      <c r="C2746" s="1" t="n">
        <v>45895</v>
      </c>
      <c r="D2746" t="inlineStr">
        <is>
          <t>NORRBOTTENS LÄN</t>
        </is>
      </c>
      <c r="E2746" t="inlineStr">
        <is>
          <t>GÄLLIVARE</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58034-2024</t>
        </is>
      </c>
      <c r="B2747" s="1" t="n">
        <v>45631.71248842592</v>
      </c>
      <c r="C2747" s="1" t="n">
        <v>45895</v>
      </c>
      <c r="D2747" t="inlineStr">
        <is>
          <t>NORRBOTTENS LÄN</t>
        </is>
      </c>
      <c r="E2747" t="inlineStr">
        <is>
          <t>PITEÅ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23895-2025</t>
        </is>
      </c>
      <c r="B2748" s="1" t="n">
        <v>45794</v>
      </c>
      <c r="C2748" s="1" t="n">
        <v>45895</v>
      </c>
      <c r="D2748" t="inlineStr">
        <is>
          <t>NORRBOTTENS LÄN</t>
        </is>
      </c>
      <c r="E2748" t="inlineStr">
        <is>
          <t>PAJALA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2426-2024</t>
        </is>
      </c>
      <c r="B2749" s="1" t="n">
        <v>45310.9390162037</v>
      </c>
      <c r="C2749" s="1" t="n">
        <v>45895</v>
      </c>
      <c r="D2749" t="inlineStr">
        <is>
          <t>NORRBOTTENS LÄN</t>
        </is>
      </c>
      <c r="E2749" t="inlineStr">
        <is>
          <t>BODEN</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3165-2024</t>
        </is>
      </c>
      <c r="B2750" s="1" t="n">
        <v>45316</v>
      </c>
      <c r="C2750" s="1" t="n">
        <v>45895</v>
      </c>
      <c r="D2750" t="inlineStr">
        <is>
          <t>NORRBOTTENS LÄN</t>
        </is>
      </c>
      <c r="E2750" t="inlineStr">
        <is>
          <t>ARVIDSJAUR</t>
        </is>
      </c>
      <c r="F2750" t="inlineStr">
        <is>
          <t>Allmännings- och besparingsskogar</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4514-2022</t>
        </is>
      </c>
      <c r="B2751" s="1" t="n">
        <v>44589</v>
      </c>
      <c r="C2751" s="1" t="n">
        <v>45895</v>
      </c>
      <c r="D2751" t="inlineStr">
        <is>
          <t>NORRBOTTENS LÄN</t>
        </is>
      </c>
      <c r="E2751" t="inlineStr">
        <is>
          <t>ÖVERTORNEÅ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24125-2025</t>
        </is>
      </c>
      <c r="B2752" s="1" t="n">
        <v>45796</v>
      </c>
      <c r="C2752" s="1" t="n">
        <v>45895</v>
      </c>
      <c r="D2752" t="inlineStr">
        <is>
          <t>NORRBOTTENS LÄN</t>
        </is>
      </c>
      <c r="E2752" t="inlineStr">
        <is>
          <t>GÄLLIVARE</t>
        </is>
      </c>
      <c r="F2752" t="inlineStr">
        <is>
          <t>Allmännings- och besparingsskogar</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24058-2025</t>
        </is>
      </c>
      <c r="B2753" s="1" t="n">
        <v>45796.51097222222</v>
      </c>
      <c r="C2753" s="1" t="n">
        <v>45895</v>
      </c>
      <c r="D2753" t="inlineStr">
        <is>
          <t>NORRBOTTENS LÄN</t>
        </is>
      </c>
      <c r="E2753" t="inlineStr">
        <is>
          <t>BODEN</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6459-2025</t>
        </is>
      </c>
      <c r="B2754" s="1" t="n">
        <v>45699.56368055556</v>
      </c>
      <c r="C2754" s="1" t="n">
        <v>45895</v>
      </c>
      <c r="D2754" t="inlineStr">
        <is>
          <t>NORRBOTTENS LÄN</t>
        </is>
      </c>
      <c r="E2754" t="inlineStr">
        <is>
          <t>LULEÅ</t>
        </is>
      </c>
      <c r="F2754" t="inlineStr">
        <is>
          <t>Övriga Aktiebolag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20448-2023</t>
        </is>
      </c>
      <c r="B2755" s="1" t="n">
        <v>45056.93006944445</v>
      </c>
      <c r="C2755" s="1" t="n">
        <v>45895</v>
      </c>
      <c r="D2755" t="inlineStr">
        <is>
          <t>NORRBOTTENS LÄN</t>
        </is>
      </c>
      <c r="E2755" t="inlineStr">
        <is>
          <t>PITEÅ</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20449-2023</t>
        </is>
      </c>
      <c r="B2756" s="1" t="n">
        <v>45056</v>
      </c>
      <c r="C2756" s="1" t="n">
        <v>45895</v>
      </c>
      <c r="D2756" t="inlineStr">
        <is>
          <t>NORRBOTTENS LÄN</t>
        </is>
      </c>
      <c r="E2756" t="inlineStr">
        <is>
          <t>PITEÅ</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58083-2024</t>
        </is>
      </c>
      <c r="B2757" s="1" t="n">
        <v>45632</v>
      </c>
      <c r="C2757" s="1" t="n">
        <v>45895</v>
      </c>
      <c r="D2757" t="inlineStr">
        <is>
          <t>NORRBOTTENS LÄN</t>
        </is>
      </c>
      <c r="E2757" t="inlineStr">
        <is>
          <t>ÖVERTORNEÅ</t>
        </is>
      </c>
      <c r="G2757" t="n">
        <v>13.2</v>
      </c>
      <c r="H2757" t="n">
        <v>0</v>
      </c>
      <c r="I2757" t="n">
        <v>0</v>
      </c>
      <c r="J2757" t="n">
        <v>0</v>
      </c>
      <c r="K2757" t="n">
        <v>0</v>
      </c>
      <c r="L2757" t="n">
        <v>0</v>
      </c>
      <c r="M2757" t="n">
        <v>0</v>
      </c>
      <c r="N2757" t="n">
        <v>0</v>
      </c>
      <c r="O2757" t="n">
        <v>0</v>
      </c>
      <c r="P2757" t="n">
        <v>0</v>
      </c>
      <c r="Q2757" t="n">
        <v>0</v>
      </c>
      <c r="R2757" s="2" t="inlineStr"/>
    </row>
    <row r="2758" ht="15" customHeight="1">
      <c r="A2758" t="inlineStr">
        <is>
          <t>A 20254-2024</t>
        </is>
      </c>
      <c r="B2758" s="1" t="n">
        <v>45434</v>
      </c>
      <c r="C2758" s="1" t="n">
        <v>45895</v>
      </c>
      <c r="D2758" t="inlineStr">
        <is>
          <t>NORRBOTTENS LÄN</t>
        </is>
      </c>
      <c r="E2758" t="inlineStr">
        <is>
          <t>ÄLVSBYN</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1262-2025</t>
        </is>
      </c>
      <c r="B2759" s="1" t="n">
        <v>45667</v>
      </c>
      <c r="C2759" s="1" t="n">
        <v>45895</v>
      </c>
      <c r="D2759" t="inlineStr">
        <is>
          <t>NORRBOTTENS LÄN</t>
        </is>
      </c>
      <c r="E2759" t="inlineStr">
        <is>
          <t>KALIX</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9878-2023</t>
        </is>
      </c>
      <c r="B2760" s="1" t="n">
        <v>44984</v>
      </c>
      <c r="C2760" s="1" t="n">
        <v>45895</v>
      </c>
      <c r="D2760" t="inlineStr">
        <is>
          <t>NORRBOTTENS LÄN</t>
        </is>
      </c>
      <c r="E2760" t="inlineStr">
        <is>
          <t>JOKKMOKK</t>
        </is>
      </c>
      <c r="F2760" t="inlineStr">
        <is>
          <t>SCA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35194-2024</t>
        </is>
      </c>
      <c r="B2761" s="1" t="n">
        <v>45530</v>
      </c>
      <c r="C2761" s="1" t="n">
        <v>45895</v>
      </c>
      <c r="D2761" t="inlineStr">
        <is>
          <t>NORRBOTTENS LÄN</t>
        </is>
      </c>
      <c r="E2761" t="inlineStr">
        <is>
          <t>ARJEPLOG</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58101-2024</t>
        </is>
      </c>
      <c r="B2762" s="1" t="n">
        <v>45632.36780092592</v>
      </c>
      <c r="C2762" s="1" t="n">
        <v>45895</v>
      </c>
      <c r="D2762" t="inlineStr">
        <is>
          <t>NORRBOTTENS LÄN</t>
        </is>
      </c>
      <c r="E2762" t="inlineStr">
        <is>
          <t>ÖVERTORNEÅ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18771-2023</t>
        </is>
      </c>
      <c r="B2763" s="1" t="n">
        <v>45043.94283564815</v>
      </c>
      <c r="C2763" s="1" t="n">
        <v>45895</v>
      </c>
      <c r="D2763" t="inlineStr">
        <is>
          <t>NORRBOTTENS LÄN</t>
        </is>
      </c>
      <c r="E2763" t="inlineStr">
        <is>
          <t>PITEÅ</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45307-2024</t>
        </is>
      </c>
      <c r="B2764" s="1" t="n">
        <v>45576.42760416667</v>
      </c>
      <c r="C2764" s="1" t="n">
        <v>45895</v>
      </c>
      <c r="D2764" t="inlineStr">
        <is>
          <t>NORRBOTTENS LÄN</t>
        </is>
      </c>
      <c r="E2764" t="inlineStr">
        <is>
          <t>KALIX</t>
        </is>
      </c>
      <c r="F2764" t="inlineStr">
        <is>
          <t>SCA</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11657-2024</t>
        </is>
      </c>
      <c r="B2765" s="1" t="n">
        <v>45373</v>
      </c>
      <c r="C2765" s="1" t="n">
        <v>45895</v>
      </c>
      <c r="D2765" t="inlineStr">
        <is>
          <t>NORRBOTTENS LÄN</t>
        </is>
      </c>
      <c r="E2765" t="inlineStr">
        <is>
          <t>JOKKMOKK</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57442-2022</t>
        </is>
      </c>
      <c r="B2766" s="1" t="n">
        <v>44896</v>
      </c>
      <c r="C2766" s="1" t="n">
        <v>45895</v>
      </c>
      <c r="D2766" t="inlineStr">
        <is>
          <t>NORRBOTTENS LÄN</t>
        </is>
      </c>
      <c r="E2766" t="inlineStr">
        <is>
          <t>GÄLLIVARE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51642-2024</t>
        </is>
      </c>
      <c r="B2767" s="1" t="n">
        <v>45605.82144675926</v>
      </c>
      <c r="C2767" s="1" t="n">
        <v>45895</v>
      </c>
      <c r="D2767" t="inlineStr">
        <is>
          <t>NORRBOTTENS LÄN</t>
        </is>
      </c>
      <c r="E2767" t="inlineStr">
        <is>
          <t>PITEÅ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60466-2022</t>
        </is>
      </c>
      <c r="B2768" s="1" t="n">
        <v>44911</v>
      </c>
      <c r="C2768" s="1" t="n">
        <v>45895</v>
      </c>
      <c r="D2768" t="inlineStr">
        <is>
          <t>NORRBOTTENS LÄN</t>
        </is>
      </c>
      <c r="E2768" t="inlineStr">
        <is>
          <t>ARVIDSJAUR</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45326-2024</t>
        </is>
      </c>
      <c r="B2769" s="1" t="n">
        <v>45576</v>
      </c>
      <c r="C2769" s="1" t="n">
        <v>45895</v>
      </c>
      <c r="D2769" t="inlineStr">
        <is>
          <t>NORRBOTTENS LÄN</t>
        </is>
      </c>
      <c r="E2769" t="inlineStr">
        <is>
          <t>ARJEPLOG</t>
        </is>
      </c>
      <c r="F2769" t="inlineStr">
        <is>
          <t>Sveaskog</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23863-2025</t>
        </is>
      </c>
      <c r="B2770" s="1" t="n">
        <v>45793.66555555556</v>
      </c>
      <c r="C2770" s="1" t="n">
        <v>45895</v>
      </c>
      <c r="D2770" t="inlineStr">
        <is>
          <t>NORRBOTTENS LÄN</t>
        </is>
      </c>
      <c r="E2770" t="inlineStr">
        <is>
          <t>ÖVERKALIX</t>
        </is>
      </c>
      <c r="F2770" t="inlineStr">
        <is>
          <t>Sveaskog</t>
        </is>
      </c>
      <c r="G2770" t="n">
        <v>10.1</v>
      </c>
      <c r="H2770" t="n">
        <v>0</v>
      </c>
      <c r="I2770" t="n">
        <v>0</v>
      </c>
      <c r="J2770" t="n">
        <v>0</v>
      </c>
      <c r="K2770" t="n">
        <v>0</v>
      </c>
      <c r="L2770" t="n">
        <v>0</v>
      </c>
      <c r="M2770" t="n">
        <v>0</v>
      </c>
      <c r="N2770" t="n">
        <v>0</v>
      </c>
      <c r="O2770" t="n">
        <v>0</v>
      </c>
      <c r="P2770" t="n">
        <v>0</v>
      </c>
      <c r="Q2770" t="n">
        <v>0</v>
      </c>
      <c r="R2770" s="2" t="inlineStr"/>
    </row>
    <row r="2771" ht="15" customHeight="1">
      <c r="A2771" t="inlineStr">
        <is>
          <t>A 60516-2022</t>
        </is>
      </c>
      <c r="B2771" s="1" t="n">
        <v>44911</v>
      </c>
      <c r="C2771" s="1" t="n">
        <v>45895</v>
      </c>
      <c r="D2771" t="inlineStr">
        <is>
          <t>NORRBOTTENS LÄN</t>
        </is>
      </c>
      <c r="E2771" t="inlineStr">
        <is>
          <t>ARVIDSJAUR</t>
        </is>
      </c>
      <c r="F2771" t="inlineStr">
        <is>
          <t>Sveaskog</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16447-2024</t>
        </is>
      </c>
      <c r="B2772" s="1" t="n">
        <v>45407.96989583333</v>
      </c>
      <c r="C2772" s="1" t="n">
        <v>45895</v>
      </c>
      <c r="D2772" t="inlineStr">
        <is>
          <t>NORRBOTTENS LÄN</t>
        </is>
      </c>
      <c r="E2772" t="inlineStr">
        <is>
          <t>PAJALA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16448-2024</t>
        </is>
      </c>
      <c r="B2773" s="1" t="n">
        <v>45407.97009259259</v>
      </c>
      <c r="C2773" s="1" t="n">
        <v>45895</v>
      </c>
      <c r="D2773" t="inlineStr">
        <is>
          <t>NORRBOTTENS LÄN</t>
        </is>
      </c>
      <c r="E2773" t="inlineStr">
        <is>
          <t>PAJALA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47239-2023</t>
        </is>
      </c>
      <c r="B2774" s="1" t="n">
        <v>45196</v>
      </c>
      <c r="C2774" s="1" t="n">
        <v>45895</v>
      </c>
      <c r="D2774" t="inlineStr">
        <is>
          <t>NORRBOTTENS LÄN</t>
        </is>
      </c>
      <c r="E2774" t="inlineStr">
        <is>
          <t>GÄLLIVARE</t>
        </is>
      </c>
      <c r="F2774" t="inlineStr">
        <is>
          <t>Övriga statliga verk och myndigheter</t>
        </is>
      </c>
      <c r="G2774" t="n">
        <v>65.40000000000001</v>
      </c>
      <c r="H2774" t="n">
        <v>0</v>
      </c>
      <c r="I2774" t="n">
        <v>0</v>
      </c>
      <c r="J2774" t="n">
        <v>0</v>
      </c>
      <c r="K2774" t="n">
        <v>0</v>
      </c>
      <c r="L2774" t="n">
        <v>0</v>
      </c>
      <c r="M2774" t="n">
        <v>0</v>
      </c>
      <c r="N2774" t="n">
        <v>0</v>
      </c>
      <c r="O2774" t="n">
        <v>0</v>
      </c>
      <c r="P2774" t="n">
        <v>0</v>
      </c>
      <c r="Q2774" t="n">
        <v>0</v>
      </c>
      <c r="R2774" s="2" t="inlineStr"/>
    </row>
    <row r="2775" ht="15" customHeight="1">
      <c r="A2775" t="inlineStr">
        <is>
          <t>A 47239-2023</t>
        </is>
      </c>
      <c r="B2775" s="1" t="n">
        <v>45196</v>
      </c>
      <c r="C2775" s="1" t="n">
        <v>45895</v>
      </c>
      <c r="D2775" t="inlineStr">
        <is>
          <t>NORRBOTTENS LÄN</t>
        </is>
      </c>
      <c r="E2775" t="inlineStr">
        <is>
          <t>GÄLLIVARE</t>
        </is>
      </c>
      <c r="F2775" t="inlineStr">
        <is>
          <t>Övriga statliga verk och myndigheter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38127-2024</t>
        </is>
      </c>
      <c r="B2776" s="1" t="n">
        <v>45545.40748842592</v>
      </c>
      <c r="C2776" s="1" t="n">
        <v>45895</v>
      </c>
      <c r="D2776" t="inlineStr">
        <is>
          <t>NORRBOTTENS LÄN</t>
        </is>
      </c>
      <c r="E2776" t="inlineStr">
        <is>
          <t>ÖVERTORNEÅ</t>
        </is>
      </c>
      <c r="F2776" t="inlineStr">
        <is>
          <t>Sveaskog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38154-2024</t>
        </is>
      </c>
      <c r="B2777" s="1" t="n">
        <v>45545</v>
      </c>
      <c r="C2777" s="1" t="n">
        <v>45895</v>
      </c>
      <c r="D2777" t="inlineStr">
        <is>
          <t>NORRBOTTENS LÄN</t>
        </is>
      </c>
      <c r="E2777" t="inlineStr">
        <is>
          <t>ÖVERKALIX</t>
        </is>
      </c>
      <c r="F2777" t="inlineStr">
        <is>
          <t>Sveaskog</t>
        </is>
      </c>
      <c r="G2777" t="n">
        <v>11.7</v>
      </c>
      <c r="H2777" t="n">
        <v>0</v>
      </c>
      <c r="I2777" t="n">
        <v>0</v>
      </c>
      <c r="J2777" t="n">
        <v>0</v>
      </c>
      <c r="K2777" t="n">
        <v>0</v>
      </c>
      <c r="L2777" t="n">
        <v>0</v>
      </c>
      <c r="M2777" t="n">
        <v>0</v>
      </c>
      <c r="N2777" t="n">
        <v>0</v>
      </c>
      <c r="O2777" t="n">
        <v>0</v>
      </c>
      <c r="P2777" t="n">
        <v>0</v>
      </c>
      <c r="Q2777" t="n">
        <v>0</v>
      </c>
      <c r="R2777" s="2" t="inlineStr"/>
    </row>
    <row r="2778" ht="15" customHeight="1">
      <c r="A2778" t="inlineStr">
        <is>
          <t>A 21112-2025</t>
        </is>
      </c>
      <c r="B2778" s="1" t="n">
        <v>45777</v>
      </c>
      <c r="C2778" s="1" t="n">
        <v>45895</v>
      </c>
      <c r="D2778" t="inlineStr">
        <is>
          <t>NORRBOTTENS LÄN</t>
        </is>
      </c>
      <c r="E2778" t="inlineStr">
        <is>
          <t>KIRUNA</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49721-2022</t>
        </is>
      </c>
      <c r="B2779" s="1" t="n">
        <v>44859</v>
      </c>
      <c r="C2779" s="1" t="n">
        <v>45895</v>
      </c>
      <c r="D2779" t="inlineStr">
        <is>
          <t>NORRBOTTENS LÄN</t>
        </is>
      </c>
      <c r="E2779" t="inlineStr">
        <is>
          <t>LULEÅ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39378-2023</t>
        </is>
      </c>
      <c r="B2780" s="1" t="n">
        <v>45166.6403125</v>
      </c>
      <c r="C2780" s="1" t="n">
        <v>45895</v>
      </c>
      <c r="D2780" t="inlineStr">
        <is>
          <t>NORRBOTTENS LÄN</t>
        </is>
      </c>
      <c r="E2780" t="inlineStr">
        <is>
          <t>ÄLVSBYN</t>
        </is>
      </c>
      <c r="G2780" t="n">
        <v>10.8</v>
      </c>
      <c r="H2780" t="n">
        <v>0</v>
      </c>
      <c r="I2780" t="n">
        <v>0</v>
      </c>
      <c r="J2780" t="n">
        <v>0</v>
      </c>
      <c r="K2780" t="n">
        <v>0</v>
      </c>
      <c r="L2780" t="n">
        <v>0</v>
      </c>
      <c r="M2780" t="n">
        <v>0</v>
      </c>
      <c r="N2780" t="n">
        <v>0</v>
      </c>
      <c r="O2780" t="n">
        <v>0</v>
      </c>
      <c r="P2780" t="n">
        <v>0</v>
      </c>
      <c r="Q2780" t="n">
        <v>0</v>
      </c>
      <c r="R2780" s="2" t="inlineStr"/>
    </row>
    <row r="2781" ht="15" customHeight="1">
      <c r="A2781" t="inlineStr">
        <is>
          <t>A 62137-2024</t>
        </is>
      </c>
      <c r="B2781" s="1" t="n">
        <v>45646</v>
      </c>
      <c r="C2781" s="1" t="n">
        <v>45895</v>
      </c>
      <c r="D2781" t="inlineStr">
        <is>
          <t>NORRBOTTENS LÄN</t>
        </is>
      </c>
      <c r="E2781" t="inlineStr">
        <is>
          <t>BODEN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49727-2022</t>
        </is>
      </c>
      <c r="B2782" s="1" t="n">
        <v>44859</v>
      </c>
      <c r="C2782" s="1" t="n">
        <v>45895</v>
      </c>
      <c r="D2782" t="inlineStr">
        <is>
          <t>NORRBOTTENS LÄN</t>
        </is>
      </c>
      <c r="E2782" t="inlineStr">
        <is>
          <t>LULEÅ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49746-2022</t>
        </is>
      </c>
      <c r="B2783" s="1" t="n">
        <v>44859</v>
      </c>
      <c r="C2783" s="1" t="n">
        <v>45895</v>
      </c>
      <c r="D2783" t="inlineStr">
        <is>
          <t>NORRBOTTENS LÄN</t>
        </is>
      </c>
      <c r="E2783" t="inlineStr">
        <is>
          <t>LULEÅ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11080-2024</t>
        </is>
      </c>
      <c r="B2784" s="1" t="n">
        <v>45370</v>
      </c>
      <c r="C2784" s="1" t="n">
        <v>45895</v>
      </c>
      <c r="D2784" t="inlineStr">
        <is>
          <t>NORRBOTTENS LÄN</t>
        </is>
      </c>
      <c r="E2784" t="inlineStr">
        <is>
          <t>PAJALA</t>
        </is>
      </c>
      <c r="G2784" t="n">
        <v>14.6</v>
      </c>
      <c r="H2784" t="n">
        <v>0</v>
      </c>
      <c r="I2784" t="n">
        <v>0</v>
      </c>
      <c r="J2784" t="n">
        <v>0</v>
      </c>
      <c r="K2784" t="n">
        <v>0</v>
      </c>
      <c r="L2784" t="n">
        <v>0</v>
      </c>
      <c r="M2784" t="n">
        <v>0</v>
      </c>
      <c r="N2784" t="n">
        <v>0</v>
      </c>
      <c r="O2784" t="n">
        <v>0</v>
      </c>
      <c r="P2784" t="n">
        <v>0</v>
      </c>
      <c r="Q2784" t="n">
        <v>0</v>
      </c>
      <c r="R2784" s="2" t="inlineStr"/>
    </row>
    <row r="2785" ht="15" customHeight="1">
      <c r="A2785" t="inlineStr">
        <is>
          <t>A 55873-2020</t>
        </is>
      </c>
      <c r="B2785" s="1" t="n">
        <v>44131</v>
      </c>
      <c r="C2785" s="1" t="n">
        <v>45895</v>
      </c>
      <c r="D2785" t="inlineStr">
        <is>
          <t>NORRBOTTENS LÄN</t>
        </is>
      </c>
      <c r="E2785" t="inlineStr">
        <is>
          <t>ÄLVSBYN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52006-2022</t>
        </is>
      </c>
      <c r="B2786" s="1" t="n">
        <v>44872.92953703704</v>
      </c>
      <c r="C2786" s="1" t="n">
        <v>45895</v>
      </c>
      <c r="D2786" t="inlineStr">
        <is>
          <t>NORRBOTTENS LÄN</t>
        </is>
      </c>
      <c r="E2786" t="inlineStr">
        <is>
          <t>HAPARANDA</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59825-2024</t>
        </is>
      </c>
      <c r="B2787" s="1" t="n">
        <v>45639.64152777778</v>
      </c>
      <c r="C2787" s="1" t="n">
        <v>45895</v>
      </c>
      <c r="D2787" t="inlineStr">
        <is>
          <t>NORRBOTTENS LÄN</t>
        </is>
      </c>
      <c r="E2787" t="inlineStr">
        <is>
          <t>LULEÅ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47845-2023</t>
        </is>
      </c>
      <c r="B2788" s="1" t="n">
        <v>45204.39530092593</v>
      </c>
      <c r="C2788" s="1" t="n">
        <v>45895</v>
      </c>
      <c r="D2788" t="inlineStr">
        <is>
          <t>NORRBOTTENS LÄN</t>
        </is>
      </c>
      <c r="E2788" t="inlineStr">
        <is>
          <t>PITEÅ</t>
        </is>
      </c>
      <c r="F2788" t="inlineStr">
        <is>
          <t>Sveaskog</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61583-2024</t>
        </is>
      </c>
      <c r="B2789" s="1" t="n">
        <v>45646.62667824074</v>
      </c>
      <c r="C2789" s="1" t="n">
        <v>45895</v>
      </c>
      <c r="D2789" t="inlineStr">
        <is>
          <t>NORRBOTTENS LÄN</t>
        </is>
      </c>
      <c r="E2789" t="inlineStr">
        <is>
          <t>BODEN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61587-2024</t>
        </is>
      </c>
      <c r="B2790" s="1" t="n">
        <v>45646.62850694444</v>
      </c>
      <c r="C2790" s="1" t="n">
        <v>45895</v>
      </c>
      <c r="D2790" t="inlineStr">
        <is>
          <t>NORRBOTTENS LÄN</t>
        </is>
      </c>
      <c r="E2790" t="inlineStr">
        <is>
          <t>BODEN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46781-2020</t>
        </is>
      </c>
      <c r="B2791" s="1" t="n">
        <v>44096</v>
      </c>
      <c r="C2791" s="1" t="n">
        <v>45895</v>
      </c>
      <c r="D2791" t="inlineStr">
        <is>
          <t>NORRBOTTENS LÄN</t>
        </is>
      </c>
      <c r="E2791" t="inlineStr">
        <is>
          <t>PAJALA</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57870-2022</t>
        </is>
      </c>
      <c r="B2792" s="1" t="n">
        <v>44899</v>
      </c>
      <c r="C2792" s="1" t="n">
        <v>45895</v>
      </c>
      <c r="D2792" t="inlineStr">
        <is>
          <t>NORRBOTTENS LÄN</t>
        </is>
      </c>
      <c r="E2792" t="inlineStr">
        <is>
          <t>ÖVERKALIX</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2799-2025</t>
        </is>
      </c>
      <c r="B2793" s="1" t="n">
        <v>45677</v>
      </c>
      <c r="C2793" s="1" t="n">
        <v>45895</v>
      </c>
      <c r="D2793" t="inlineStr">
        <is>
          <t>NORRBOTTENS LÄN</t>
        </is>
      </c>
      <c r="E2793" t="inlineStr">
        <is>
          <t>PAJALA</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36586-2024</t>
        </is>
      </c>
      <c r="B2794" s="1" t="n">
        <v>45537</v>
      </c>
      <c r="C2794" s="1" t="n">
        <v>45895</v>
      </c>
      <c r="D2794" t="inlineStr">
        <is>
          <t>NORRBOTTENS LÄN</t>
        </is>
      </c>
      <c r="E2794" t="inlineStr">
        <is>
          <t>ÖVERTORNEÅ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7459-2024</t>
        </is>
      </c>
      <c r="B2795" s="1" t="n">
        <v>45345</v>
      </c>
      <c r="C2795" s="1" t="n">
        <v>45895</v>
      </c>
      <c r="D2795" t="inlineStr">
        <is>
          <t>NORRBOTTENS LÄN</t>
        </is>
      </c>
      <c r="E2795" t="inlineStr">
        <is>
          <t>PITEÅ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51285-2023</t>
        </is>
      </c>
      <c r="B2796" s="1" t="n">
        <v>45219</v>
      </c>
      <c r="C2796" s="1" t="n">
        <v>45895</v>
      </c>
      <c r="D2796" t="inlineStr">
        <is>
          <t>NORRBOTTENS LÄN</t>
        </is>
      </c>
      <c r="E2796" t="inlineStr">
        <is>
          <t>PITEÅ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36815-2024</t>
        </is>
      </c>
      <c r="B2797" s="1" t="n">
        <v>45538</v>
      </c>
      <c r="C2797" s="1" t="n">
        <v>45895</v>
      </c>
      <c r="D2797" t="inlineStr">
        <is>
          <t>NORRBOTTENS LÄN</t>
        </is>
      </c>
      <c r="E2797" t="inlineStr">
        <is>
          <t>ARVIDSJAUR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21702-2023</t>
        </is>
      </c>
      <c r="B2798" s="1" t="n">
        <v>45064</v>
      </c>
      <c r="C2798" s="1" t="n">
        <v>45895</v>
      </c>
      <c r="D2798" t="inlineStr">
        <is>
          <t>NORRBOTTENS LÄN</t>
        </is>
      </c>
      <c r="E2798" t="inlineStr">
        <is>
          <t>PAJALA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31536-2025</t>
        </is>
      </c>
      <c r="B2799" s="1" t="n">
        <v>45833</v>
      </c>
      <c r="C2799" s="1" t="n">
        <v>45895</v>
      </c>
      <c r="D2799" t="inlineStr">
        <is>
          <t>NORRBOTTENS LÄN</t>
        </is>
      </c>
      <c r="E2799" t="inlineStr">
        <is>
          <t>KIRUNA</t>
        </is>
      </c>
      <c r="F2799" t="inlineStr">
        <is>
          <t>Övriga statliga verk och myndigheter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53423-2022</t>
        </is>
      </c>
      <c r="B2800" s="1" t="n">
        <v>44874</v>
      </c>
      <c r="C2800" s="1" t="n">
        <v>45895</v>
      </c>
      <c r="D2800" t="inlineStr">
        <is>
          <t>NORRBOTTENS LÄN</t>
        </is>
      </c>
      <c r="E2800" t="inlineStr">
        <is>
          <t>PAJALA</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23722-2025</t>
        </is>
      </c>
      <c r="B2801" s="1" t="n">
        <v>45793.40636574074</v>
      </c>
      <c r="C2801" s="1" t="n">
        <v>45895</v>
      </c>
      <c r="D2801" t="inlineStr">
        <is>
          <t>NORRBOTTENS LÄN</t>
        </is>
      </c>
      <c r="E2801" t="inlineStr">
        <is>
          <t>LULEÅ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62446-2022</t>
        </is>
      </c>
      <c r="B2802" s="1" t="n">
        <v>44924</v>
      </c>
      <c r="C2802" s="1" t="n">
        <v>45895</v>
      </c>
      <c r="D2802" t="inlineStr">
        <is>
          <t>NORRBOTTENS LÄN</t>
        </is>
      </c>
      <c r="E2802" t="inlineStr">
        <is>
          <t>KALIX</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37289-2024</t>
        </is>
      </c>
      <c r="B2803" s="1" t="n">
        <v>45540</v>
      </c>
      <c r="C2803" s="1" t="n">
        <v>45895</v>
      </c>
      <c r="D2803" t="inlineStr">
        <is>
          <t>NORRBOTTENS LÄN</t>
        </is>
      </c>
      <c r="E2803" t="inlineStr">
        <is>
          <t>PAJALA</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55343-2024</t>
        </is>
      </c>
      <c r="B2804" s="1" t="n">
        <v>45621.71971064815</v>
      </c>
      <c r="C2804" s="1" t="n">
        <v>45895</v>
      </c>
      <c r="D2804" t="inlineStr">
        <is>
          <t>NORRBOTTENS LÄN</t>
        </is>
      </c>
      <c r="E2804" t="inlineStr">
        <is>
          <t>PAJALA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61107-2022</t>
        </is>
      </c>
      <c r="B2805" s="1" t="n">
        <v>44908</v>
      </c>
      <c r="C2805" s="1" t="n">
        <v>45895</v>
      </c>
      <c r="D2805" t="inlineStr">
        <is>
          <t>NORRBOTTENS LÄN</t>
        </is>
      </c>
      <c r="E2805" t="inlineStr">
        <is>
          <t>BODEN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3833-2025</t>
        </is>
      </c>
      <c r="B2806" s="1" t="n">
        <v>45682</v>
      </c>
      <c r="C2806" s="1" t="n">
        <v>45895</v>
      </c>
      <c r="D2806" t="inlineStr">
        <is>
          <t>NORRBOTTENS LÄN</t>
        </is>
      </c>
      <c r="E2806" t="inlineStr">
        <is>
          <t>BODEN</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51062-2024</t>
        </is>
      </c>
      <c r="B2807" s="1" t="n">
        <v>45603.44844907407</v>
      </c>
      <c r="C2807" s="1" t="n">
        <v>45895</v>
      </c>
      <c r="D2807" t="inlineStr">
        <is>
          <t>NORRBOTTENS LÄN</t>
        </is>
      </c>
      <c r="E2807" t="inlineStr">
        <is>
          <t>PAJALA</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41313-2021</t>
        </is>
      </c>
      <c r="B2808" s="1" t="n">
        <v>44424</v>
      </c>
      <c r="C2808" s="1" t="n">
        <v>45895</v>
      </c>
      <c r="D2808" t="inlineStr">
        <is>
          <t>NORRBOTTENS LÄN</t>
        </is>
      </c>
      <c r="E2808" t="inlineStr">
        <is>
          <t>ARVIDSJAUR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61133-2022</t>
        </is>
      </c>
      <c r="B2809" s="1" t="n">
        <v>44915.44876157407</v>
      </c>
      <c r="C2809" s="1" t="n">
        <v>45895</v>
      </c>
      <c r="D2809" t="inlineStr">
        <is>
          <t>NORRBOTTENS LÄN</t>
        </is>
      </c>
      <c r="E2809" t="inlineStr">
        <is>
          <t>ARVIDSJAUR</t>
        </is>
      </c>
      <c r="F2809" t="inlineStr">
        <is>
          <t>Sveaskog</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3870-2025</t>
        </is>
      </c>
      <c r="B2810" s="1" t="n">
        <v>45684.3259837963</v>
      </c>
      <c r="C2810" s="1" t="n">
        <v>45895</v>
      </c>
      <c r="D2810" t="inlineStr">
        <is>
          <t>NORRBOTTENS LÄN</t>
        </is>
      </c>
      <c r="E2810" t="inlineStr">
        <is>
          <t>PITEÅ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3887-2025</t>
        </is>
      </c>
      <c r="B2811" s="1" t="n">
        <v>45684.36634259259</v>
      </c>
      <c r="C2811" s="1" t="n">
        <v>45895</v>
      </c>
      <c r="D2811" t="inlineStr">
        <is>
          <t>NORRBOTTENS LÄN</t>
        </is>
      </c>
      <c r="E2811" t="inlineStr">
        <is>
          <t>PITEÅ</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24141-2025</t>
        </is>
      </c>
      <c r="B2812" s="1" t="n">
        <v>45796.64229166666</v>
      </c>
      <c r="C2812" s="1" t="n">
        <v>45895</v>
      </c>
      <c r="D2812" t="inlineStr">
        <is>
          <t>NORRBOTTENS LÄN</t>
        </is>
      </c>
      <c r="E2812" t="inlineStr">
        <is>
          <t>ÖVERKALIX</t>
        </is>
      </c>
      <c r="F2812" t="inlineStr">
        <is>
          <t>Sveaskog</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24148-2025</t>
        </is>
      </c>
      <c r="B2813" s="1" t="n">
        <v>45796</v>
      </c>
      <c r="C2813" s="1" t="n">
        <v>45895</v>
      </c>
      <c r="D2813" t="inlineStr">
        <is>
          <t>NORRBOTTENS LÄN</t>
        </is>
      </c>
      <c r="E2813" t="inlineStr">
        <is>
          <t>GÄLLIVARE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24155-2025</t>
        </is>
      </c>
      <c r="B2814" s="1" t="n">
        <v>45796.65706018519</v>
      </c>
      <c r="C2814" s="1" t="n">
        <v>45895</v>
      </c>
      <c r="D2814" t="inlineStr">
        <is>
          <t>NORRBOTTENS LÄN</t>
        </is>
      </c>
      <c r="E2814" t="inlineStr">
        <is>
          <t>PAJALA</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20580-2024</t>
        </is>
      </c>
      <c r="B2815" s="1" t="n">
        <v>45436.40979166667</v>
      </c>
      <c r="C2815" s="1" t="n">
        <v>45895</v>
      </c>
      <c r="D2815" t="inlineStr">
        <is>
          <t>NORRBOTTENS LÄN</t>
        </is>
      </c>
      <c r="E2815" t="inlineStr">
        <is>
          <t>ÖVERKALIX</t>
        </is>
      </c>
      <c r="F2815" t="inlineStr">
        <is>
          <t>Sveaskog</t>
        </is>
      </c>
      <c r="G2815" t="n">
        <v>29.9</v>
      </c>
      <c r="H2815" t="n">
        <v>0</v>
      </c>
      <c r="I2815" t="n">
        <v>0</v>
      </c>
      <c r="J2815" t="n">
        <v>0</v>
      </c>
      <c r="K2815" t="n">
        <v>0</v>
      </c>
      <c r="L2815" t="n">
        <v>0</v>
      </c>
      <c r="M2815" t="n">
        <v>0</v>
      </c>
      <c r="N2815" t="n">
        <v>0</v>
      </c>
      <c r="O2815" t="n">
        <v>0</v>
      </c>
      <c r="P2815" t="n">
        <v>0</v>
      </c>
      <c r="Q2815" t="n">
        <v>0</v>
      </c>
      <c r="R2815" s="2" t="inlineStr"/>
    </row>
    <row r="2816" ht="15" customHeight="1">
      <c r="A2816" t="inlineStr">
        <is>
          <t>A 23866-2025</t>
        </is>
      </c>
      <c r="B2816" s="1" t="n">
        <v>45793</v>
      </c>
      <c r="C2816" s="1" t="n">
        <v>45895</v>
      </c>
      <c r="D2816" t="inlineStr">
        <is>
          <t>NORRBOTTENS LÄN</t>
        </is>
      </c>
      <c r="E2816" t="inlineStr">
        <is>
          <t>ÖVERKALIX</t>
        </is>
      </c>
      <c r="F2816" t="inlineStr">
        <is>
          <t>Sveaskog</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2723-2025</t>
        </is>
      </c>
      <c r="B2817" s="1" t="n">
        <v>45677</v>
      </c>
      <c r="C2817" s="1" t="n">
        <v>45895</v>
      </c>
      <c r="D2817" t="inlineStr">
        <is>
          <t>NORRBOTTENS LÄN</t>
        </is>
      </c>
      <c r="E2817" t="inlineStr">
        <is>
          <t>ÖVERKALIX</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2725-2025</t>
        </is>
      </c>
      <c r="B2818" s="1" t="n">
        <v>45677.43979166666</v>
      </c>
      <c r="C2818" s="1" t="n">
        <v>45895</v>
      </c>
      <c r="D2818" t="inlineStr">
        <is>
          <t>NORRBOTTENS LÄN</t>
        </is>
      </c>
      <c r="E2818" t="inlineStr">
        <is>
          <t>ÖVERKALIX</t>
        </is>
      </c>
      <c r="G2818" t="n">
        <v>13.6</v>
      </c>
      <c r="H2818" t="n">
        <v>0</v>
      </c>
      <c r="I2818" t="n">
        <v>0</v>
      </c>
      <c r="J2818" t="n">
        <v>0</v>
      </c>
      <c r="K2818" t="n">
        <v>0</v>
      </c>
      <c r="L2818" t="n">
        <v>0</v>
      </c>
      <c r="M2818" t="n">
        <v>0</v>
      </c>
      <c r="N2818" t="n">
        <v>0</v>
      </c>
      <c r="O2818" t="n">
        <v>0</v>
      </c>
      <c r="P2818" t="n">
        <v>0</v>
      </c>
      <c r="Q2818" t="n">
        <v>0</v>
      </c>
      <c r="R2818" s="2" t="inlineStr"/>
    </row>
    <row r="2819" ht="15" customHeight="1">
      <c r="A2819" t="inlineStr">
        <is>
          <t>A 30950-2024</t>
        </is>
      </c>
      <c r="B2819" s="1" t="n">
        <v>45499</v>
      </c>
      <c r="C2819" s="1" t="n">
        <v>45895</v>
      </c>
      <c r="D2819" t="inlineStr">
        <is>
          <t>NORRBOTTENS LÄN</t>
        </is>
      </c>
      <c r="E2819" t="inlineStr">
        <is>
          <t>LULEÅ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53836-2024</t>
        </is>
      </c>
      <c r="B2820" s="1" t="n">
        <v>45615.62185185185</v>
      </c>
      <c r="C2820" s="1" t="n">
        <v>45895</v>
      </c>
      <c r="D2820" t="inlineStr">
        <is>
          <t>NORRBOTTENS LÄN</t>
        </is>
      </c>
      <c r="E2820" t="inlineStr">
        <is>
          <t>LULEÅ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2768-2025</t>
        </is>
      </c>
      <c r="B2821" s="1" t="n">
        <v>45677.49145833333</v>
      </c>
      <c r="C2821" s="1" t="n">
        <v>45895</v>
      </c>
      <c r="D2821" t="inlineStr">
        <is>
          <t>NORRBOTTENS LÄN</t>
        </is>
      </c>
      <c r="E2821" t="inlineStr">
        <is>
          <t>PITEÅ</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48531-2023</t>
        </is>
      </c>
      <c r="B2822" s="1" t="n">
        <v>45208</v>
      </c>
      <c r="C2822" s="1" t="n">
        <v>45895</v>
      </c>
      <c r="D2822" t="inlineStr">
        <is>
          <t>NORRBOTTENS LÄN</t>
        </is>
      </c>
      <c r="E2822" t="inlineStr">
        <is>
          <t>GÄLLIVARE</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34680-2023</t>
        </is>
      </c>
      <c r="B2823" s="1" t="n">
        <v>45140</v>
      </c>
      <c r="C2823" s="1" t="n">
        <v>45895</v>
      </c>
      <c r="D2823" t="inlineStr">
        <is>
          <t>NORRBOTTENS LÄN</t>
        </is>
      </c>
      <c r="E2823" t="inlineStr">
        <is>
          <t>LULEÅ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2550-2024</t>
        </is>
      </c>
      <c r="B2824" s="1" t="n">
        <v>45313</v>
      </c>
      <c r="C2824" s="1" t="n">
        <v>45895</v>
      </c>
      <c r="D2824" t="inlineStr">
        <is>
          <t>NORRBOTTENS LÄN</t>
        </is>
      </c>
      <c r="E2824" t="inlineStr">
        <is>
          <t>PITEÅ</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49852-2024</t>
        </is>
      </c>
      <c r="B2825" s="1" t="n">
        <v>45597.46708333334</v>
      </c>
      <c r="C2825" s="1" t="n">
        <v>45895</v>
      </c>
      <c r="D2825" t="inlineStr">
        <is>
          <t>NORRBOTTENS LÄN</t>
        </is>
      </c>
      <c r="E2825" t="inlineStr">
        <is>
          <t>HAPARANDA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23944-2025</t>
        </is>
      </c>
      <c r="B2826" s="1" t="n">
        <v>45796.34444444445</v>
      </c>
      <c r="C2826" s="1" t="n">
        <v>45895</v>
      </c>
      <c r="D2826" t="inlineStr">
        <is>
          <t>NORRBOTTENS LÄN</t>
        </is>
      </c>
      <c r="E2826" t="inlineStr">
        <is>
          <t>GÄLLIVARE</t>
        </is>
      </c>
      <c r="F2826" t="inlineStr">
        <is>
          <t>SCA</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23949-2025</t>
        </is>
      </c>
      <c r="B2827" s="1" t="n">
        <v>45796.3506712963</v>
      </c>
      <c r="C2827" s="1" t="n">
        <v>45895</v>
      </c>
      <c r="D2827" t="inlineStr">
        <is>
          <t>NORRBOTTENS LÄN</t>
        </is>
      </c>
      <c r="E2827" t="inlineStr">
        <is>
          <t>PITEÅ</t>
        </is>
      </c>
      <c r="G2827" t="n">
        <v>13.4</v>
      </c>
      <c r="H2827" t="n">
        <v>0</v>
      </c>
      <c r="I2827" t="n">
        <v>0</v>
      </c>
      <c r="J2827" t="n">
        <v>0</v>
      </c>
      <c r="K2827" t="n">
        <v>0</v>
      </c>
      <c r="L2827" t="n">
        <v>0</v>
      </c>
      <c r="M2827" t="n">
        <v>0</v>
      </c>
      <c r="N2827" t="n">
        <v>0</v>
      </c>
      <c r="O2827" t="n">
        <v>0</v>
      </c>
      <c r="P2827" t="n">
        <v>0</v>
      </c>
      <c r="Q2827" t="n">
        <v>0</v>
      </c>
      <c r="R2827" s="2" t="inlineStr"/>
    </row>
    <row r="2828" ht="15" customHeight="1">
      <c r="A2828" t="inlineStr">
        <is>
          <t>A 4776-2022</t>
        </is>
      </c>
      <c r="B2828" s="1" t="n">
        <v>44592</v>
      </c>
      <c r="C2828" s="1" t="n">
        <v>45895</v>
      </c>
      <c r="D2828" t="inlineStr">
        <is>
          <t>NORRBOTTENS LÄN</t>
        </is>
      </c>
      <c r="E2828" t="inlineStr">
        <is>
          <t>PITEÅ</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20029-2025</t>
        </is>
      </c>
      <c r="B2829" s="1" t="n">
        <v>45772.35642361111</v>
      </c>
      <c r="C2829" s="1" t="n">
        <v>45895</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55545-2024</t>
        </is>
      </c>
      <c r="B2830" s="1" t="n">
        <v>45622.50797453704</v>
      </c>
      <c r="C2830" s="1" t="n">
        <v>45895</v>
      </c>
      <c r="D2830" t="inlineStr">
        <is>
          <t>NORRBOTTENS LÄN</t>
        </is>
      </c>
      <c r="E2830" t="inlineStr">
        <is>
          <t>ÖVERTORNEÅ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9631-2022</t>
        </is>
      </c>
      <c r="B2831" s="1" t="n">
        <v>44617</v>
      </c>
      <c r="C2831" s="1" t="n">
        <v>45895</v>
      </c>
      <c r="D2831" t="inlineStr">
        <is>
          <t>NORRBOTTENS LÄN</t>
        </is>
      </c>
      <c r="E2831" t="inlineStr">
        <is>
          <t>ÄLVSBYN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58953-2024</t>
        </is>
      </c>
      <c r="B2832" s="1" t="n">
        <v>45636.56960648148</v>
      </c>
      <c r="C2832" s="1" t="n">
        <v>45895</v>
      </c>
      <c r="D2832" t="inlineStr">
        <is>
          <t>NORRBOTTENS LÄN</t>
        </is>
      </c>
      <c r="E2832" t="inlineStr">
        <is>
          <t>HAPARANDA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58973-2024</t>
        </is>
      </c>
      <c r="B2833" s="1" t="n">
        <v>45636.60680555556</v>
      </c>
      <c r="C2833" s="1" t="n">
        <v>45895</v>
      </c>
      <c r="D2833" t="inlineStr">
        <is>
          <t>NORRBOTTENS LÄN</t>
        </is>
      </c>
      <c r="E2833" t="inlineStr">
        <is>
          <t>PITEÅ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11092-2022</t>
        </is>
      </c>
      <c r="B2834" s="1" t="n">
        <v>44628</v>
      </c>
      <c r="C2834" s="1" t="n">
        <v>45895</v>
      </c>
      <c r="D2834" t="inlineStr">
        <is>
          <t>NORRBOTTENS LÄN</t>
        </is>
      </c>
      <c r="E2834" t="inlineStr">
        <is>
          <t>BODEN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3557-2025</t>
        </is>
      </c>
      <c r="B2835" s="1" t="n">
        <v>45680</v>
      </c>
      <c r="C2835" s="1" t="n">
        <v>45895</v>
      </c>
      <c r="D2835" t="inlineStr">
        <is>
          <t>NORRBOTTENS LÄN</t>
        </is>
      </c>
      <c r="E2835" t="inlineStr">
        <is>
          <t>JOKKMOKK</t>
        </is>
      </c>
      <c r="F2835" t="inlineStr">
        <is>
          <t>Övriga statliga verk och myndigheter</t>
        </is>
      </c>
      <c r="G2835" t="n">
        <v>60.6</v>
      </c>
      <c r="H2835" t="n">
        <v>0</v>
      </c>
      <c r="I2835" t="n">
        <v>0</v>
      </c>
      <c r="J2835" t="n">
        <v>0</v>
      </c>
      <c r="K2835" t="n">
        <v>0</v>
      </c>
      <c r="L2835" t="n">
        <v>0</v>
      </c>
      <c r="M2835" t="n">
        <v>0</v>
      </c>
      <c r="N2835" t="n">
        <v>0</v>
      </c>
      <c r="O2835" t="n">
        <v>0</v>
      </c>
      <c r="P2835" t="n">
        <v>0</v>
      </c>
      <c r="Q2835" t="n">
        <v>0</v>
      </c>
      <c r="R2835" s="2" t="inlineStr"/>
    </row>
    <row r="2836" ht="15" customHeight="1">
      <c r="A2836" t="inlineStr">
        <is>
          <t>A 23724-2025</t>
        </is>
      </c>
      <c r="B2836" s="1" t="n">
        <v>45793</v>
      </c>
      <c r="C2836" s="1" t="n">
        <v>45895</v>
      </c>
      <c r="D2836" t="inlineStr">
        <is>
          <t>NORRBOTTENS LÄN</t>
        </is>
      </c>
      <c r="E2836" t="inlineStr">
        <is>
          <t>BODEN</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3649-2025</t>
        </is>
      </c>
      <c r="B2837" s="1" t="n">
        <v>45681</v>
      </c>
      <c r="C2837" s="1" t="n">
        <v>45895</v>
      </c>
      <c r="D2837" t="inlineStr">
        <is>
          <t>NORRBOTTENS LÄN</t>
        </is>
      </c>
      <c r="E2837" t="inlineStr">
        <is>
          <t>PITEÅ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11501-2024</t>
        </is>
      </c>
      <c r="B2838" s="1" t="n">
        <v>45372</v>
      </c>
      <c r="C2838" s="1" t="n">
        <v>45895</v>
      </c>
      <c r="D2838" t="inlineStr">
        <is>
          <t>NORRBOTTENS LÄN</t>
        </is>
      </c>
      <c r="E2838" t="inlineStr">
        <is>
          <t>PAJALA</t>
        </is>
      </c>
      <c r="F2838" t="inlineStr">
        <is>
          <t>Allmännings- och besparingsskogar</t>
        </is>
      </c>
      <c r="G2838" t="n">
        <v>46.9</v>
      </c>
      <c r="H2838" t="n">
        <v>0</v>
      </c>
      <c r="I2838" t="n">
        <v>0</v>
      </c>
      <c r="J2838" t="n">
        <v>0</v>
      </c>
      <c r="K2838" t="n">
        <v>0</v>
      </c>
      <c r="L2838" t="n">
        <v>0</v>
      </c>
      <c r="M2838" t="n">
        <v>0</v>
      </c>
      <c r="N2838" t="n">
        <v>0</v>
      </c>
      <c r="O2838" t="n">
        <v>0</v>
      </c>
      <c r="P2838" t="n">
        <v>0</v>
      </c>
      <c r="Q2838" t="n">
        <v>0</v>
      </c>
      <c r="R2838" s="2" t="inlineStr"/>
    </row>
    <row r="2839" ht="15" customHeight="1">
      <c r="A2839" t="inlineStr">
        <is>
          <t>A 49830-2024</t>
        </is>
      </c>
      <c r="B2839" s="1" t="n">
        <v>45597.42755787037</v>
      </c>
      <c r="C2839" s="1" t="n">
        <v>45895</v>
      </c>
      <c r="D2839" t="inlineStr">
        <is>
          <t>NORRBOTTENS LÄN</t>
        </is>
      </c>
      <c r="E2839" t="inlineStr">
        <is>
          <t>PAJALA</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49848-2024</t>
        </is>
      </c>
      <c r="B2840" s="1" t="n">
        <v>45597.46230324074</v>
      </c>
      <c r="C2840" s="1" t="n">
        <v>45895</v>
      </c>
      <c r="D2840" t="inlineStr">
        <is>
          <t>NORRBOTTENS LÄN</t>
        </is>
      </c>
      <c r="E2840" t="inlineStr">
        <is>
          <t>HAPARANDA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27777-2024</t>
        </is>
      </c>
      <c r="B2841" s="1" t="n">
        <v>45475.53988425926</v>
      </c>
      <c r="C2841" s="1" t="n">
        <v>45895</v>
      </c>
      <c r="D2841" t="inlineStr">
        <is>
          <t>NORRBOTTENS LÄN</t>
        </is>
      </c>
      <c r="E2841" t="inlineStr">
        <is>
          <t>PAJALA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41957-2024</t>
        </is>
      </c>
      <c r="B2842" s="1" t="n">
        <v>45561.5891087963</v>
      </c>
      <c r="C2842" s="1" t="n">
        <v>45895</v>
      </c>
      <c r="D2842" t="inlineStr">
        <is>
          <t>NORRBOTTENS LÄN</t>
        </is>
      </c>
      <c r="E2842" t="inlineStr">
        <is>
          <t>BODEN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53893-2024</t>
        </is>
      </c>
      <c r="B2843" s="1" t="n">
        <v>45615</v>
      </c>
      <c r="C2843" s="1" t="n">
        <v>45895</v>
      </c>
      <c r="D2843" t="inlineStr">
        <is>
          <t>NORRBOTTENS LÄN</t>
        </is>
      </c>
      <c r="E2843" t="inlineStr">
        <is>
          <t>GÄLLIVARE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71301-2021</t>
        </is>
      </c>
      <c r="B2844" s="1" t="n">
        <v>44538</v>
      </c>
      <c r="C2844" s="1" t="n">
        <v>45895</v>
      </c>
      <c r="D2844" t="inlineStr">
        <is>
          <t>NORRBOTTENS LÄN</t>
        </is>
      </c>
      <c r="E2844" t="inlineStr">
        <is>
          <t>PITEÅ</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24549-2024</t>
        </is>
      </c>
      <c r="B2845" s="1" t="n">
        <v>45460.40491898148</v>
      </c>
      <c r="C2845" s="1" t="n">
        <v>45895</v>
      </c>
      <c r="D2845" t="inlineStr">
        <is>
          <t>NORRBOTTENS LÄN</t>
        </is>
      </c>
      <c r="E2845" t="inlineStr">
        <is>
          <t>ÖVERKALIX</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19528-2024</t>
        </is>
      </c>
      <c r="B2846" s="1" t="n">
        <v>45429</v>
      </c>
      <c r="C2846" s="1" t="n">
        <v>45895</v>
      </c>
      <c r="D2846" t="inlineStr">
        <is>
          <t>NORRBOTTENS LÄN</t>
        </is>
      </c>
      <c r="E2846" t="inlineStr">
        <is>
          <t>BODEN</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19533-2024</t>
        </is>
      </c>
      <c r="B2847" s="1" t="n">
        <v>45429</v>
      </c>
      <c r="C2847" s="1" t="n">
        <v>45895</v>
      </c>
      <c r="D2847" t="inlineStr">
        <is>
          <t>NORRBOTTENS LÄN</t>
        </is>
      </c>
      <c r="E2847" t="inlineStr">
        <is>
          <t>BODEN</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32347-2024</t>
        </is>
      </c>
      <c r="B2848" s="1" t="n">
        <v>45512.53328703704</v>
      </c>
      <c r="C2848" s="1" t="n">
        <v>45895</v>
      </c>
      <c r="D2848" t="inlineStr">
        <is>
          <t>NORRBOTTENS LÄN</t>
        </is>
      </c>
      <c r="E2848" t="inlineStr">
        <is>
          <t>BODEN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58469-2024</t>
        </is>
      </c>
      <c r="B2849" s="1" t="n">
        <v>45632</v>
      </c>
      <c r="C2849" s="1" t="n">
        <v>45895</v>
      </c>
      <c r="D2849" t="inlineStr">
        <is>
          <t>NORRBOTTENS LÄN</t>
        </is>
      </c>
      <c r="E2849" t="inlineStr">
        <is>
          <t>LULEÅ</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61603-2024</t>
        </is>
      </c>
      <c r="B2850" s="1" t="n">
        <v>45646.64119212963</v>
      </c>
      <c r="C2850" s="1" t="n">
        <v>45895</v>
      </c>
      <c r="D2850" t="inlineStr">
        <is>
          <t>NORRBOTTENS LÄN</t>
        </is>
      </c>
      <c r="E2850" t="inlineStr">
        <is>
          <t>BODEN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705-2025</t>
        </is>
      </c>
      <c r="B2851" s="1" t="n">
        <v>45663</v>
      </c>
      <c r="C2851" s="1" t="n">
        <v>45895</v>
      </c>
      <c r="D2851" t="inlineStr">
        <is>
          <t>NORRBOTTENS LÄN</t>
        </is>
      </c>
      <c r="E2851" t="inlineStr">
        <is>
          <t>LULEÅ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48420-2024</t>
        </is>
      </c>
      <c r="B2852" s="1" t="n">
        <v>45590</v>
      </c>
      <c r="C2852" s="1" t="n">
        <v>45895</v>
      </c>
      <c r="D2852" t="inlineStr">
        <is>
          <t>NORRBOTTENS LÄN</t>
        </is>
      </c>
      <c r="E2852" t="inlineStr">
        <is>
          <t>BODEN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48427-2024</t>
        </is>
      </c>
      <c r="B2853" s="1" t="n">
        <v>45590</v>
      </c>
      <c r="C2853" s="1" t="n">
        <v>45895</v>
      </c>
      <c r="D2853" t="inlineStr">
        <is>
          <t>NORRBOTTENS LÄN</t>
        </is>
      </c>
      <c r="E2853" t="inlineStr">
        <is>
          <t>BODEN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23763-2025</t>
        </is>
      </c>
      <c r="B2854" s="1" t="n">
        <v>45793.4693287037</v>
      </c>
      <c r="C2854" s="1" t="n">
        <v>45895</v>
      </c>
      <c r="D2854" t="inlineStr">
        <is>
          <t>NORRBOTTENS LÄN</t>
        </is>
      </c>
      <c r="E2854" t="inlineStr">
        <is>
          <t>BODEN</t>
        </is>
      </c>
      <c r="F2854" t="inlineStr">
        <is>
          <t>SCA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23023-2023</t>
        </is>
      </c>
      <c r="B2855" s="1" t="n">
        <v>45073</v>
      </c>
      <c r="C2855" s="1" t="n">
        <v>45895</v>
      </c>
      <c r="D2855" t="inlineStr">
        <is>
          <t>NORRBOTTENS LÄN</t>
        </is>
      </c>
      <c r="E2855" t="inlineStr">
        <is>
          <t>JOKKMOKK</t>
        </is>
      </c>
      <c r="F2855" t="inlineStr">
        <is>
          <t>SCA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60351-2022</t>
        </is>
      </c>
      <c r="B2856" s="1" t="n">
        <v>44910</v>
      </c>
      <c r="C2856" s="1" t="n">
        <v>45895</v>
      </c>
      <c r="D2856" t="inlineStr">
        <is>
          <t>NORRBOTTENS LÄN</t>
        </is>
      </c>
      <c r="E2856" t="inlineStr">
        <is>
          <t>ÄLVSBYN</t>
        </is>
      </c>
      <c r="G2856" t="n">
        <v>23.4</v>
      </c>
      <c r="H2856" t="n">
        <v>0</v>
      </c>
      <c r="I2856" t="n">
        <v>0</v>
      </c>
      <c r="J2856" t="n">
        <v>0</v>
      </c>
      <c r="K2856" t="n">
        <v>0</v>
      </c>
      <c r="L2856" t="n">
        <v>0</v>
      </c>
      <c r="M2856" t="n">
        <v>0</v>
      </c>
      <c r="N2856" t="n">
        <v>0</v>
      </c>
      <c r="O2856" t="n">
        <v>0</v>
      </c>
      <c r="P2856" t="n">
        <v>0</v>
      </c>
      <c r="Q2856" t="n">
        <v>0</v>
      </c>
      <c r="R2856" s="2" t="inlineStr"/>
    </row>
    <row r="2857" ht="15" customHeight="1">
      <c r="A2857" t="inlineStr">
        <is>
          <t>A 23726-2025</t>
        </is>
      </c>
      <c r="B2857" s="1" t="n">
        <v>45793.40854166666</v>
      </c>
      <c r="C2857" s="1" t="n">
        <v>45895</v>
      </c>
      <c r="D2857" t="inlineStr">
        <is>
          <t>NORRBOTTENS LÄN</t>
        </is>
      </c>
      <c r="E2857" t="inlineStr">
        <is>
          <t>LULEÅ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23761-2025</t>
        </is>
      </c>
      <c r="B2858" s="1" t="n">
        <v>45793</v>
      </c>
      <c r="C2858" s="1" t="n">
        <v>45895</v>
      </c>
      <c r="D2858" t="inlineStr">
        <is>
          <t>NORRBOTTENS LÄN</t>
        </is>
      </c>
      <c r="E2858" t="inlineStr">
        <is>
          <t>BODEN</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27742-2024</t>
        </is>
      </c>
      <c r="B2859" s="1" t="n">
        <v>45475.46423611111</v>
      </c>
      <c r="C2859" s="1" t="n">
        <v>45895</v>
      </c>
      <c r="D2859" t="inlineStr">
        <is>
          <t>NORRBOTTENS LÄN</t>
        </is>
      </c>
      <c r="E2859" t="inlineStr">
        <is>
          <t>ARVIDSJAUR</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40208-2024</t>
        </is>
      </c>
      <c r="B2860" s="1" t="n">
        <v>45554.59304398148</v>
      </c>
      <c r="C2860" s="1" t="n">
        <v>45895</v>
      </c>
      <c r="D2860" t="inlineStr">
        <is>
          <t>NORRBOTTENS LÄN</t>
        </is>
      </c>
      <c r="E2860" t="inlineStr">
        <is>
          <t>PAJALA</t>
        </is>
      </c>
      <c r="F2860" t="inlineStr">
        <is>
          <t>Sveaskog</t>
        </is>
      </c>
      <c r="G2860" t="n">
        <v>27.8</v>
      </c>
      <c r="H2860" t="n">
        <v>0</v>
      </c>
      <c r="I2860" t="n">
        <v>0</v>
      </c>
      <c r="J2860" t="n">
        <v>0</v>
      </c>
      <c r="K2860" t="n">
        <v>0</v>
      </c>
      <c r="L2860" t="n">
        <v>0</v>
      </c>
      <c r="M2860" t="n">
        <v>0</v>
      </c>
      <c r="N2860" t="n">
        <v>0</v>
      </c>
      <c r="O2860" t="n">
        <v>0</v>
      </c>
      <c r="P2860" t="n">
        <v>0</v>
      </c>
      <c r="Q2860" t="n">
        <v>0</v>
      </c>
      <c r="R2860" s="2" t="inlineStr"/>
    </row>
    <row r="2861" ht="15" customHeight="1">
      <c r="A2861" t="inlineStr">
        <is>
          <t>A 53784-2024</t>
        </is>
      </c>
      <c r="B2861" s="1" t="n">
        <v>45615</v>
      </c>
      <c r="C2861" s="1" t="n">
        <v>45895</v>
      </c>
      <c r="D2861" t="inlineStr">
        <is>
          <t>NORRBOTTENS LÄN</t>
        </is>
      </c>
      <c r="E2861" t="inlineStr">
        <is>
          <t>GÄLLIVARE</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5086-2025</t>
        </is>
      </c>
      <c r="B2862" s="1" t="n">
        <v>45691</v>
      </c>
      <c r="C2862" s="1" t="n">
        <v>45895</v>
      </c>
      <c r="D2862" t="inlineStr">
        <is>
          <t>NORRBOTTENS LÄN</t>
        </is>
      </c>
      <c r="E2862" t="inlineStr">
        <is>
          <t>GÄLLIVARE</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6731-2025</t>
        </is>
      </c>
      <c r="B2863" s="1" t="n">
        <v>45700.59357638889</v>
      </c>
      <c r="C2863" s="1" t="n">
        <v>45895</v>
      </c>
      <c r="D2863" t="inlineStr">
        <is>
          <t>NORRBOTTENS LÄN</t>
        </is>
      </c>
      <c r="E2863" t="inlineStr">
        <is>
          <t>LULEÅ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33084-2024</t>
        </is>
      </c>
      <c r="B2864" s="1" t="n">
        <v>45517</v>
      </c>
      <c r="C2864" s="1" t="n">
        <v>45895</v>
      </c>
      <c r="D2864" t="inlineStr">
        <is>
          <t>NORRBOTTENS LÄN</t>
        </is>
      </c>
      <c r="E2864" t="inlineStr">
        <is>
          <t>ARVIDSJAUR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12116-2025</t>
        </is>
      </c>
      <c r="B2865" s="1" t="n">
        <v>45729.36509259259</v>
      </c>
      <c r="C2865" s="1" t="n">
        <v>45895</v>
      </c>
      <c r="D2865" t="inlineStr">
        <is>
          <t>NORRBOTTENS LÄN</t>
        </is>
      </c>
      <c r="E2865" t="inlineStr">
        <is>
          <t>LULEÅ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56661-2022</t>
        </is>
      </c>
      <c r="B2866" s="1" t="n">
        <v>44893.64318287037</v>
      </c>
      <c r="C2866" s="1" t="n">
        <v>45895</v>
      </c>
      <c r="D2866" t="inlineStr">
        <is>
          <t>NORRBOTTENS LÄN</t>
        </is>
      </c>
      <c r="E2866" t="inlineStr">
        <is>
          <t>PITEÅ</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48383-2024</t>
        </is>
      </c>
      <c r="B2867" s="1" t="n">
        <v>45590</v>
      </c>
      <c r="C2867" s="1" t="n">
        <v>45895</v>
      </c>
      <c r="D2867" t="inlineStr">
        <is>
          <t>NORRBOTTENS LÄN</t>
        </is>
      </c>
      <c r="E2867" t="inlineStr">
        <is>
          <t>HAPARANDA</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526-2025</t>
        </is>
      </c>
      <c r="B2868" s="1" t="n">
        <v>45664</v>
      </c>
      <c r="C2868" s="1" t="n">
        <v>45895</v>
      </c>
      <c r="D2868" t="inlineStr">
        <is>
          <t>NORRBOTTENS LÄN</t>
        </is>
      </c>
      <c r="E2868" t="inlineStr">
        <is>
          <t>ARJEPLOG</t>
        </is>
      </c>
      <c r="F2868" t="inlineStr">
        <is>
          <t>Övriga statliga verk och myndigheter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22892-2024</t>
        </is>
      </c>
      <c r="B2869" s="1" t="n">
        <v>45448</v>
      </c>
      <c r="C2869" s="1" t="n">
        <v>45895</v>
      </c>
      <c r="D2869" t="inlineStr">
        <is>
          <t>NORRBOTTENS LÄN</t>
        </is>
      </c>
      <c r="E2869" t="inlineStr">
        <is>
          <t>BODEN</t>
        </is>
      </c>
      <c r="F2869" t="inlineStr">
        <is>
          <t>Sveaskog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23972-2025</t>
        </is>
      </c>
      <c r="B2870" s="1" t="n">
        <v>45796.38576388889</v>
      </c>
      <c r="C2870" s="1" t="n">
        <v>45895</v>
      </c>
      <c r="D2870" t="inlineStr">
        <is>
          <t>NORRBOTTENS LÄN</t>
        </is>
      </c>
      <c r="E2870" t="inlineStr">
        <is>
          <t>KALIX</t>
        </is>
      </c>
      <c r="F2870" t="inlineStr">
        <is>
          <t>SCA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14974-2025</t>
        </is>
      </c>
      <c r="B2871" s="1" t="n">
        <v>45743</v>
      </c>
      <c r="C2871" s="1" t="n">
        <v>45895</v>
      </c>
      <c r="D2871" t="inlineStr">
        <is>
          <t>NORRBOTTENS LÄN</t>
        </is>
      </c>
      <c r="E2871" t="inlineStr">
        <is>
          <t>GÄLLIVARE</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68438-2021</t>
        </is>
      </c>
      <c r="B2872" s="1" t="n">
        <v>44529</v>
      </c>
      <c r="C2872" s="1" t="n">
        <v>45895</v>
      </c>
      <c r="D2872" t="inlineStr">
        <is>
          <t>NORRBOTTENS LÄN</t>
        </is>
      </c>
      <c r="E2872" t="inlineStr">
        <is>
          <t>KALIX</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48364-2024</t>
        </is>
      </c>
      <c r="B2873" s="1" t="n">
        <v>45590.57606481481</v>
      </c>
      <c r="C2873" s="1" t="n">
        <v>45895</v>
      </c>
      <c r="D2873" t="inlineStr">
        <is>
          <t>NORRBOTTENS LÄN</t>
        </is>
      </c>
      <c r="E2873" t="inlineStr">
        <is>
          <t>ARVIDSJAUR</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24120-2025</t>
        </is>
      </c>
      <c r="B2874" s="1" t="n">
        <v>45796</v>
      </c>
      <c r="C2874" s="1" t="n">
        <v>45895</v>
      </c>
      <c r="D2874" t="inlineStr">
        <is>
          <t>NORRBOTTENS LÄN</t>
        </is>
      </c>
      <c r="E2874" t="inlineStr">
        <is>
          <t>HAPARANDA</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24134-2025</t>
        </is>
      </c>
      <c r="B2875" s="1" t="n">
        <v>45796.63600694444</v>
      </c>
      <c r="C2875" s="1" t="n">
        <v>45895</v>
      </c>
      <c r="D2875" t="inlineStr">
        <is>
          <t>NORRBOTTENS LÄN</t>
        </is>
      </c>
      <c r="E2875" t="inlineStr">
        <is>
          <t>BODEN</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24136-2025</t>
        </is>
      </c>
      <c r="B2876" s="1" t="n">
        <v>45796</v>
      </c>
      <c r="C2876" s="1" t="n">
        <v>45895</v>
      </c>
      <c r="D2876" t="inlineStr">
        <is>
          <t>NORRBOTTENS LÄN</t>
        </is>
      </c>
      <c r="E2876" t="inlineStr">
        <is>
          <t>ÖVERKALIX</t>
        </is>
      </c>
      <c r="F2876" t="inlineStr">
        <is>
          <t>Sveaskog</t>
        </is>
      </c>
      <c r="G2876" t="n">
        <v>33.5</v>
      </c>
      <c r="H2876" t="n">
        <v>0</v>
      </c>
      <c r="I2876" t="n">
        <v>0</v>
      </c>
      <c r="J2876" t="n">
        <v>0</v>
      </c>
      <c r="K2876" t="n">
        <v>0</v>
      </c>
      <c r="L2876" t="n">
        <v>0</v>
      </c>
      <c r="M2876" t="n">
        <v>0</v>
      </c>
      <c r="N2876" t="n">
        <v>0</v>
      </c>
      <c r="O2876" t="n">
        <v>0</v>
      </c>
      <c r="P2876" t="n">
        <v>0</v>
      </c>
      <c r="Q2876" t="n">
        <v>0</v>
      </c>
      <c r="R2876" s="2" t="inlineStr"/>
    </row>
    <row r="2877" ht="15" customHeight="1">
      <c r="A2877" t="inlineStr">
        <is>
          <t>A 24153-2025</t>
        </is>
      </c>
      <c r="B2877" s="1" t="n">
        <v>45796</v>
      </c>
      <c r="C2877" s="1" t="n">
        <v>45895</v>
      </c>
      <c r="D2877" t="inlineStr">
        <is>
          <t>NORRBOTTENS LÄN</t>
        </is>
      </c>
      <c r="E2877" t="inlineStr">
        <is>
          <t>KALIX</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23858-2025</t>
        </is>
      </c>
      <c r="B2878" s="1" t="n">
        <v>45793.65986111111</v>
      </c>
      <c r="C2878" s="1" t="n">
        <v>45895</v>
      </c>
      <c r="D2878" t="inlineStr">
        <is>
          <t>NORRBOTTENS LÄN</t>
        </is>
      </c>
      <c r="E2878" t="inlineStr">
        <is>
          <t>ÖVERKALIX</t>
        </is>
      </c>
      <c r="F2878" t="inlineStr">
        <is>
          <t>Sveaskog</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23867-2025</t>
        </is>
      </c>
      <c r="B2879" s="1" t="n">
        <v>45793</v>
      </c>
      <c r="C2879" s="1" t="n">
        <v>45895</v>
      </c>
      <c r="D2879" t="inlineStr">
        <is>
          <t>NORRBOTTENS LÄN</t>
        </is>
      </c>
      <c r="E2879" t="inlineStr">
        <is>
          <t>ÖVERKALIX</t>
        </is>
      </c>
      <c r="F2879" t="inlineStr">
        <is>
          <t>Sveaskog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23873-2025</t>
        </is>
      </c>
      <c r="B2880" s="1" t="n">
        <v>45793.67989583333</v>
      </c>
      <c r="C2880" s="1" t="n">
        <v>45895</v>
      </c>
      <c r="D2880" t="inlineStr">
        <is>
          <t>NORRBOTTENS LÄN</t>
        </is>
      </c>
      <c r="E2880" t="inlineStr">
        <is>
          <t>ÖVERKALIX</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55552-2024</t>
        </is>
      </c>
      <c r="B2881" s="1" t="n">
        <v>45622</v>
      </c>
      <c r="C2881" s="1" t="n">
        <v>45895</v>
      </c>
      <c r="D2881" t="inlineStr">
        <is>
          <t>NORRBOTTENS LÄN</t>
        </is>
      </c>
      <c r="E2881" t="inlineStr">
        <is>
          <t>ÄLVSBYN</t>
        </is>
      </c>
      <c r="F2881" t="inlineStr">
        <is>
          <t>Övriga Aktiebolag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55556-2024</t>
        </is>
      </c>
      <c r="B2882" s="1" t="n">
        <v>45622.51945601852</v>
      </c>
      <c r="C2882" s="1" t="n">
        <v>45895</v>
      </c>
      <c r="D2882" t="inlineStr">
        <is>
          <t>NORRBOTTENS LÄN</t>
        </is>
      </c>
      <c r="E2882" t="inlineStr">
        <is>
          <t>ÖVERTORNEÅ</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55559-2024</t>
        </is>
      </c>
      <c r="B2883" s="1" t="n">
        <v>45622.52678240741</v>
      </c>
      <c r="C2883" s="1" t="n">
        <v>45895</v>
      </c>
      <c r="D2883" t="inlineStr">
        <is>
          <t>NORRBOTTENS LÄN</t>
        </is>
      </c>
      <c r="E2883" t="inlineStr">
        <is>
          <t>ÖVERTORNEÅ</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64471-2023</t>
        </is>
      </c>
      <c r="B2884" s="1" t="n">
        <v>45280.81618055556</v>
      </c>
      <c r="C2884" s="1" t="n">
        <v>45895</v>
      </c>
      <c r="D2884" t="inlineStr">
        <is>
          <t>NORRBOTTENS LÄN</t>
        </is>
      </c>
      <c r="E2884" t="inlineStr">
        <is>
          <t>ÄLVSBYN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2392-2025</t>
        </is>
      </c>
      <c r="B2885" s="1" t="n">
        <v>45674</v>
      </c>
      <c r="C2885" s="1" t="n">
        <v>45895</v>
      </c>
      <c r="D2885" t="inlineStr">
        <is>
          <t>NORRBOTTENS LÄN</t>
        </is>
      </c>
      <c r="E2885" t="inlineStr">
        <is>
          <t>ARVIDSJAUR</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64832-2023</t>
        </is>
      </c>
      <c r="B2886" s="1" t="n">
        <v>45281</v>
      </c>
      <c r="C2886" s="1" t="n">
        <v>45895</v>
      </c>
      <c r="D2886" t="inlineStr">
        <is>
          <t>NORRBOTTENS LÄN</t>
        </is>
      </c>
      <c r="E2886" t="inlineStr">
        <is>
          <t>ARJEPLOG</t>
        </is>
      </c>
      <c r="G2886" t="n">
        <v>43.6</v>
      </c>
      <c r="H2886" t="n">
        <v>0</v>
      </c>
      <c r="I2886" t="n">
        <v>0</v>
      </c>
      <c r="J2886" t="n">
        <v>0</v>
      </c>
      <c r="K2886" t="n">
        <v>0</v>
      </c>
      <c r="L2886" t="n">
        <v>0</v>
      </c>
      <c r="M2886" t="n">
        <v>0</v>
      </c>
      <c r="N2886" t="n">
        <v>0</v>
      </c>
      <c r="O2886" t="n">
        <v>0</v>
      </c>
      <c r="P2886" t="n">
        <v>0</v>
      </c>
      <c r="Q2886" t="n">
        <v>0</v>
      </c>
      <c r="R2886" s="2" t="inlineStr"/>
    </row>
    <row r="2887" ht="15" customHeight="1">
      <c r="A2887" t="inlineStr">
        <is>
          <t>A 2433-2025</t>
        </is>
      </c>
      <c r="B2887" s="1" t="n">
        <v>45673</v>
      </c>
      <c r="C2887" s="1" t="n">
        <v>45895</v>
      </c>
      <c r="D2887" t="inlineStr">
        <is>
          <t>NORRBOTTENS LÄN</t>
        </is>
      </c>
      <c r="E2887" t="inlineStr">
        <is>
          <t>ÖVERTORNEÅ</t>
        </is>
      </c>
      <c r="G2887" t="n">
        <v>9.6</v>
      </c>
      <c r="H2887" t="n">
        <v>0</v>
      </c>
      <c r="I2887" t="n">
        <v>0</v>
      </c>
      <c r="J2887" t="n">
        <v>0</v>
      </c>
      <c r="K2887" t="n">
        <v>0</v>
      </c>
      <c r="L2887" t="n">
        <v>0</v>
      </c>
      <c r="M2887" t="n">
        <v>0</v>
      </c>
      <c r="N2887" t="n">
        <v>0</v>
      </c>
      <c r="O2887" t="n">
        <v>0</v>
      </c>
      <c r="P2887" t="n">
        <v>0</v>
      </c>
      <c r="Q2887" t="n">
        <v>0</v>
      </c>
      <c r="R2887" s="2" t="inlineStr"/>
    </row>
    <row r="2888" ht="15" customHeight="1">
      <c r="A2888" t="inlineStr">
        <is>
          <t>A 42842-2024</t>
        </is>
      </c>
      <c r="B2888" s="1" t="n">
        <v>45566</v>
      </c>
      <c r="C2888" s="1" t="n">
        <v>45895</v>
      </c>
      <c r="D2888" t="inlineStr">
        <is>
          <t>NORRBOTTENS LÄN</t>
        </is>
      </c>
      <c r="E2888" t="inlineStr">
        <is>
          <t>ARVIDSJAUR</t>
        </is>
      </c>
      <c r="F2888" t="inlineStr">
        <is>
          <t>Sveaskog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42857-2024</t>
        </is>
      </c>
      <c r="B2889" s="1" t="n">
        <v>45566</v>
      </c>
      <c r="C2889" s="1" t="n">
        <v>45895</v>
      </c>
      <c r="D2889" t="inlineStr">
        <is>
          <t>NORRBOTTENS LÄN</t>
        </is>
      </c>
      <c r="E2889" t="inlineStr">
        <is>
          <t>PAJALA</t>
        </is>
      </c>
      <c r="G2889" t="n">
        <v>40.1</v>
      </c>
      <c r="H2889" t="n">
        <v>0</v>
      </c>
      <c r="I2889" t="n">
        <v>0</v>
      </c>
      <c r="J2889" t="n">
        <v>0</v>
      </c>
      <c r="K2889" t="n">
        <v>0</v>
      </c>
      <c r="L2889" t="n">
        <v>0</v>
      </c>
      <c r="M2889" t="n">
        <v>0</v>
      </c>
      <c r="N2889" t="n">
        <v>0</v>
      </c>
      <c r="O2889" t="n">
        <v>0</v>
      </c>
      <c r="P2889" t="n">
        <v>0</v>
      </c>
      <c r="Q2889" t="n">
        <v>0</v>
      </c>
      <c r="R2889" s="2" t="inlineStr"/>
    </row>
    <row r="2890" ht="15" customHeight="1">
      <c r="A2890" t="inlineStr">
        <is>
          <t>A 42862-2024</t>
        </is>
      </c>
      <c r="B2890" s="1" t="n">
        <v>45566</v>
      </c>
      <c r="C2890" s="1" t="n">
        <v>45895</v>
      </c>
      <c r="D2890" t="inlineStr">
        <is>
          <t>NORRBOTTENS LÄN</t>
        </is>
      </c>
      <c r="E2890" t="inlineStr">
        <is>
          <t>ARVIDSJAUR</t>
        </is>
      </c>
      <c r="F2890" t="inlineStr">
        <is>
          <t>Sveaskog</t>
        </is>
      </c>
      <c r="G2890" t="n">
        <v>26.6</v>
      </c>
      <c r="H2890" t="n">
        <v>0</v>
      </c>
      <c r="I2890" t="n">
        <v>0</v>
      </c>
      <c r="J2890" t="n">
        <v>0</v>
      </c>
      <c r="K2890" t="n">
        <v>0</v>
      </c>
      <c r="L2890" t="n">
        <v>0</v>
      </c>
      <c r="M2890" t="n">
        <v>0</v>
      </c>
      <c r="N2890" t="n">
        <v>0</v>
      </c>
      <c r="O2890" t="n">
        <v>0</v>
      </c>
      <c r="P2890" t="n">
        <v>0</v>
      </c>
      <c r="Q2890" t="n">
        <v>0</v>
      </c>
      <c r="R2890" s="2" t="inlineStr"/>
    </row>
    <row r="2891" ht="15" customHeight="1">
      <c r="A2891" t="inlineStr">
        <is>
          <t>A 42883-2024</t>
        </is>
      </c>
      <c r="B2891" s="1" t="n">
        <v>45566.71771990741</v>
      </c>
      <c r="C2891" s="1" t="n">
        <v>45895</v>
      </c>
      <c r="D2891" t="inlineStr">
        <is>
          <t>NORRBOTTENS LÄN</t>
        </is>
      </c>
      <c r="E2891" t="inlineStr">
        <is>
          <t>PAJALA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38091-2024</t>
        </is>
      </c>
      <c r="B2892" s="1" t="n">
        <v>45545</v>
      </c>
      <c r="C2892" s="1" t="n">
        <v>45895</v>
      </c>
      <c r="D2892" t="inlineStr">
        <is>
          <t>NORRBOTTENS LÄN</t>
        </is>
      </c>
      <c r="E2892" t="inlineStr">
        <is>
          <t>PITEÅ</t>
        </is>
      </c>
      <c r="F2892" t="inlineStr">
        <is>
          <t>SCA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38094-2024</t>
        </is>
      </c>
      <c r="B2893" s="1" t="n">
        <v>45545.34473379629</v>
      </c>
      <c r="C2893" s="1" t="n">
        <v>45895</v>
      </c>
      <c r="D2893" t="inlineStr">
        <is>
          <t>NORRBOTTENS LÄN</t>
        </is>
      </c>
      <c r="E2893" t="inlineStr">
        <is>
          <t>PITEÅ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11651-2023</t>
        </is>
      </c>
      <c r="B2894" s="1" t="n">
        <v>44994</v>
      </c>
      <c r="C2894" s="1" t="n">
        <v>45895</v>
      </c>
      <c r="D2894" t="inlineStr">
        <is>
          <t>NORRBOTTENS LÄN</t>
        </is>
      </c>
      <c r="E2894" t="inlineStr">
        <is>
          <t>BODEN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30364-2024</t>
        </is>
      </c>
      <c r="B2895" s="1" t="n">
        <v>45491</v>
      </c>
      <c r="C2895" s="1" t="n">
        <v>45895</v>
      </c>
      <c r="D2895" t="inlineStr">
        <is>
          <t>NORRBOTTENS LÄN</t>
        </is>
      </c>
      <c r="E2895" t="inlineStr">
        <is>
          <t>GÄLLIVARE</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30399-2024</t>
        </is>
      </c>
      <c r="B2896" s="1" t="n">
        <v>45491</v>
      </c>
      <c r="C2896" s="1" t="n">
        <v>45895</v>
      </c>
      <c r="D2896" t="inlineStr">
        <is>
          <t>NORRBOTTENS LÄN</t>
        </is>
      </c>
      <c r="E2896" t="inlineStr">
        <is>
          <t>JOKKMOKK</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23879-2025</t>
        </is>
      </c>
      <c r="B2897" s="1" t="n">
        <v>45793</v>
      </c>
      <c r="C2897" s="1" t="n">
        <v>45895</v>
      </c>
      <c r="D2897" t="inlineStr">
        <is>
          <t>NORRBOTTENS LÄN</t>
        </is>
      </c>
      <c r="E2897" t="inlineStr">
        <is>
          <t>KALIX</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23885-2025</t>
        </is>
      </c>
      <c r="B2898" s="1" t="n">
        <v>45793.72648148148</v>
      </c>
      <c r="C2898" s="1" t="n">
        <v>45895</v>
      </c>
      <c r="D2898" t="inlineStr">
        <is>
          <t>NORRBOTTENS LÄN</t>
        </is>
      </c>
      <c r="E2898" t="inlineStr">
        <is>
          <t>GÄLLIVARE</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54775-2024</t>
        </is>
      </c>
      <c r="B2899" s="1" t="n">
        <v>45618.47974537037</v>
      </c>
      <c r="C2899" s="1" t="n">
        <v>45895</v>
      </c>
      <c r="D2899" t="inlineStr">
        <is>
          <t>NORRBOTTENS LÄN</t>
        </is>
      </c>
      <c r="E2899" t="inlineStr">
        <is>
          <t>PITEÅ</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23774-2025</t>
        </is>
      </c>
      <c r="B2900" s="1" t="n">
        <v>45793.48987268518</v>
      </c>
      <c r="C2900" s="1" t="n">
        <v>45895</v>
      </c>
      <c r="D2900" t="inlineStr">
        <is>
          <t>NORRBOTTENS LÄN</t>
        </is>
      </c>
      <c r="E2900" t="inlineStr">
        <is>
          <t>KALIX</t>
        </is>
      </c>
      <c r="F2900" t="inlineStr">
        <is>
          <t>Sveaskog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20179-2025</t>
        </is>
      </c>
      <c r="B2901" s="1" t="n">
        <v>45772</v>
      </c>
      <c r="C2901" s="1" t="n">
        <v>45895</v>
      </c>
      <c r="D2901" t="inlineStr">
        <is>
          <t>NORRBOTTENS LÄN</t>
        </is>
      </c>
      <c r="E2901" t="inlineStr">
        <is>
          <t>ÄLVSBYN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24184-2025</t>
        </is>
      </c>
      <c r="B2902" s="1" t="n">
        <v>45796</v>
      </c>
      <c r="C2902" s="1" t="n">
        <v>45895</v>
      </c>
      <c r="D2902" t="inlineStr">
        <is>
          <t>NORRBOTTENS LÄN</t>
        </is>
      </c>
      <c r="E2902" t="inlineStr">
        <is>
          <t>ARVIDSJAUR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24963-2024</t>
        </is>
      </c>
      <c r="B2903" s="1" t="n">
        <v>45461</v>
      </c>
      <c r="C2903" s="1" t="n">
        <v>45895</v>
      </c>
      <c r="D2903" t="inlineStr">
        <is>
          <t>NORRBOTTENS LÄN</t>
        </is>
      </c>
      <c r="E2903" t="inlineStr">
        <is>
          <t>PAJALA</t>
        </is>
      </c>
      <c r="F2903" t="inlineStr">
        <is>
          <t>Sveaskog</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36623-2023</t>
        </is>
      </c>
      <c r="B2904" s="1" t="n">
        <v>45153</v>
      </c>
      <c r="C2904" s="1" t="n">
        <v>45895</v>
      </c>
      <c r="D2904" t="inlineStr">
        <is>
          <t>NORRBOTTENS LÄN</t>
        </is>
      </c>
      <c r="E2904" t="inlineStr">
        <is>
          <t>ARJEPLOG</t>
        </is>
      </c>
      <c r="F2904" t="inlineStr">
        <is>
          <t>Sveaskog</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339-2025</t>
        </is>
      </c>
      <c r="B2905" s="1" t="n">
        <v>45660.6911574074</v>
      </c>
      <c r="C2905" s="1" t="n">
        <v>45895</v>
      </c>
      <c r="D2905" t="inlineStr">
        <is>
          <t>NORRBOTTENS LÄN</t>
        </is>
      </c>
      <c r="E2905" t="inlineStr">
        <is>
          <t>LULEÅ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48415-2024</t>
        </is>
      </c>
      <c r="B2906" s="1" t="n">
        <v>45590.64114583333</v>
      </c>
      <c r="C2906" s="1" t="n">
        <v>45895</v>
      </c>
      <c r="D2906" t="inlineStr">
        <is>
          <t>NORRBOTTENS LÄN</t>
        </is>
      </c>
      <c r="E2906" t="inlineStr">
        <is>
          <t>BODEN</t>
        </is>
      </c>
      <c r="F2906" t="inlineStr">
        <is>
          <t>SCA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10903-2023</t>
        </is>
      </c>
      <c r="B2907" s="1" t="n">
        <v>44985</v>
      </c>
      <c r="C2907" s="1" t="n">
        <v>45895</v>
      </c>
      <c r="D2907" t="inlineStr">
        <is>
          <t>NORRBOTTENS LÄN</t>
        </is>
      </c>
      <c r="E2907" t="inlineStr">
        <is>
          <t>LULEÅ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33823-2021</t>
        </is>
      </c>
      <c r="B2908" s="1" t="n">
        <v>44378</v>
      </c>
      <c r="C2908" s="1" t="n">
        <v>45895</v>
      </c>
      <c r="D2908" t="inlineStr">
        <is>
          <t>NORRBOTTENS LÄN</t>
        </is>
      </c>
      <c r="E2908" t="inlineStr">
        <is>
          <t>ÄLVSBYN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25125-2025</t>
        </is>
      </c>
      <c r="B2909" s="1" t="n">
        <v>45798</v>
      </c>
      <c r="C2909" s="1" t="n">
        <v>45895</v>
      </c>
      <c r="D2909" t="inlineStr">
        <is>
          <t>NORRBOTTENS LÄN</t>
        </is>
      </c>
      <c r="E2909" t="inlineStr">
        <is>
          <t>PAJALA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25170-2025</t>
        </is>
      </c>
      <c r="B2910" s="1" t="n">
        <v>45798</v>
      </c>
      <c r="C2910" s="1" t="n">
        <v>45895</v>
      </c>
      <c r="D2910" t="inlineStr">
        <is>
          <t>NORRBOTTENS LÄN</t>
        </is>
      </c>
      <c r="E2910" t="inlineStr">
        <is>
          <t>ÖVERTORNEÅ</t>
        </is>
      </c>
      <c r="G2910" t="n">
        <v>11.9</v>
      </c>
      <c r="H2910" t="n">
        <v>0</v>
      </c>
      <c r="I2910" t="n">
        <v>0</v>
      </c>
      <c r="J2910" t="n">
        <v>0</v>
      </c>
      <c r="K2910" t="n">
        <v>0</v>
      </c>
      <c r="L2910" t="n">
        <v>0</v>
      </c>
      <c r="M2910" t="n">
        <v>0</v>
      </c>
      <c r="N2910" t="n">
        <v>0</v>
      </c>
      <c r="O2910" t="n">
        <v>0</v>
      </c>
      <c r="P2910" t="n">
        <v>0</v>
      </c>
      <c r="Q2910" t="n">
        <v>0</v>
      </c>
      <c r="R2910" s="2" t="inlineStr"/>
    </row>
    <row r="2911" ht="15" customHeight="1">
      <c r="A2911" t="inlineStr">
        <is>
          <t>A 24699-2025</t>
        </is>
      </c>
      <c r="B2911" s="1" t="n">
        <v>45798.71922453704</v>
      </c>
      <c r="C2911" s="1" t="n">
        <v>45895</v>
      </c>
      <c r="D2911" t="inlineStr">
        <is>
          <t>NORRBOTTENS LÄN</t>
        </is>
      </c>
      <c r="E2911" t="inlineStr">
        <is>
          <t>BODEN</t>
        </is>
      </c>
      <c r="F2911" t="inlineStr">
        <is>
          <t>SCA</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11290-2023</t>
        </is>
      </c>
      <c r="B2912" s="1" t="n">
        <v>44992</v>
      </c>
      <c r="C2912" s="1" t="n">
        <v>45895</v>
      </c>
      <c r="D2912" t="inlineStr">
        <is>
          <t>NORRBOTTENS LÄN</t>
        </is>
      </c>
      <c r="E2912" t="inlineStr">
        <is>
          <t>GÄLLIVARE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42133-2021</t>
        </is>
      </c>
      <c r="B2913" s="1" t="n">
        <v>44426</v>
      </c>
      <c r="C2913" s="1" t="n">
        <v>45895</v>
      </c>
      <c r="D2913" t="inlineStr">
        <is>
          <t>NORRBOTTENS LÄN</t>
        </is>
      </c>
      <c r="E2913" t="inlineStr">
        <is>
          <t>LULEÅ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52710-2022</t>
        </is>
      </c>
      <c r="B2914" s="1" t="n">
        <v>44874.95347222222</v>
      </c>
      <c r="C2914" s="1" t="n">
        <v>45895</v>
      </c>
      <c r="D2914" t="inlineStr">
        <is>
          <t>NORRBOTTENS LÄN</t>
        </is>
      </c>
      <c r="E2914" t="inlineStr">
        <is>
          <t>KALIX</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48379-2022</t>
        </is>
      </c>
      <c r="B2915" s="1" t="n">
        <v>44854</v>
      </c>
      <c r="C2915" s="1" t="n">
        <v>45895</v>
      </c>
      <c r="D2915" t="inlineStr">
        <is>
          <t>NORRBOTTENS LÄN</t>
        </is>
      </c>
      <c r="E2915" t="inlineStr">
        <is>
          <t>LULEÅ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37085-2024</t>
        </is>
      </c>
      <c r="B2916" s="1" t="n">
        <v>45539</v>
      </c>
      <c r="C2916" s="1" t="n">
        <v>45895</v>
      </c>
      <c r="D2916" t="inlineStr">
        <is>
          <t>NORRBOTTENS LÄN</t>
        </is>
      </c>
      <c r="E2916" t="inlineStr">
        <is>
          <t>ÖVERKALIX</t>
        </is>
      </c>
      <c r="F2916" t="inlineStr">
        <is>
          <t>Sveaskog</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22054-2024</t>
        </is>
      </c>
      <c r="B2917" s="1" t="n">
        <v>45443</v>
      </c>
      <c r="C2917" s="1" t="n">
        <v>45895</v>
      </c>
      <c r="D2917" t="inlineStr">
        <is>
          <t>NORRBOTTENS LÄN</t>
        </is>
      </c>
      <c r="E2917" t="inlineStr">
        <is>
          <t>PAJALA</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30292-2023</t>
        </is>
      </c>
      <c r="B2918" s="1" t="n">
        <v>45110</v>
      </c>
      <c r="C2918" s="1" t="n">
        <v>45895</v>
      </c>
      <c r="D2918" t="inlineStr">
        <is>
          <t>NORRBOTTENS LÄN</t>
        </is>
      </c>
      <c r="E2918" t="inlineStr">
        <is>
          <t>JOKKMOKK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15199-2022</t>
        </is>
      </c>
      <c r="B2919" s="1" t="n">
        <v>44658</v>
      </c>
      <c r="C2919" s="1" t="n">
        <v>45895</v>
      </c>
      <c r="D2919" t="inlineStr">
        <is>
          <t>NORRBOTTENS LÄN</t>
        </is>
      </c>
      <c r="E2919" t="inlineStr">
        <is>
          <t>PITEÅ</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24622-2025</t>
        </is>
      </c>
      <c r="B2920" s="1" t="n">
        <v>45798.59416666667</v>
      </c>
      <c r="C2920" s="1" t="n">
        <v>45895</v>
      </c>
      <c r="D2920" t="inlineStr">
        <is>
          <t>NORRBOTTENS LÄN</t>
        </is>
      </c>
      <c r="E2920" t="inlineStr">
        <is>
          <t>KALIX</t>
        </is>
      </c>
      <c r="F2920" t="inlineStr">
        <is>
          <t>SCA</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46406-2023</t>
        </is>
      </c>
      <c r="B2921" s="1" t="n">
        <v>45194</v>
      </c>
      <c r="C2921" s="1" t="n">
        <v>45895</v>
      </c>
      <c r="D2921" t="inlineStr">
        <is>
          <t>NORRBOTTENS LÄN</t>
        </is>
      </c>
      <c r="E2921" t="inlineStr">
        <is>
          <t>ÄLVSBYN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24624-2025</t>
        </is>
      </c>
      <c r="B2922" s="1" t="n">
        <v>45798.59435185185</v>
      </c>
      <c r="C2922" s="1" t="n">
        <v>45895</v>
      </c>
      <c r="D2922" t="inlineStr">
        <is>
          <t>NORRBOTTENS LÄN</t>
        </is>
      </c>
      <c r="E2922" t="inlineStr">
        <is>
          <t>GÄLLIVARE</t>
        </is>
      </c>
      <c r="F2922" t="inlineStr">
        <is>
          <t>SCA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24190-2025</t>
        </is>
      </c>
      <c r="B2923" s="1" t="n">
        <v>45796.85060185185</v>
      </c>
      <c r="C2923" s="1" t="n">
        <v>45895</v>
      </c>
      <c r="D2923" t="inlineStr">
        <is>
          <t>NORRBOTTENS LÄN</t>
        </is>
      </c>
      <c r="E2923" t="inlineStr">
        <is>
          <t>PITEÅ</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24237-2025</t>
        </is>
      </c>
      <c r="B2924" s="1" t="n">
        <v>45797</v>
      </c>
      <c r="C2924" s="1" t="n">
        <v>45895</v>
      </c>
      <c r="D2924" t="inlineStr">
        <is>
          <t>NORRBOTTENS LÄN</t>
        </is>
      </c>
      <c r="E2924" t="inlineStr">
        <is>
          <t>GÄLLIVARE</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47475-2023</t>
        </is>
      </c>
      <c r="B2925" s="1" t="n">
        <v>45202</v>
      </c>
      <c r="C2925" s="1" t="n">
        <v>45895</v>
      </c>
      <c r="D2925" t="inlineStr">
        <is>
          <t>NORRBOTTENS LÄN</t>
        </is>
      </c>
      <c r="E2925" t="inlineStr">
        <is>
          <t>ÖVERTORNEÅ</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24311-2025</t>
        </is>
      </c>
      <c r="B2926" s="1" t="n">
        <v>45797.51899305556</v>
      </c>
      <c r="C2926" s="1" t="n">
        <v>45895</v>
      </c>
      <c r="D2926" t="inlineStr">
        <is>
          <t>NORRBOTTENS LÄN</t>
        </is>
      </c>
      <c r="E2926" t="inlineStr">
        <is>
          <t>PITEÅ</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11076-2021</t>
        </is>
      </c>
      <c r="B2927" s="1" t="n">
        <v>44259</v>
      </c>
      <c r="C2927" s="1" t="n">
        <v>45895</v>
      </c>
      <c r="D2927" t="inlineStr">
        <is>
          <t>NORRBOTTENS LÄN</t>
        </is>
      </c>
      <c r="E2927" t="inlineStr">
        <is>
          <t>ARVIDSJAUR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48059-2023</t>
        </is>
      </c>
      <c r="B2928" s="1" t="n">
        <v>45204</v>
      </c>
      <c r="C2928" s="1" t="n">
        <v>45895</v>
      </c>
      <c r="D2928" t="inlineStr">
        <is>
          <t>NORRBOTTENS LÄN</t>
        </is>
      </c>
      <c r="E2928" t="inlineStr">
        <is>
          <t>LULEÅ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24295-2025</t>
        </is>
      </c>
      <c r="B2929" s="1" t="n">
        <v>45797.47197916666</v>
      </c>
      <c r="C2929" s="1" t="n">
        <v>45895</v>
      </c>
      <c r="D2929" t="inlineStr">
        <is>
          <t>NORRBOTTENS LÄN</t>
        </is>
      </c>
      <c r="E2929" t="inlineStr">
        <is>
          <t>PITEÅ</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24304-2025</t>
        </is>
      </c>
      <c r="B2930" s="1" t="n">
        <v>45797.48927083334</v>
      </c>
      <c r="C2930" s="1" t="n">
        <v>45895</v>
      </c>
      <c r="D2930" t="inlineStr">
        <is>
          <t>NORRBOTTENS LÄN</t>
        </is>
      </c>
      <c r="E2930" t="inlineStr">
        <is>
          <t>PITEÅ</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24457-2025</t>
        </is>
      </c>
      <c r="B2931" s="1" t="n">
        <v>45798</v>
      </c>
      <c r="C2931" s="1" t="n">
        <v>45895</v>
      </c>
      <c r="D2931" t="inlineStr">
        <is>
          <t>NORRBOTTENS LÄN</t>
        </is>
      </c>
      <c r="E2931" t="inlineStr">
        <is>
          <t>GÄLLIVARE</t>
        </is>
      </c>
      <c r="F2931" t="inlineStr">
        <is>
          <t>SCA</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36791-2024</t>
        </is>
      </c>
      <c r="B2932" s="1" t="n">
        <v>45538</v>
      </c>
      <c r="C2932" s="1" t="n">
        <v>45895</v>
      </c>
      <c r="D2932" t="inlineStr">
        <is>
          <t>NORRBOTTENS LÄN</t>
        </is>
      </c>
      <c r="E2932" t="inlineStr">
        <is>
          <t>ARVIDSJAUR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29932-2021</t>
        </is>
      </c>
      <c r="B2933" s="1" t="n">
        <v>44362</v>
      </c>
      <c r="C2933" s="1" t="n">
        <v>45895</v>
      </c>
      <c r="D2933" t="inlineStr">
        <is>
          <t>NORRBOTTENS LÄN</t>
        </is>
      </c>
      <c r="E2933" t="inlineStr">
        <is>
          <t>KIRUNA</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50545-2020</t>
        </is>
      </c>
      <c r="B2934" s="1" t="n">
        <v>44110</v>
      </c>
      <c r="C2934" s="1" t="n">
        <v>45895</v>
      </c>
      <c r="D2934" t="inlineStr">
        <is>
          <t>NORRBOTTENS LÄN</t>
        </is>
      </c>
      <c r="E2934" t="inlineStr">
        <is>
          <t>BODEN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47517-2024</t>
        </is>
      </c>
      <c r="B2935" s="1" t="n">
        <v>45587</v>
      </c>
      <c r="C2935" s="1" t="n">
        <v>45895</v>
      </c>
      <c r="D2935" t="inlineStr">
        <is>
          <t>NORRBOTTENS LÄN</t>
        </is>
      </c>
      <c r="E2935" t="inlineStr">
        <is>
          <t>KALIX</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41612-2024</t>
        </is>
      </c>
      <c r="B2936" s="1" t="n">
        <v>45560.59424768519</v>
      </c>
      <c r="C2936" s="1" t="n">
        <v>45895</v>
      </c>
      <c r="D2936" t="inlineStr">
        <is>
          <t>NORRBOTTENS LÄN</t>
        </is>
      </c>
      <c r="E2936" t="inlineStr">
        <is>
          <t>PAJALA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7928-2022</t>
        </is>
      </c>
      <c r="B2937" s="1" t="n">
        <v>44608</v>
      </c>
      <c r="C2937" s="1" t="n">
        <v>45895</v>
      </c>
      <c r="D2937" t="inlineStr">
        <is>
          <t>NORRBOTTENS LÄN</t>
        </is>
      </c>
      <c r="E2937" t="inlineStr">
        <is>
          <t>PITEÅ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61630-2024</t>
        </is>
      </c>
      <c r="B2938" s="1" t="n">
        <v>45646.66561342592</v>
      </c>
      <c r="C2938" s="1" t="n">
        <v>45895</v>
      </c>
      <c r="D2938" t="inlineStr">
        <is>
          <t>NORRBOTTENS LÄN</t>
        </is>
      </c>
      <c r="E2938" t="inlineStr">
        <is>
          <t>BODEN</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61640-2024</t>
        </is>
      </c>
      <c r="B2939" s="1" t="n">
        <v>45646.68362268519</v>
      </c>
      <c r="C2939" s="1" t="n">
        <v>45895</v>
      </c>
      <c r="D2939" t="inlineStr">
        <is>
          <t>NORRBOTTENS LÄN</t>
        </is>
      </c>
      <c r="E2939" t="inlineStr">
        <is>
          <t>JOKKMOKK</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61641-2024</t>
        </is>
      </c>
      <c r="B2940" s="1" t="n">
        <v>45646</v>
      </c>
      <c r="C2940" s="1" t="n">
        <v>45895</v>
      </c>
      <c r="D2940" t="inlineStr">
        <is>
          <t>NORRBOTTENS LÄN</t>
        </is>
      </c>
      <c r="E2940" t="inlineStr">
        <is>
          <t>JOKKMOKK</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47166-2023</t>
        </is>
      </c>
      <c r="B2941" s="1" t="n">
        <v>45201</v>
      </c>
      <c r="C2941" s="1" t="n">
        <v>45895</v>
      </c>
      <c r="D2941" t="inlineStr">
        <is>
          <t>NORRBOTTENS LÄN</t>
        </is>
      </c>
      <c r="E2941" t="inlineStr">
        <is>
          <t>GÄLLIVARE</t>
        </is>
      </c>
      <c r="F2941" t="inlineStr">
        <is>
          <t>SCA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50978-2023</t>
        </is>
      </c>
      <c r="B2942" s="1" t="n">
        <v>45218.52489583333</v>
      </c>
      <c r="C2942" s="1" t="n">
        <v>45895</v>
      </c>
      <c r="D2942" t="inlineStr">
        <is>
          <t>NORRBOTTENS LÄN</t>
        </is>
      </c>
      <c r="E2942" t="inlineStr">
        <is>
          <t>PITEÅ</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13568-2022</t>
        </is>
      </c>
      <c r="B2943" s="1" t="n">
        <v>44648</v>
      </c>
      <c r="C2943" s="1" t="n">
        <v>45895</v>
      </c>
      <c r="D2943" t="inlineStr">
        <is>
          <t>NORRBOTTENS LÄN</t>
        </is>
      </c>
      <c r="E2943" t="inlineStr">
        <is>
          <t>BODEN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48417-2023</t>
        </is>
      </c>
      <c r="B2944" s="1" t="n">
        <v>45205</v>
      </c>
      <c r="C2944" s="1" t="n">
        <v>45895</v>
      </c>
      <c r="D2944" t="inlineStr">
        <is>
          <t>NORRBOTTENS LÄN</t>
        </is>
      </c>
      <c r="E2944" t="inlineStr">
        <is>
          <t>BODEN</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57327-2024</t>
        </is>
      </c>
      <c r="B2945" s="1" t="n">
        <v>45629.62572916667</v>
      </c>
      <c r="C2945" s="1" t="n">
        <v>45895</v>
      </c>
      <c r="D2945" t="inlineStr">
        <is>
          <t>NORRBOTTENS LÄN</t>
        </is>
      </c>
      <c r="E2945" t="inlineStr">
        <is>
          <t>LULEÅ</t>
        </is>
      </c>
      <c r="F2945" t="inlineStr">
        <is>
          <t>Övriga Aktiebolag</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57338-2024</t>
        </is>
      </c>
      <c r="B2946" s="1" t="n">
        <v>45629</v>
      </c>
      <c r="C2946" s="1" t="n">
        <v>45895</v>
      </c>
      <c r="D2946" t="inlineStr">
        <is>
          <t>NORRBOTTENS LÄN</t>
        </is>
      </c>
      <c r="E2946" t="inlineStr">
        <is>
          <t>KALIX</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47613-2023</t>
        </is>
      </c>
      <c r="B2947" s="1" t="n">
        <v>45198</v>
      </c>
      <c r="C2947" s="1" t="n">
        <v>45895</v>
      </c>
      <c r="D2947" t="inlineStr">
        <is>
          <t>NORRBOTTENS LÄN</t>
        </is>
      </c>
      <c r="E2947" t="inlineStr">
        <is>
          <t>GÄLLIVARE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53088-2024</t>
        </is>
      </c>
      <c r="B2948" s="1" t="n">
        <v>45611.51275462963</v>
      </c>
      <c r="C2948" s="1" t="n">
        <v>45895</v>
      </c>
      <c r="D2948" t="inlineStr">
        <is>
          <t>NORRBOTTENS LÄN</t>
        </is>
      </c>
      <c r="E2948" t="inlineStr">
        <is>
          <t>PAJALA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44554-2023</t>
        </is>
      </c>
      <c r="B2949" s="1" t="n">
        <v>45189.5340162037</v>
      </c>
      <c r="C2949" s="1" t="n">
        <v>45895</v>
      </c>
      <c r="D2949" t="inlineStr">
        <is>
          <t>NORRBOTTENS LÄN</t>
        </is>
      </c>
      <c r="E2949" t="inlineStr">
        <is>
          <t>ÖVERKALIX</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25134-2025</t>
        </is>
      </c>
      <c r="B2950" s="1" t="n">
        <v>45798</v>
      </c>
      <c r="C2950" s="1" t="n">
        <v>45895</v>
      </c>
      <c r="D2950" t="inlineStr">
        <is>
          <t>NORRBOTTENS LÄN</t>
        </is>
      </c>
      <c r="E2950" t="inlineStr">
        <is>
          <t>PAJALA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25166-2025</t>
        </is>
      </c>
      <c r="B2951" s="1" t="n">
        <v>45798</v>
      </c>
      <c r="C2951" s="1" t="n">
        <v>45895</v>
      </c>
      <c r="D2951" t="inlineStr">
        <is>
          <t>NORRBOTTENS LÄN</t>
        </is>
      </c>
      <c r="E2951" t="inlineStr">
        <is>
          <t>PAJALA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49401-2022</t>
        </is>
      </c>
      <c r="B2952" s="1" t="n">
        <v>44861</v>
      </c>
      <c r="C2952" s="1" t="n">
        <v>45895</v>
      </c>
      <c r="D2952" t="inlineStr">
        <is>
          <t>NORRBOTTENS LÄN</t>
        </is>
      </c>
      <c r="E2952" t="inlineStr">
        <is>
          <t>LULEÅ</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20362-2023</t>
        </is>
      </c>
      <c r="B2953" s="1" t="n">
        <v>45054</v>
      </c>
      <c r="C2953" s="1" t="n">
        <v>45895</v>
      </c>
      <c r="D2953" t="inlineStr">
        <is>
          <t>NORRBOTTENS LÄN</t>
        </is>
      </c>
      <c r="E2953" t="inlineStr">
        <is>
          <t>KALIX</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24449-2025</t>
        </is>
      </c>
      <c r="B2954" s="1" t="n">
        <v>45798</v>
      </c>
      <c r="C2954" s="1" t="n">
        <v>45895</v>
      </c>
      <c r="D2954" t="inlineStr">
        <is>
          <t>NORRBOTTENS LÄN</t>
        </is>
      </c>
      <c r="E2954" t="inlineStr">
        <is>
          <t>PAJALA</t>
        </is>
      </c>
      <c r="G2954" t="n">
        <v>18.3</v>
      </c>
      <c r="H2954" t="n">
        <v>0</v>
      </c>
      <c r="I2954" t="n">
        <v>0</v>
      </c>
      <c r="J2954" t="n">
        <v>0</v>
      </c>
      <c r="K2954" t="n">
        <v>0</v>
      </c>
      <c r="L2954" t="n">
        <v>0</v>
      </c>
      <c r="M2954" t="n">
        <v>0</v>
      </c>
      <c r="N2954" t="n">
        <v>0</v>
      </c>
      <c r="O2954" t="n">
        <v>0</v>
      </c>
      <c r="P2954" t="n">
        <v>0</v>
      </c>
      <c r="Q2954" t="n">
        <v>0</v>
      </c>
      <c r="R2954" s="2" t="inlineStr"/>
    </row>
    <row r="2955" ht="15" customHeight="1">
      <c r="A2955" t="inlineStr">
        <is>
          <t>A 52947-2023</t>
        </is>
      </c>
      <c r="B2955" s="1" t="n">
        <v>45219</v>
      </c>
      <c r="C2955" s="1" t="n">
        <v>45895</v>
      </c>
      <c r="D2955" t="inlineStr">
        <is>
          <t>NORRBOTTENS LÄN</t>
        </is>
      </c>
      <c r="E2955" t="inlineStr">
        <is>
          <t>GÄLLIVARE</t>
        </is>
      </c>
      <c r="F2955" t="inlineStr">
        <is>
          <t>Övriga statliga verk och myndigheter</t>
        </is>
      </c>
      <c r="G2955" t="n">
        <v>23.7</v>
      </c>
      <c r="H2955" t="n">
        <v>0</v>
      </c>
      <c r="I2955" t="n">
        <v>0</v>
      </c>
      <c r="J2955" t="n">
        <v>0</v>
      </c>
      <c r="K2955" t="n">
        <v>0</v>
      </c>
      <c r="L2955" t="n">
        <v>0</v>
      </c>
      <c r="M2955" t="n">
        <v>0</v>
      </c>
      <c r="N2955" t="n">
        <v>0</v>
      </c>
      <c r="O2955" t="n">
        <v>0</v>
      </c>
      <c r="P2955" t="n">
        <v>0</v>
      </c>
      <c r="Q2955" t="n">
        <v>0</v>
      </c>
      <c r="R2955" s="2" t="inlineStr"/>
    </row>
    <row r="2956" ht="15" customHeight="1">
      <c r="A2956" t="inlineStr">
        <is>
          <t>A 60585-2024</t>
        </is>
      </c>
      <c r="B2956" s="1" t="n">
        <v>45644</v>
      </c>
      <c r="C2956" s="1" t="n">
        <v>45895</v>
      </c>
      <c r="D2956" t="inlineStr">
        <is>
          <t>NORRBOTTENS LÄN</t>
        </is>
      </c>
      <c r="E2956" t="inlineStr">
        <is>
          <t>LULEÅ</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24625-2025</t>
        </is>
      </c>
      <c r="B2957" s="1" t="n">
        <v>45798.59457175926</v>
      </c>
      <c r="C2957" s="1" t="n">
        <v>45895</v>
      </c>
      <c r="D2957" t="inlineStr">
        <is>
          <t>NORRBOTTENS LÄN</t>
        </is>
      </c>
      <c r="E2957" t="inlineStr">
        <is>
          <t>KALIX</t>
        </is>
      </c>
      <c r="F2957" t="inlineStr">
        <is>
          <t>SCA</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60618-2024</t>
        </is>
      </c>
      <c r="B2958" s="1" t="n">
        <v>45644.38747685185</v>
      </c>
      <c r="C2958" s="1" t="n">
        <v>45895</v>
      </c>
      <c r="D2958" t="inlineStr">
        <is>
          <t>NORRBOTTENS LÄN</t>
        </is>
      </c>
      <c r="E2958" t="inlineStr">
        <is>
          <t>PITEÅ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28134-2024</t>
        </is>
      </c>
      <c r="B2959" s="1" t="n">
        <v>45476.69083333333</v>
      </c>
      <c r="C2959" s="1" t="n">
        <v>45895</v>
      </c>
      <c r="D2959" t="inlineStr">
        <is>
          <t>NORRBOTTENS LÄN</t>
        </is>
      </c>
      <c r="E2959" t="inlineStr">
        <is>
          <t>BODEN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43765-2023</t>
        </is>
      </c>
      <c r="B2960" s="1" t="n">
        <v>45187</v>
      </c>
      <c r="C2960" s="1" t="n">
        <v>45895</v>
      </c>
      <c r="D2960" t="inlineStr">
        <is>
          <t>NORRBOTTENS LÄN</t>
        </is>
      </c>
      <c r="E2960" t="inlineStr">
        <is>
          <t>LULEÅ</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56782-2024</t>
        </is>
      </c>
      <c r="B2961" s="1" t="n">
        <v>45625</v>
      </c>
      <c r="C2961" s="1" t="n">
        <v>45895</v>
      </c>
      <c r="D2961" t="inlineStr">
        <is>
          <t>NORRBOTTENS LÄN</t>
        </is>
      </c>
      <c r="E2961" t="inlineStr">
        <is>
          <t>ARJEPLOG</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56794-2024</t>
        </is>
      </c>
      <c r="B2962" s="1" t="n">
        <v>45625</v>
      </c>
      <c r="C2962" s="1" t="n">
        <v>45895</v>
      </c>
      <c r="D2962" t="inlineStr">
        <is>
          <t>NORRBOTTENS LÄN</t>
        </is>
      </c>
      <c r="E2962" t="inlineStr">
        <is>
          <t>ARJEPLOG</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46900-2024</t>
        </is>
      </c>
      <c r="B2963" s="1" t="n">
        <v>45583</v>
      </c>
      <c r="C2963" s="1" t="n">
        <v>45895</v>
      </c>
      <c r="D2963" t="inlineStr">
        <is>
          <t>NORRBOTTENS LÄN</t>
        </is>
      </c>
      <c r="E2963" t="inlineStr">
        <is>
          <t>BODEN</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46903-2024</t>
        </is>
      </c>
      <c r="B2964" s="1" t="n">
        <v>45583.69863425926</v>
      </c>
      <c r="C2964" s="1" t="n">
        <v>45895</v>
      </c>
      <c r="D2964" t="inlineStr">
        <is>
          <t>NORRBOTTENS LÄN</t>
        </is>
      </c>
      <c r="E2964" t="inlineStr">
        <is>
          <t>BODEN</t>
        </is>
      </c>
      <c r="F2964" t="inlineStr">
        <is>
          <t>SCA</t>
        </is>
      </c>
      <c r="G2964" t="n">
        <v>21.2</v>
      </c>
      <c r="H2964" t="n">
        <v>0</v>
      </c>
      <c r="I2964" t="n">
        <v>0</v>
      </c>
      <c r="J2964" t="n">
        <v>0</v>
      </c>
      <c r="K2964" t="n">
        <v>0</v>
      </c>
      <c r="L2964" t="n">
        <v>0</v>
      </c>
      <c r="M2964" t="n">
        <v>0</v>
      </c>
      <c r="N2964" t="n">
        <v>0</v>
      </c>
      <c r="O2964" t="n">
        <v>0</v>
      </c>
      <c r="P2964" t="n">
        <v>0</v>
      </c>
      <c r="Q2964" t="n">
        <v>0</v>
      </c>
      <c r="R2964" s="2" t="inlineStr"/>
    </row>
    <row r="2965" ht="15" customHeight="1">
      <c r="A2965" t="inlineStr">
        <is>
          <t>A 49113-2023</t>
        </is>
      </c>
      <c r="B2965" s="1" t="n">
        <v>45204</v>
      </c>
      <c r="C2965" s="1" t="n">
        <v>45895</v>
      </c>
      <c r="D2965" t="inlineStr">
        <is>
          <t>NORRBOTTENS LÄN</t>
        </is>
      </c>
      <c r="E2965" t="inlineStr">
        <is>
          <t>BODEN</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3631-2022</t>
        </is>
      </c>
      <c r="B2966" s="1" t="n">
        <v>44586</v>
      </c>
      <c r="C2966" s="1" t="n">
        <v>45895</v>
      </c>
      <c r="D2966" t="inlineStr">
        <is>
          <t>NORRBOTTENS LÄN</t>
        </is>
      </c>
      <c r="E2966" t="inlineStr">
        <is>
          <t>HAPARANDA</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40619-2022</t>
        </is>
      </c>
      <c r="B2967" s="1" t="n">
        <v>44823</v>
      </c>
      <c r="C2967" s="1" t="n">
        <v>45895</v>
      </c>
      <c r="D2967" t="inlineStr">
        <is>
          <t>NORRBOTTENS LÄN</t>
        </is>
      </c>
      <c r="E2967" t="inlineStr">
        <is>
          <t>ÖVERKALIX</t>
        </is>
      </c>
      <c r="F2967" t="inlineStr">
        <is>
          <t>SCA</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24221-2025</t>
        </is>
      </c>
      <c r="B2968" s="1" t="n">
        <v>45797.36483796296</v>
      </c>
      <c r="C2968" s="1" t="n">
        <v>45895</v>
      </c>
      <c r="D2968" t="inlineStr">
        <is>
          <t>NORRBOTTENS LÄN</t>
        </is>
      </c>
      <c r="E2968" t="inlineStr">
        <is>
          <t>GÄLLIVARE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9745-2025</t>
        </is>
      </c>
      <c r="B2969" s="1" t="n">
        <v>45716.44847222222</v>
      </c>
      <c r="C2969" s="1" t="n">
        <v>45895</v>
      </c>
      <c r="D2969" t="inlineStr">
        <is>
          <t>NORRBOTTENS LÄN</t>
        </is>
      </c>
      <c r="E2969" t="inlineStr">
        <is>
          <t>HAPARANDA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32202-2024</t>
        </is>
      </c>
      <c r="B2970" s="1" t="n">
        <v>45511.67006944444</v>
      </c>
      <c r="C2970" s="1" t="n">
        <v>45895</v>
      </c>
      <c r="D2970" t="inlineStr">
        <is>
          <t>NORRBOTTENS LÄN</t>
        </is>
      </c>
      <c r="E2970" t="inlineStr">
        <is>
          <t>ÄLVSBYN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24394-2025</t>
        </is>
      </c>
      <c r="B2971" s="1" t="n">
        <v>45797.63663194444</v>
      </c>
      <c r="C2971" s="1" t="n">
        <v>45895</v>
      </c>
      <c r="D2971" t="inlineStr">
        <is>
          <t>NORRBOTTENS LÄN</t>
        </is>
      </c>
      <c r="E2971" t="inlineStr">
        <is>
          <t>PAJALA</t>
        </is>
      </c>
      <c r="F2971" t="inlineStr">
        <is>
          <t>SCA</t>
        </is>
      </c>
      <c r="G2971" t="n">
        <v>27.1</v>
      </c>
      <c r="H2971" t="n">
        <v>0</v>
      </c>
      <c r="I2971" t="n">
        <v>0</v>
      </c>
      <c r="J2971" t="n">
        <v>0</v>
      </c>
      <c r="K2971" t="n">
        <v>0</v>
      </c>
      <c r="L2971" t="n">
        <v>0</v>
      </c>
      <c r="M2971" t="n">
        <v>0</v>
      </c>
      <c r="N2971" t="n">
        <v>0</v>
      </c>
      <c r="O2971" t="n">
        <v>0</v>
      </c>
      <c r="P2971" t="n">
        <v>0</v>
      </c>
      <c r="Q2971" t="n">
        <v>0</v>
      </c>
      <c r="R2971" s="2" t="inlineStr"/>
    </row>
    <row r="2972" ht="15" customHeight="1">
      <c r="A2972" t="inlineStr">
        <is>
          <t>A 62439-2022</t>
        </is>
      </c>
      <c r="B2972" s="1" t="n">
        <v>44916</v>
      </c>
      <c r="C2972" s="1" t="n">
        <v>45895</v>
      </c>
      <c r="D2972" t="inlineStr">
        <is>
          <t>NORRBOTTENS LÄN</t>
        </is>
      </c>
      <c r="E2972" t="inlineStr">
        <is>
          <t>KIRUNA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25928-2024</t>
        </is>
      </c>
      <c r="B2973" s="1" t="n">
        <v>45467</v>
      </c>
      <c r="C2973" s="1" t="n">
        <v>45895</v>
      </c>
      <c r="D2973" t="inlineStr">
        <is>
          <t>NORRBOTTENS LÄN</t>
        </is>
      </c>
      <c r="E2973" t="inlineStr">
        <is>
          <t>ARJEPLOG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62444-2022</t>
        </is>
      </c>
      <c r="B2974" s="1" t="n">
        <v>44924.40385416667</v>
      </c>
      <c r="C2974" s="1" t="n">
        <v>45895</v>
      </c>
      <c r="D2974" t="inlineStr">
        <is>
          <t>NORRBOTTENS LÄN</t>
        </is>
      </c>
      <c r="E2974" t="inlineStr">
        <is>
          <t>KALIX</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58575-2022</t>
        </is>
      </c>
      <c r="B2975" s="1" t="n">
        <v>44894</v>
      </c>
      <c r="C2975" s="1" t="n">
        <v>45895</v>
      </c>
      <c r="D2975" t="inlineStr">
        <is>
          <t>NORRBOTTENS LÄN</t>
        </is>
      </c>
      <c r="E2975" t="inlineStr">
        <is>
          <t>KALIX</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30452-2024</t>
        </is>
      </c>
      <c r="B2976" s="1" t="n">
        <v>45491.92767361111</v>
      </c>
      <c r="C2976" s="1" t="n">
        <v>45895</v>
      </c>
      <c r="D2976" t="inlineStr">
        <is>
          <t>NORRBOTTENS LÄN</t>
        </is>
      </c>
      <c r="E2976" t="inlineStr">
        <is>
          <t>PITEÅ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58592-2022</t>
        </is>
      </c>
      <c r="B2977" s="1" t="n">
        <v>44894</v>
      </c>
      <c r="C2977" s="1" t="n">
        <v>45895</v>
      </c>
      <c r="D2977" t="inlineStr">
        <is>
          <t>NORRBOTTENS LÄN</t>
        </is>
      </c>
      <c r="E2977" t="inlineStr">
        <is>
          <t>KALIX</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13068-2024</t>
        </is>
      </c>
      <c r="B2978" s="1" t="n">
        <v>45385</v>
      </c>
      <c r="C2978" s="1" t="n">
        <v>45895</v>
      </c>
      <c r="D2978" t="inlineStr">
        <is>
          <t>NORRBOTTENS LÄN</t>
        </is>
      </c>
      <c r="E2978" t="inlineStr">
        <is>
          <t>LULEÅ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23968-2021</t>
        </is>
      </c>
      <c r="B2979" s="1" t="n">
        <v>44335</v>
      </c>
      <c r="C2979" s="1" t="n">
        <v>45895</v>
      </c>
      <c r="D2979" t="inlineStr">
        <is>
          <t>NORRBOTTENS LÄN</t>
        </is>
      </c>
      <c r="E2979" t="inlineStr">
        <is>
          <t>KALIX</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61795-2022</t>
        </is>
      </c>
      <c r="B2980" s="1" t="n">
        <v>44911</v>
      </c>
      <c r="C2980" s="1" t="n">
        <v>45895</v>
      </c>
      <c r="D2980" t="inlineStr">
        <is>
          <t>NORRBOTTENS LÄN</t>
        </is>
      </c>
      <c r="E2980" t="inlineStr">
        <is>
          <t>GÄLLIVARE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24538-2025</t>
        </is>
      </c>
      <c r="B2981" s="1" t="n">
        <v>45798</v>
      </c>
      <c r="C2981" s="1" t="n">
        <v>45895</v>
      </c>
      <c r="D2981" t="inlineStr">
        <is>
          <t>NORRBOTTENS LÄN</t>
        </is>
      </c>
      <c r="E2981" t="inlineStr">
        <is>
          <t>BODEN</t>
        </is>
      </c>
      <c r="F2981" t="inlineStr">
        <is>
          <t>Sveaskog</t>
        </is>
      </c>
      <c r="G2981" t="n">
        <v>15.8</v>
      </c>
      <c r="H2981" t="n">
        <v>0</v>
      </c>
      <c r="I2981" t="n">
        <v>0</v>
      </c>
      <c r="J2981" t="n">
        <v>0</v>
      </c>
      <c r="K2981" t="n">
        <v>0</v>
      </c>
      <c r="L2981" t="n">
        <v>0</v>
      </c>
      <c r="M2981" t="n">
        <v>0</v>
      </c>
      <c r="N2981" t="n">
        <v>0</v>
      </c>
      <c r="O2981" t="n">
        <v>0</v>
      </c>
      <c r="P2981" t="n">
        <v>0</v>
      </c>
      <c r="Q2981" t="n">
        <v>0</v>
      </c>
      <c r="R2981" s="2" t="inlineStr"/>
    </row>
    <row r="2982" ht="15" customHeight="1">
      <c r="A2982" t="inlineStr">
        <is>
          <t>A 50618-2020</t>
        </is>
      </c>
      <c r="B2982" s="1" t="n">
        <v>44110</v>
      </c>
      <c r="C2982" s="1" t="n">
        <v>45895</v>
      </c>
      <c r="D2982" t="inlineStr">
        <is>
          <t>NORRBOTTENS LÄN</t>
        </is>
      </c>
      <c r="E2982" t="inlineStr">
        <is>
          <t>BODEN</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59775-2020</t>
        </is>
      </c>
      <c r="B2983" s="1" t="n">
        <v>44151</v>
      </c>
      <c r="C2983" s="1" t="n">
        <v>45895</v>
      </c>
      <c r="D2983" t="inlineStr">
        <is>
          <t>NORRBOTTENS LÄN</t>
        </is>
      </c>
      <c r="E2983" t="inlineStr">
        <is>
          <t>BODEN</t>
        </is>
      </c>
      <c r="F2983" t="inlineStr">
        <is>
          <t>Sveaskog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24358-2025</t>
        </is>
      </c>
      <c r="B2984" s="1" t="n">
        <v>45797</v>
      </c>
      <c r="C2984" s="1" t="n">
        <v>45895</v>
      </c>
      <c r="D2984" t="inlineStr">
        <is>
          <t>NORRBOTTENS LÄN</t>
        </is>
      </c>
      <c r="E2984" t="inlineStr">
        <is>
          <t>BODEN</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56163-2022</t>
        </is>
      </c>
      <c r="B2985" s="1" t="n">
        <v>44889</v>
      </c>
      <c r="C2985" s="1" t="n">
        <v>45895</v>
      </c>
      <c r="D2985" t="inlineStr">
        <is>
          <t>NORRBOTTENS LÄN</t>
        </is>
      </c>
      <c r="E2985" t="inlineStr">
        <is>
          <t>BODEN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59885-2024</t>
        </is>
      </c>
      <c r="B2986" s="1" t="n">
        <v>45641.50518518518</v>
      </c>
      <c r="C2986" s="1" t="n">
        <v>45895</v>
      </c>
      <c r="D2986" t="inlineStr">
        <is>
          <t>NORRBOTTENS LÄN</t>
        </is>
      </c>
      <c r="E2986" t="inlineStr">
        <is>
          <t>KALIX</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64372-2023</t>
        </is>
      </c>
      <c r="B2987" s="1" t="n">
        <v>45280</v>
      </c>
      <c r="C2987" s="1" t="n">
        <v>45895</v>
      </c>
      <c r="D2987" t="inlineStr">
        <is>
          <t>NORRBOTTENS LÄN</t>
        </is>
      </c>
      <c r="E2987" t="inlineStr">
        <is>
          <t>GÄLLIVARE</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9852-2023</t>
        </is>
      </c>
      <c r="B2988" s="1" t="n">
        <v>44984</v>
      </c>
      <c r="C2988" s="1" t="n">
        <v>45895</v>
      </c>
      <c r="D2988" t="inlineStr">
        <is>
          <t>NORRBOTTENS LÄN</t>
        </is>
      </c>
      <c r="E2988" t="inlineStr">
        <is>
          <t>JOKKMOKK</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24302-2025</t>
        </is>
      </c>
      <c r="B2989" s="1" t="n">
        <v>45797.48444444445</v>
      </c>
      <c r="C2989" s="1" t="n">
        <v>45895</v>
      </c>
      <c r="D2989" t="inlineStr">
        <is>
          <t>NORRBOTTENS LÄN</t>
        </is>
      </c>
      <c r="E2989" t="inlineStr">
        <is>
          <t>PITEÅ</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58373-2022</t>
        </is>
      </c>
      <c r="B2990" s="1" t="n">
        <v>44901</v>
      </c>
      <c r="C2990" s="1" t="n">
        <v>45895</v>
      </c>
      <c r="D2990" t="inlineStr">
        <is>
          <t>NORRBOTTENS LÄN</t>
        </is>
      </c>
      <c r="E2990" t="inlineStr">
        <is>
          <t>BODEN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62970-2023</t>
        </is>
      </c>
      <c r="B2991" s="1" t="n">
        <v>45272.57488425926</v>
      </c>
      <c r="C2991" s="1" t="n">
        <v>45895</v>
      </c>
      <c r="D2991" t="inlineStr">
        <is>
          <t>NORRBOTTENS LÄN</t>
        </is>
      </c>
      <c r="E2991" t="inlineStr">
        <is>
          <t>KALIX</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24545-2025</t>
        </is>
      </c>
      <c r="B2992" s="1" t="n">
        <v>45798.44548611111</v>
      </c>
      <c r="C2992" s="1" t="n">
        <v>45895</v>
      </c>
      <c r="D2992" t="inlineStr">
        <is>
          <t>NORRBOTTENS LÄN</t>
        </is>
      </c>
      <c r="E2992" t="inlineStr">
        <is>
          <t>BODEN</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34448-2024</t>
        </is>
      </c>
      <c r="B2993" s="1" t="n">
        <v>45525</v>
      </c>
      <c r="C2993" s="1" t="n">
        <v>45895</v>
      </c>
      <c r="D2993" t="inlineStr">
        <is>
          <t>NORRBOTTENS LÄN</t>
        </is>
      </c>
      <c r="E2993" t="inlineStr">
        <is>
          <t>ÄLVSBYN</t>
        </is>
      </c>
      <c r="F2993" t="inlineStr">
        <is>
          <t>Övriga Aktiebolag</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38590-2024</t>
        </is>
      </c>
      <c r="B2994" s="1" t="n">
        <v>45546</v>
      </c>
      <c r="C2994" s="1" t="n">
        <v>45895</v>
      </c>
      <c r="D2994" t="inlineStr">
        <is>
          <t>NORRBOTTENS LÄN</t>
        </is>
      </c>
      <c r="E2994" t="inlineStr">
        <is>
          <t>PITEÅ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27681-2023</t>
        </is>
      </c>
      <c r="B2995" s="1" t="n">
        <v>45097</v>
      </c>
      <c r="C2995" s="1" t="n">
        <v>45895</v>
      </c>
      <c r="D2995" t="inlineStr">
        <is>
          <t>NORRBOTTENS LÄN</t>
        </is>
      </c>
      <c r="E2995" t="inlineStr">
        <is>
          <t>ÖVERKALIX</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27689-2023</t>
        </is>
      </c>
      <c r="B2996" s="1" t="n">
        <v>45097.93810185185</v>
      </c>
      <c r="C2996" s="1" t="n">
        <v>45895</v>
      </c>
      <c r="D2996" t="inlineStr">
        <is>
          <t>NORRBOTTENS LÄN</t>
        </is>
      </c>
      <c r="E2996" t="inlineStr">
        <is>
          <t>PITEÅ</t>
        </is>
      </c>
      <c r="F2996" t="inlineStr">
        <is>
          <t>SCA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5095-2025</t>
        </is>
      </c>
      <c r="B2997" s="1" t="n">
        <v>45691</v>
      </c>
      <c r="C2997" s="1" t="n">
        <v>45895</v>
      </c>
      <c r="D2997" t="inlineStr">
        <is>
          <t>NORRBOTTENS LÄN</t>
        </is>
      </c>
      <c r="E2997" t="inlineStr">
        <is>
          <t>ÖVERTORNEÅ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5111-2025</t>
        </is>
      </c>
      <c r="B2998" s="1" t="n">
        <v>45691</v>
      </c>
      <c r="C2998" s="1" t="n">
        <v>45895</v>
      </c>
      <c r="D2998" t="inlineStr">
        <is>
          <t>NORRBOTTENS LÄN</t>
        </is>
      </c>
      <c r="E2998" t="inlineStr">
        <is>
          <t>GÄLLIVARE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1290-2025</t>
        </is>
      </c>
      <c r="B2999" s="1" t="n">
        <v>45667</v>
      </c>
      <c r="C2999" s="1" t="n">
        <v>45895</v>
      </c>
      <c r="D2999" t="inlineStr">
        <is>
          <t>NORRBOTTENS LÄN</t>
        </is>
      </c>
      <c r="E2999" t="inlineStr">
        <is>
          <t>PAJALA</t>
        </is>
      </c>
      <c r="G2999" t="n">
        <v>23.4</v>
      </c>
      <c r="H2999" t="n">
        <v>0</v>
      </c>
      <c r="I2999" t="n">
        <v>0</v>
      </c>
      <c r="J2999" t="n">
        <v>0</v>
      </c>
      <c r="K2999" t="n">
        <v>0</v>
      </c>
      <c r="L2999" t="n">
        <v>0</v>
      </c>
      <c r="M2999" t="n">
        <v>0</v>
      </c>
      <c r="N2999" t="n">
        <v>0</v>
      </c>
      <c r="O2999" t="n">
        <v>0</v>
      </c>
      <c r="P2999" t="n">
        <v>0</v>
      </c>
      <c r="Q2999" t="n">
        <v>0</v>
      </c>
      <c r="R2999" s="2" t="inlineStr"/>
    </row>
    <row r="3000" ht="15" customHeight="1">
      <c r="A3000" t="inlineStr">
        <is>
          <t>A 5142-2025</t>
        </is>
      </c>
      <c r="B3000" s="1" t="n">
        <v>45691.58537037037</v>
      </c>
      <c r="C3000" s="1" t="n">
        <v>45895</v>
      </c>
      <c r="D3000" t="inlineStr">
        <is>
          <t>NORRBOTTENS LÄN</t>
        </is>
      </c>
      <c r="E3000" t="inlineStr">
        <is>
          <t>ÖVERTORNEÅ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50590-2023</t>
        </is>
      </c>
      <c r="B3001" s="1" t="n">
        <v>45217.40167824074</v>
      </c>
      <c r="C3001" s="1" t="n">
        <v>45895</v>
      </c>
      <c r="D3001" t="inlineStr">
        <is>
          <t>NORRBOTTENS LÄN</t>
        </is>
      </c>
      <c r="E3001" t="inlineStr">
        <is>
          <t>KIRUNA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52240-2023</t>
        </is>
      </c>
      <c r="B3002" s="1" t="n">
        <v>45224</v>
      </c>
      <c r="C3002" s="1" t="n">
        <v>45895</v>
      </c>
      <c r="D3002" t="inlineStr">
        <is>
          <t>NORRBOTTENS LÄN</t>
        </is>
      </c>
      <c r="E3002" t="inlineStr">
        <is>
          <t>LULEÅ</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855-2024</t>
        </is>
      </c>
      <c r="B3003" s="1" t="n">
        <v>45300.93476851852</v>
      </c>
      <c r="C3003" s="1" t="n">
        <v>45895</v>
      </c>
      <c r="D3003" t="inlineStr">
        <is>
          <t>NORRBOTTENS LÄN</t>
        </is>
      </c>
      <c r="E3003" t="inlineStr">
        <is>
          <t>ÖVERTORNEÅ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49806-2022</t>
        </is>
      </c>
      <c r="B3004" s="1" t="n">
        <v>44862.66424768518</v>
      </c>
      <c r="C3004" s="1" t="n">
        <v>45895</v>
      </c>
      <c r="D3004" t="inlineStr">
        <is>
          <t>NORRBOTTENS LÄN</t>
        </is>
      </c>
      <c r="E3004" t="inlineStr">
        <is>
          <t>BODEN</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48950-2022</t>
        </is>
      </c>
      <c r="B3005" s="1" t="n">
        <v>44859.95792824074</v>
      </c>
      <c r="C3005" s="1" t="n">
        <v>45895</v>
      </c>
      <c r="D3005" t="inlineStr">
        <is>
          <t>NORRBOTTENS LÄN</t>
        </is>
      </c>
      <c r="E3005" t="inlineStr">
        <is>
          <t>BODEN</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24243-2025</t>
        </is>
      </c>
      <c r="B3006" s="1" t="n">
        <v>45797.39042824074</v>
      </c>
      <c r="C3006" s="1" t="n">
        <v>45895</v>
      </c>
      <c r="D3006" t="inlineStr">
        <is>
          <t>NORRBOTTENS LÄN</t>
        </is>
      </c>
      <c r="E3006" t="inlineStr">
        <is>
          <t>PAJALA</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24288-2025</t>
        </is>
      </c>
      <c r="B3007" s="1" t="n">
        <v>45797.46248842592</v>
      </c>
      <c r="C3007" s="1" t="n">
        <v>45895</v>
      </c>
      <c r="D3007" t="inlineStr">
        <is>
          <t>NORRBOTTENS LÄN</t>
        </is>
      </c>
      <c r="E3007" t="inlineStr">
        <is>
          <t>PITEÅ</t>
        </is>
      </c>
      <c r="G3007" t="n">
        <v>17.5</v>
      </c>
      <c r="H3007" t="n">
        <v>0</v>
      </c>
      <c r="I3007" t="n">
        <v>0</v>
      </c>
      <c r="J3007" t="n">
        <v>0</v>
      </c>
      <c r="K3007" t="n">
        <v>0</v>
      </c>
      <c r="L3007" t="n">
        <v>0</v>
      </c>
      <c r="M3007" t="n">
        <v>0</v>
      </c>
      <c r="N3007" t="n">
        <v>0</v>
      </c>
      <c r="O3007" t="n">
        <v>0</v>
      </c>
      <c r="P3007" t="n">
        <v>0</v>
      </c>
      <c r="Q3007" t="n">
        <v>0</v>
      </c>
      <c r="R3007" s="2" t="inlineStr"/>
    </row>
    <row r="3008" ht="15" customHeight="1">
      <c r="A3008" t="inlineStr">
        <is>
          <t>A 60064-2023</t>
        </is>
      </c>
      <c r="B3008" s="1" t="n">
        <v>45258.3846412037</v>
      </c>
      <c r="C3008" s="1" t="n">
        <v>45895</v>
      </c>
      <c r="D3008" t="inlineStr">
        <is>
          <t>NORRBOTTENS LÄN</t>
        </is>
      </c>
      <c r="E3008" t="inlineStr">
        <is>
          <t>KIRUNA</t>
        </is>
      </c>
      <c r="G3008" t="n">
        <v>19.8</v>
      </c>
      <c r="H3008" t="n">
        <v>0</v>
      </c>
      <c r="I3008" t="n">
        <v>0</v>
      </c>
      <c r="J3008" t="n">
        <v>0</v>
      </c>
      <c r="K3008" t="n">
        <v>0</v>
      </c>
      <c r="L3008" t="n">
        <v>0</v>
      </c>
      <c r="M3008" t="n">
        <v>0</v>
      </c>
      <c r="N3008" t="n">
        <v>0</v>
      </c>
      <c r="O3008" t="n">
        <v>0</v>
      </c>
      <c r="P3008" t="n">
        <v>0</v>
      </c>
      <c r="Q3008" t="n">
        <v>0</v>
      </c>
      <c r="R3008" s="2" t="inlineStr"/>
    </row>
    <row r="3009" ht="15" customHeight="1">
      <c r="A3009" t="inlineStr">
        <is>
          <t>A 60193-2023</t>
        </is>
      </c>
      <c r="B3009" s="1" t="n">
        <v>45258</v>
      </c>
      <c r="C3009" s="1" t="n">
        <v>45895</v>
      </c>
      <c r="D3009" t="inlineStr">
        <is>
          <t>NORRBOTTENS LÄN</t>
        </is>
      </c>
      <c r="E3009" t="inlineStr">
        <is>
          <t>JOKKMOKK</t>
        </is>
      </c>
      <c r="F3009" t="inlineStr">
        <is>
          <t>Allmännings- och besparingsskogar</t>
        </is>
      </c>
      <c r="G3009" t="n">
        <v>11.1</v>
      </c>
      <c r="H3009" t="n">
        <v>0</v>
      </c>
      <c r="I3009" t="n">
        <v>0</v>
      </c>
      <c r="J3009" t="n">
        <v>0</v>
      </c>
      <c r="K3009" t="n">
        <v>0</v>
      </c>
      <c r="L3009" t="n">
        <v>0</v>
      </c>
      <c r="M3009" t="n">
        <v>0</v>
      </c>
      <c r="N3009" t="n">
        <v>0</v>
      </c>
      <c r="O3009" t="n">
        <v>0</v>
      </c>
      <c r="P3009" t="n">
        <v>0</v>
      </c>
      <c r="Q3009" t="n">
        <v>0</v>
      </c>
      <c r="R3009" s="2" t="inlineStr"/>
    </row>
    <row r="3010" ht="15" customHeight="1">
      <c r="A3010" t="inlineStr">
        <is>
          <t>A 24506-2025</t>
        </is>
      </c>
      <c r="B3010" s="1" t="n">
        <v>45798</v>
      </c>
      <c r="C3010" s="1" t="n">
        <v>45895</v>
      </c>
      <c r="D3010" t="inlineStr">
        <is>
          <t>NORRBOTTENS LÄN</t>
        </is>
      </c>
      <c r="E3010" t="inlineStr">
        <is>
          <t>ARVIDSJAUR</t>
        </is>
      </c>
      <c r="F3010" t="inlineStr">
        <is>
          <t>Sveaskog</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24271-2025</t>
        </is>
      </c>
      <c r="B3011" s="1" t="n">
        <v>45797.43649305555</v>
      </c>
      <c r="C3011" s="1" t="n">
        <v>45895</v>
      </c>
      <c r="D3011" t="inlineStr">
        <is>
          <t>NORRBOTTENS LÄN</t>
        </is>
      </c>
      <c r="E3011" t="inlineStr">
        <is>
          <t>PAJALA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41030-2024</t>
        </is>
      </c>
      <c r="B3012" s="1" t="n">
        <v>45559</v>
      </c>
      <c r="C3012" s="1" t="n">
        <v>45895</v>
      </c>
      <c r="D3012" t="inlineStr">
        <is>
          <t>NORRBOTTENS LÄN</t>
        </is>
      </c>
      <c r="E3012" t="inlineStr">
        <is>
          <t>ÖVERTORNEÅ</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18267-2022</t>
        </is>
      </c>
      <c r="B3013" s="1" t="n">
        <v>44685</v>
      </c>
      <c r="C3013" s="1" t="n">
        <v>45895</v>
      </c>
      <c r="D3013" t="inlineStr">
        <is>
          <t>NORRBOTTENS LÄN</t>
        </is>
      </c>
      <c r="E3013" t="inlineStr">
        <is>
          <t>PITEÅ</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13231-2025</t>
        </is>
      </c>
      <c r="B3014" s="1" t="n">
        <v>45735</v>
      </c>
      <c r="C3014" s="1" t="n">
        <v>45895</v>
      </c>
      <c r="D3014" t="inlineStr">
        <is>
          <t>NORRBOTTENS LÄN</t>
        </is>
      </c>
      <c r="E3014" t="inlineStr">
        <is>
          <t>KALIX</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24626-2025</t>
        </is>
      </c>
      <c r="B3015" s="1" t="n">
        <v>45798.59459490741</v>
      </c>
      <c r="C3015" s="1" t="n">
        <v>45895</v>
      </c>
      <c r="D3015" t="inlineStr">
        <is>
          <t>NORRBOTTENS LÄN</t>
        </is>
      </c>
      <c r="E3015" t="inlineStr">
        <is>
          <t>KALIX</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2627-2023</t>
        </is>
      </c>
      <c r="B3016" s="1" t="n">
        <v>44942</v>
      </c>
      <c r="C3016" s="1" t="n">
        <v>45895</v>
      </c>
      <c r="D3016" t="inlineStr">
        <is>
          <t>NORRBOTTENS LÄN</t>
        </is>
      </c>
      <c r="E3016" t="inlineStr">
        <is>
          <t>PITEÅ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32098-2021</t>
        </is>
      </c>
      <c r="B3017" s="1" t="n">
        <v>44370</v>
      </c>
      <c r="C3017" s="1" t="n">
        <v>45895</v>
      </c>
      <c r="D3017" t="inlineStr">
        <is>
          <t>NORRBOTTENS LÄN</t>
        </is>
      </c>
      <c r="E3017" t="inlineStr">
        <is>
          <t>PITEÅ</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40620-2024</t>
        </is>
      </c>
      <c r="B3018" s="1" t="n">
        <v>45557.55927083334</v>
      </c>
      <c r="C3018" s="1" t="n">
        <v>45895</v>
      </c>
      <c r="D3018" t="inlineStr">
        <is>
          <t>NORRBOTTENS LÄN</t>
        </is>
      </c>
      <c r="E3018" t="inlineStr">
        <is>
          <t>PAJALA</t>
        </is>
      </c>
      <c r="G3018" t="n">
        <v>27.7</v>
      </c>
      <c r="H3018" t="n">
        <v>0</v>
      </c>
      <c r="I3018" t="n">
        <v>0</v>
      </c>
      <c r="J3018" t="n">
        <v>0</v>
      </c>
      <c r="K3018" t="n">
        <v>0</v>
      </c>
      <c r="L3018" t="n">
        <v>0</v>
      </c>
      <c r="M3018" t="n">
        <v>0</v>
      </c>
      <c r="N3018" t="n">
        <v>0</v>
      </c>
      <c r="O3018" t="n">
        <v>0</v>
      </c>
      <c r="P3018" t="n">
        <v>0</v>
      </c>
      <c r="Q3018" t="n">
        <v>0</v>
      </c>
      <c r="R3018" s="2" t="inlineStr"/>
    </row>
    <row r="3019" ht="15" customHeight="1">
      <c r="A3019" t="inlineStr">
        <is>
          <t>A 24223-2025</t>
        </is>
      </c>
      <c r="B3019" s="1" t="n">
        <v>45797.36726851852</v>
      </c>
      <c r="C3019" s="1" t="n">
        <v>45895</v>
      </c>
      <c r="D3019" t="inlineStr">
        <is>
          <t>NORRBOTTENS LÄN</t>
        </is>
      </c>
      <c r="E3019" t="inlineStr">
        <is>
          <t>PAJALA</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58989-2024</t>
        </is>
      </c>
      <c r="B3020" s="1" t="n">
        <v>45636</v>
      </c>
      <c r="C3020" s="1" t="n">
        <v>45895</v>
      </c>
      <c r="D3020" t="inlineStr">
        <is>
          <t>NORRBOTTENS LÄN</t>
        </is>
      </c>
      <c r="E3020" t="inlineStr">
        <is>
          <t>ARJEPLOG</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40658-2024</t>
        </is>
      </c>
      <c r="B3021" s="1" t="n">
        <v>45558</v>
      </c>
      <c r="C3021" s="1" t="n">
        <v>45895</v>
      </c>
      <c r="D3021" t="inlineStr">
        <is>
          <t>NORRBOTTENS LÄN</t>
        </is>
      </c>
      <c r="E3021" t="inlineStr">
        <is>
          <t>JOKKMOKK</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49859-2023</t>
        </is>
      </c>
      <c r="B3022" s="1" t="n">
        <v>45212</v>
      </c>
      <c r="C3022" s="1" t="n">
        <v>45895</v>
      </c>
      <c r="D3022" t="inlineStr">
        <is>
          <t>NORRBOTTENS LÄN</t>
        </is>
      </c>
      <c r="E3022" t="inlineStr">
        <is>
          <t>BODEN</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3169-2025</t>
        </is>
      </c>
      <c r="B3023" s="1" t="n">
        <v>45679.36646990741</v>
      </c>
      <c r="C3023" s="1" t="n">
        <v>45895</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40697-2024</t>
        </is>
      </c>
      <c r="B3024" s="1" t="n">
        <v>45558.41288194444</v>
      </c>
      <c r="C3024" s="1" t="n">
        <v>45895</v>
      </c>
      <c r="D3024" t="inlineStr">
        <is>
          <t>NORRBOTTENS LÄN</t>
        </is>
      </c>
      <c r="E3024" t="inlineStr">
        <is>
          <t>LULEÅ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57816-2022</t>
        </is>
      </c>
      <c r="B3025" s="1" t="n">
        <v>44897.92487268519</v>
      </c>
      <c r="C3025" s="1" t="n">
        <v>45895</v>
      </c>
      <c r="D3025" t="inlineStr">
        <is>
          <t>NORRBOTTENS LÄN</t>
        </is>
      </c>
      <c r="E3025" t="inlineStr">
        <is>
          <t>LULEÅ</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57821-2022</t>
        </is>
      </c>
      <c r="B3026" s="1" t="n">
        <v>44897</v>
      </c>
      <c r="C3026" s="1" t="n">
        <v>45895</v>
      </c>
      <c r="D3026" t="inlineStr">
        <is>
          <t>NORRBOTTENS LÄN</t>
        </is>
      </c>
      <c r="E3026" t="inlineStr">
        <is>
          <t>LULEÅ</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24276-2025</t>
        </is>
      </c>
      <c r="B3027" s="1" t="n">
        <v>45797.44836805556</v>
      </c>
      <c r="C3027" s="1" t="n">
        <v>45895</v>
      </c>
      <c r="D3027" t="inlineStr">
        <is>
          <t>NORRBOTTENS LÄN</t>
        </is>
      </c>
      <c r="E3027" t="inlineStr">
        <is>
          <t>GÄLLIVARE</t>
        </is>
      </c>
      <c r="F3027" t="inlineStr">
        <is>
          <t>SCA</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28036-2024</t>
        </is>
      </c>
      <c r="B3028" s="1" t="n">
        <v>45476.49958333333</v>
      </c>
      <c r="C3028" s="1" t="n">
        <v>45895</v>
      </c>
      <c r="D3028" t="inlineStr">
        <is>
          <t>NORRBOTTENS LÄN</t>
        </is>
      </c>
      <c r="E3028" t="inlineStr">
        <is>
          <t>JOKKMOKK</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59026-2022</t>
        </is>
      </c>
      <c r="B3029" s="1" t="n">
        <v>44903.91303240741</v>
      </c>
      <c r="C3029" s="1" t="n">
        <v>45895</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59028-2022</t>
        </is>
      </c>
      <c r="B3030" s="1" t="n">
        <v>44903.92694444444</v>
      </c>
      <c r="C3030" s="1" t="n">
        <v>45895</v>
      </c>
      <c r="D3030" t="inlineStr">
        <is>
          <t>NORRBOTTENS LÄN</t>
        </is>
      </c>
      <c r="E3030" t="inlineStr">
        <is>
          <t>BODEN</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21698-2024</t>
        </is>
      </c>
      <c r="B3031" s="1" t="n">
        <v>45442.46135416667</v>
      </c>
      <c r="C3031" s="1" t="n">
        <v>45895</v>
      </c>
      <c r="D3031" t="inlineStr">
        <is>
          <t>NORRBOTTENS LÄN</t>
        </is>
      </c>
      <c r="E3031" t="inlineStr">
        <is>
          <t>HAPARANDA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46857-2023</t>
        </is>
      </c>
      <c r="B3032" s="1" t="n">
        <v>45199.97033564815</v>
      </c>
      <c r="C3032" s="1" t="n">
        <v>45895</v>
      </c>
      <c r="D3032" t="inlineStr">
        <is>
          <t>NORRBOTTENS LÄN</t>
        </is>
      </c>
      <c r="E3032" t="inlineStr">
        <is>
          <t>GÄLLIVARE</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25989-2023</t>
        </is>
      </c>
      <c r="B3033" s="1" t="n">
        <v>45090.92510416666</v>
      </c>
      <c r="C3033" s="1" t="n">
        <v>45895</v>
      </c>
      <c r="D3033" t="inlineStr">
        <is>
          <t>NORRBOTTENS LÄN</t>
        </is>
      </c>
      <c r="E3033" t="inlineStr">
        <is>
          <t>PITEÅ</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68560-2021</t>
        </is>
      </c>
      <c r="B3034" s="1" t="n">
        <v>44529</v>
      </c>
      <c r="C3034" s="1" t="n">
        <v>45895</v>
      </c>
      <c r="D3034" t="inlineStr">
        <is>
          <t>NORRBOTTENS LÄN</t>
        </is>
      </c>
      <c r="E3034" t="inlineStr">
        <is>
          <t>BODEN</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68565-2021</t>
        </is>
      </c>
      <c r="B3035" s="1" t="n">
        <v>44529</v>
      </c>
      <c r="C3035" s="1" t="n">
        <v>45895</v>
      </c>
      <c r="D3035" t="inlineStr">
        <is>
          <t>NORRBOTTENS LÄN</t>
        </is>
      </c>
      <c r="E3035" t="inlineStr">
        <is>
          <t>BODEN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8018-2022</t>
        </is>
      </c>
      <c r="B3036" s="1" t="n">
        <v>44609</v>
      </c>
      <c r="C3036" s="1" t="n">
        <v>45895</v>
      </c>
      <c r="D3036" t="inlineStr">
        <is>
          <t>NORRBOTTENS LÄN</t>
        </is>
      </c>
      <c r="E3036" t="inlineStr">
        <is>
          <t>GÄLLIVARE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4630-2025</t>
        </is>
      </c>
      <c r="B3037" s="1" t="n">
        <v>45687</v>
      </c>
      <c r="C3037" s="1" t="n">
        <v>45895</v>
      </c>
      <c r="D3037" t="inlineStr">
        <is>
          <t>NORRBOTTENS LÄN</t>
        </is>
      </c>
      <c r="E3037" t="inlineStr">
        <is>
          <t>BODEN</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4633-2025</t>
        </is>
      </c>
      <c r="B3038" s="1" t="n">
        <v>45687</v>
      </c>
      <c r="C3038" s="1" t="n">
        <v>45895</v>
      </c>
      <c r="D3038" t="inlineStr">
        <is>
          <t>NORRBOTTENS LÄN</t>
        </is>
      </c>
      <c r="E3038" t="inlineStr">
        <is>
          <t>GÄLLIVARE</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4673-2025</t>
        </is>
      </c>
      <c r="B3039" s="1" t="n">
        <v>45687</v>
      </c>
      <c r="C3039" s="1" t="n">
        <v>45895</v>
      </c>
      <c r="D3039" t="inlineStr">
        <is>
          <t>NORRBOTTENS LÄN</t>
        </is>
      </c>
      <c r="E3039" t="inlineStr">
        <is>
          <t>PITEÅ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4675-2025</t>
        </is>
      </c>
      <c r="B3040" s="1" t="n">
        <v>45687.82303240741</v>
      </c>
      <c r="C3040" s="1" t="n">
        <v>45895</v>
      </c>
      <c r="D3040" t="inlineStr">
        <is>
          <t>NORRBOTTENS LÄN</t>
        </is>
      </c>
      <c r="E3040" t="inlineStr">
        <is>
          <t>PITEÅ</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34598-2024</t>
        </is>
      </c>
      <c r="B3041" s="1" t="n">
        <v>45526.39714120371</v>
      </c>
      <c r="C3041" s="1" t="n">
        <v>45895</v>
      </c>
      <c r="D3041" t="inlineStr">
        <is>
          <t>NORRBOTTENS LÄN</t>
        </is>
      </c>
      <c r="E3041" t="inlineStr">
        <is>
          <t>JOKKMOKK</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50329-2024</t>
        </is>
      </c>
      <c r="B3042" s="1" t="n">
        <v>45600.69767361111</v>
      </c>
      <c r="C3042" s="1" t="n">
        <v>45895</v>
      </c>
      <c r="D3042" t="inlineStr">
        <is>
          <t>NORRBOTTENS LÄN</t>
        </is>
      </c>
      <c r="E3042" t="inlineStr">
        <is>
          <t>PITEÅ</t>
        </is>
      </c>
      <c r="F3042" t="inlineStr">
        <is>
          <t>Sveaskog</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25375-2025</t>
        </is>
      </c>
      <c r="B3043" s="1" t="n">
        <v>45800.6360300926</v>
      </c>
      <c r="C3043" s="1" t="n">
        <v>45895</v>
      </c>
      <c r="D3043" t="inlineStr">
        <is>
          <t>NORRBOTTENS LÄN</t>
        </is>
      </c>
      <c r="E3043" t="inlineStr">
        <is>
          <t>PITEÅ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44306-2021</t>
        </is>
      </c>
      <c r="B3044" s="1" t="n">
        <v>44435</v>
      </c>
      <c r="C3044" s="1" t="n">
        <v>45895</v>
      </c>
      <c r="D3044" t="inlineStr">
        <is>
          <t>NORRBOTTENS LÄN</t>
        </is>
      </c>
      <c r="E3044" t="inlineStr">
        <is>
          <t>ÖVERKALIX</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52385-2024</t>
        </is>
      </c>
      <c r="B3045" s="1" t="n">
        <v>45609</v>
      </c>
      <c r="C3045" s="1" t="n">
        <v>45895</v>
      </c>
      <c r="D3045" t="inlineStr">
        <is>
          <t>NORRBOTTENS LÄN</t>
        </is>
      </c>
      <c r="E3045" t="inlineStr">
        <is>
          <t>PITEÅ</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34354-2024</t>
        </is>
      </c>
      <c r="B3046" s="1" t="n">
        <v>45525</v>
      </c>
      <c r="C3046" s="1" t="n">
        <v>45895</v>
      </c>
      <c r="D3046" t="inlineStr">
        <is>
          <t>NORRBOTTENS LÄN</t>
        </is>
      </c>
      <c r="E3046" t="inlineStr">
        <is>
          <t>PITEÅ</t>
        </is>
      </c>
      <c r="F3046" t="inlineStr">
        <is>
          <t>Sveaskog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5137-2024</t>
        </is>
      </c>
      <c r="B3047" s="1" t="n">
        <v>45330.46430555556</v>
      </c>
      <c r="C3047" s="1" t="n">
        <v>45895</v>
      </c>
      <c r="D3047" t="inlineStr">
        <is>
          <t>NORRBOTTENS LÄN</t>
        </is>
      </c>
      <c r="E3047" t="inlineStr">
        <is>
          <t>LULEÅ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49007-2023</t>
        </is>
      </c>
      <c r="B3048" s="1" t="n">
        <v>45209.68086805556</v>
      </c>
      <c r="C3048" s="1" t="n">
        <v>45895</v>
      </c>
      <c r="D3048" t="inlineStr">
        <is>
          <t>NORRBOTTENS LÄN</t>
        </is>
      </c>
      <c r="E3048" t="inlineStr">
        <is>
          <t>HAPARANDA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41131-2023</t>
        </is>
      </c>
      <c r="B3049" s="1" t="n">
        <v>45173</v>
      </c>
      <c r="C3049" s="1" t="n">
        <v>45895</v>
      </c>
      <c r="D3049" t="inlineStr">
        <is>
          <t>NORRBOTTENS LÄN</t>
        </is>
      </c>
      <c r="E3049" t="inlineStr">
        <is>
          <t>KALIX</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33289-2024</t>
        </is>
      </c>
      <c r="B3050" s="1" t="n">
        <v>45518</v>
      </c>
      <c r="C3050" s="1" t="n">
        <v>45895</v>
      </c>
      <c r="D3050" t="inlineStr">
        <is>
          <t>NORRBOTTENS LÄN</t>
        </is>
      </c>
      <c r="E3050" t="inlineStr">
        <is>
          <t>BODEN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33301-2024</t>
        </is>
      </c>
      <c r="B3051" s="1" t="n">
        <v>45518.96950231482</v>
      </c>
      <c r="C3051" s="1" t="n">
        <v>45895</v>
      </c>
      <c r="D3051" t="inlineStr">
        <is>
          <t>NORRBOTTENS LÄN</t>
        </is>
      </c>
      <c r="E3051" t="inlineStr">
        <is>
          <t>ÖVERKALIX</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33315-2024</t>
        </is>
      </c>
      <c r="B3052" s="1" t="n">
        <v>45518.97159722223</v>
      </c>
      <c r="C3052" s="1" t="n">
        <v>45895</v>
      </c>
      <c r="D3052" t="inlineStr">
        <is>
          <t>NORRBOTTENS LÄN</t>
        </is>
      </c>
      <c r="E3052" t="inlineStr">
        <is>
          <t>ÖVERKALIX</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5688-2023</t>
        </is>
      </c>
      <c r="B3053" s="1" t="n">
        <v>44960.92371527778</v>
      </c>
      <c r="C3053" s="1" t="n">
        <v>45895</v>
      </c>
      <c r="D3053" t="inlineStr">
        <is>
          <t>NORRBOTTENS LÄN</t>
        </is>
      </c>
      <c r="E3053" t="inlineStr">
        <is>
          <t>LULEÅ</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2773-2025</t>
        </is>
      </c>
      <c r="B3054" s="1" t="n">
        <v>45677.51043981482</v>
      </c>
      <c r="C3054" s="1" t="n">
        <v>45895</v>
      </c>
      <c r="D3054" t="inlineStr">
        <is>
          <t>NORRBOTTENS LÄN</t>
        </is>
      </c>
      <c r="E3054" t="inlineStr">
        <is>
          <t>ARVIDSJAUR</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45575-2024</t>
        </is>
      </c>
      <c r="B3055" s="1" t="n">
        <v>45579</v>
      </c>
      <c r="C3055" s="1" t="n">
        <v>45895</v>
      </c>
      <c r="D3055" t="inlineStr">
        <is>
          <t>NORRBOTTENS LÄN</t>
        </is>
      </c>
      <c r="E3055" t="inlineStr">
        <is>
          <t>HAPARANDA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25424-2025</t>
        </is>
      </c>
      <c r="B3056" s="1" t="n">
        <v>45800.6982175926</v>
      </c>
      <c r="C3056" s="1" t="n">
        <v>45895</v>
      </c>
      <c r="D3056" t="inlineStr">
        <is>
          <t>NORRBOTTENS LÄN</t>
        </is>
      </c>
      <c r="E3056" t="inlineStr">
        <is>
          <t>PITEÅ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24992-2025</t>
        </is>
      </c>
      <c r="B3057" s="1" t="n">
        <v>45799.61495370371</v>
      </c>
      <c r="C3057" s="1" t="n">
        <v>45895</v>
      </c>
      <c r="D3057" t="inlineStr">
        <is>
          <t>NORRBOTTENS LÄN</t>
        </is>
      </c>
      <c r="E3057" t="inlineStr">
        <is>
          <t>KALIX</t>
        </is>
      </c>
      <c r="F3057" t="inlineStr">
        <is>
          <t>SCA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8226-2025</t>
        </is>
      </c>
      <c r="B3058" s="1" t="n">
        <v>45708.46348379629</v>
      </c>
      <c r="C3058" s="1" t="n">
        <v>45895</v>
      </c>
      <c r="D3058" t="inlineStr">
        <is>
          <t>NORRBOTTENS LÄN</t>
        </is>
      </c>
      <c r="E3058" t="inlineStr">
        <is>
          <t>PITEÅ</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22491-2024</t>
        </is>
      </c>
      <c r="B3059" s="1" t="n">
        <v>45447</v>
      </c>
      <c r="C3059" s="1" t="n">
        <v>45895</v>
      </c>
      <c r="D3059" t="inlineStr">
        <is>
          <t>NORRBOTTENS LÄN</t>
        </is>
      </c>
      <c r="E3059" t="inlineStr">
        <is>
          <t>KIRUNA</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22504-2024</t>
        </is>
      </c>
      <c r="B3060" s="1" t="n">
        <v>45447</v>
      </c>
      <c r="C3060" s="1" t="n">
        <v>45895</v>
      </c>
      <c r="D3060" t="inlineStr">
        <is>
          <t>NORRBOTTENS LÄN</t>
        </is>
      </c>
      <c r="E3060" t="inlineStr">
        <is>
          <t>KIRUNA</t>
        </is>
      </c>
      <c r="G3060" t="n">
        <v>15.6</v>
      </c>
      <c r="H3060" t="n">
        <v>0</v>
      </c>
      <c r="I3060" t="n">
        <v>0</v>
      </c>
      <c r="J3060" t="n">
        <v>0</v>
      </c>
      <c r="K3060" t="n">
        <v>0</v>
      </c>
      <c r="L3060" t="n">
        <v>0</v>
      </c>
      <c r="M3060" t="n">
        <v>0</v>
      </c>
      <c r="N3060" t="n">
        <v>0</v>
      </c>
      <c r="O3060" t="n">
        <v>0</v>
      </c>
      <c r="P3060" t="n">
        <v>0</v>
      </c>
      <c r="Q3060" t="n">
        <v>0</v>
      </c>
      <c r="R3060" s="2" t="inlineStr"/>
    </row>
    <row r="3061" ht="15" customHeight="1">
      <c r="A3061" t="inlineStr">
        <is>
          <t>A 22526-2024</t>
        </is>
      </c>
      <c r="B3061" s="1" t="n">
        <v>45447.4431712963</v>
      </c>
      <c r="C3061" s="1" t="n">
        <v>45895</v>
      </c>
      <c r="D3061" t="inlineStr">
        <is>
          <t>NORRBOTTENS LÄN</t>
        </is>
      </c>
      <c r="E3061" t="inlineStr">
        <is>
          <t>PAJALA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8287-2025</t>
        </is>
      </c>
      <c r="B3062" s="1" t="n">
        <v>45708.57165509259</v>
      </c>
      <c r="C3062" s="1" t="n">
        <v>45895</v>
      </c>
      <c r="D3062" t="inlineStr">
        <is>
          <t>NORRBOTTENS LÄN</t>
        </is>
      </c>
      <c r="E3062" t="inlineStr">
        <is>
          <t>KALIX</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8299-2025</t>
        </is>
      </c>
      <c r="B3063" s="1" t="n">
        <v>45708.58747685186</v>
      </c>
      <c r="C3063" s="1" t="n">
        <v>45895</v>
      </c>
      <c r="D3063" t="inlineStr">
        <is>
          <t>NORRBOTTENS LÄN</t>
        </is>
      </c>
      <c r="E3063" t="inlineStr">
        <is>
          <t>KALIX</t>
        </is>
      </c>
      <c r="G3063" t="n">
        <v>16.2</v>
      </c>
      <c r="H3063" t="n">
        <v>0</v>
      </c>
      <c r="I3063" t="n">
        <v>0</v>
      </c>
      <c r="J3063" t="n">
        <v>0</v>
      </c>
      <c r="K3063" t="n">
        <v>0</v>
      </c>
      <c r="L3063" t="n">
        <v>0</v>
      </c>
      <c r="M3063" t="n">
        <v>0</v>
      </c>
      <c r="N3063" t="n">
        <v>0</v>
      </c>
      <c r="O3063" t="n">
        <v>0</v>
      </c>
      <c r="P3063" t="n">
        <v>0</v>
      </c>
      <c r="Q3063" t="n">
        <v>0</v>
      </c>
      <c r="R3063" s="2" t="inlineStr"/>
    </row>
    <row r="3064" ht="15" customHeight="1">
      <c r="A3064" t="inlineStr">
        <is>
          <t>A 25034-2025</t>
        </is>
      </c>
      <c r="B3064" s="1" t="n">
        <v>45799.65663194445</v>
      </c>
      <c r="C3064" s="1" t="n">
        <v>45895</v>
      </c>
      <c r="D3064" t="inlineStr">
        <is>
          <t>NORRBOTTENS LÄN</t>
        </is>
      </c>
      <c r="E3064" t="inlineStr">
        <is>
          <t>KALIX</t>
        </is>
      </c>
      <c r="F3064" t="inlineStr">
        <is>
          <t>SCA</t>
        </is>
      </c>
      <c r="G3064" t="n">
        <v>17.9</v>
      </c>
      <c r="H3064" t="n">
        <v>0</v>
      </c>
      <c r="I3064" t="n">
        <v>0</v>
      </c>
      <c r="J3064" t="n">
        <v>0</v>
      </c>
      <c r="K3064" t="n">
        <v>0</v>
      </c>
      <c r="L3064" t="n">
        <v>0</v>
      </c>
      <c r="M3064" t="n">
        <v>0</v>
      </c>
      <c r="N3064" t="n">
        <v>0</v>
      </c>
      <c r="O3064" t="n">
        <v>0</v>
      </c>
      <c r="P3064" t="n">
        <v>0</v>
      </c>
      <c r="Q3064" t="n">
        <v>0</v>
      </c>
      <c r="R3064" s="2" t="inlineStr"/>
    </row>
    <row r="3065" ht="15" customHeight="1">
      <c r="A3065" t="inlineStr">
        <is>
          <t>A 25035-2025</t>
        </is>
      </c>
      <c r="B3065" s="1" t="n">
        <v>45799.65689814815</v>
      </c>
      <c r="C3065" s="1" t="n">
        <v>45895</v>
      </c>
      <c r="D3065" t="inlineStr">
        <is>
          <t>NORRBOTTENS LÄN</t>
        </is>
      </c>
      <c r="E3065" t="inlineStr">
        <is>
          <t>GÄLLIVARE</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41487-2024</t>
        </is>
      </c>
      <c r="B3066" s="1" t="n">
        <v>45560.44918981481</v>
      </c>
      <c r="C3066" s="1" t="n">
        <v>45895</v>
      </c>
      <c r="D3066" t="inlineStr">
        <is>
          <t>NORRBOTTENS LÄN</t>
        </is>
      </c>
      <c r="E3066" t="inlineStr">
        <is>
          <t>BODEN</t>
        </is>
      </c>
      <c r="F3066" t="inlineStr">
        <is>
          <t>SCA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16446-2024</t>
        </is>
      </c>
      <c r="B3067" s="1" t="n">
        <v>45407.96980324074</v>
      </c>
      <c r="C3067" s="1" t="n">
        <v>45895</v>
      </c>
      <c r="D3067" t="inlineStr">
        <is>
          <t>NORRBOTTENS LÄN</t>
        </is>
      </c>
      <c r="E3067" t="inlineStr">
        <is>
          <t>PAJALA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44076-2023</t>
        </is>
      </c>
      <c r="B3068" s="1" t="n">
        <v>45188</v>
      </c>
      <c r="C3068" s="1" t="n">
        <v>45895</v>
      </c>
      <c r="D3068" t="inlineStr">
        <is>
          <t>NORRBOTTENS LÄN</t>
        </is>
      </c>
      <c r="E3068" t="inlineStr">
        <is>
          <t>PITEÅ</t>
        </is>
      </c>
      <c r="F3068" t="inlineStr">
        <is>
          <t>Sveaskog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13863-2025</t>
        </is>
      </c>
      <c r="B3069" s="1" t="n">
        <v>45737.57435185185</v>
      </c>
      <c r="C3069" s="1" t="n">
        <v>45895</v>
      </c>
      <c r="D3069" t="inlineStr">
        <is>
          <t>NORRBOTTENS LÄN</t>
        </is>
      </c>
      <c r="E3069" t="inlineStr">
        <is>
          <t>JOKKMOKK</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13864-2025</t>
        </is>
      </c>
      <c r="B3070" s="1" t="n">
        <v>45737.57438657407</v>
      </c>
      <c r="C3070" s="1" t="n">
        <v>45895</v>
      </c>
      <c r="D3070" t="inlineStr">
        <is>
          <t>NORRBOTTENS LÄN</t>
        </is>
      </c>
      <c r="E3070" t="inlineStr">
        <is>
          <t>JOKKMOKK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62697-2022</t>
        </is>
      </c>
      <c r="B3071" s="1" t="n">
        <v>44917</v>
      </c>
      <c r="C3071" s="1" t="n">
        <v>45895</v>
      </c>
      <c r="D3071" t="inlineStr">
        <is>
          <t>NORRBOTTENS LÄN</t>
        </is>
      </c>
      <c r="E3071" t="inlineStr">
        <is>
          <t>LULEÅ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14298-2023</t>
        </is>
      </c>
      <c r="B3072" s="1" t="n">
        <v>45011</v>
      </c>
      <c r="C3072" s="1" t="n">
        <v>45895</v>
      </c>
      <c r="D3072" t="inlineStr">
        <is>
          <t>NORRBOTTENS LÄN</t>
        </is>
      </c>
      <c r="E3072" t="inlineStr">
        <is>
          <t>ÖVERTORNEÅ</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16473-2024</t>
        </is>
      </c>
      <c r="B3073" s="1" t="n">
        <v>45408</v>
      </c>
      <c r="C3073" s="1" t="n">
        <v>45895</v>
      </c>
      <c r="D3073" t="inlineStr">
        <is>
          <t>NORRBOTTENS LÄN</t>
        </is>
      </c>
      <c r="E3073" t="inlineStr">
        <is>
          <t>GÄLLIVARE</t>
        </is>
      </c>
      <c r="F3073" t="inlineStr">
        <is>
          <t>SCA</t>
        </is>
      </c>
      <c r="G3073" t="n">
        <v>15.3</v>
      </c>
      <c r="H3073" t="n">
        <v>0</v>
      </c>
      <c r="I3073" t="n">
        <v>0</v>
      </c>
      <c r="J3073" t="n">
        <v>0</v>
      </c>
      <c r="K3073" t="n">
        <v>0</v>
      </c>
      <c r="L3073" t="n">
        <v>0</v>
      </c>
      <c r="M3073" t="n">
        <v>0</v>
      </c>
      <c r="N3073" t="n">
        <v>0</v>
      </c>
      <c r="O3073" t="n">
        <v>0</v>
      </c>
      <c r="P3073" t="n">
        <v>0</v>
      </c>
      <c r="Q3073" t="n">
        <v>0</v>
      </c>
      <c r="R3073" s="2" t="inlineStr"/>
    </row>
    <row r="3074" ht="15" customHeight="1">
      <c r="A3074" t="inlineStr">
        <is>
          <t>A 9623-2022</t>
        </is>
      </c>
      <c r="B3074" s="1" t="n">
        <v>44617</v>
      </c>
      <c r="C3074" s="1" t="n">
        <v>45895</v>
      </c>
      <c r="D3074" t="inlineStr">
        <is>
          <t>NORRBOTTENS LÄN</t>
        </is>
      </c>
      <c r="E3074" t="inlineStr">
        <is>
          <t>ÄLVSBYN</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55812-2023</t>
        </is>
      </c>
      <c r="B3075" s="1" t="n">
        <v>45239</v>
      </c>
      <c r="C3075" s="1" t="n">
        <v>45895</v>
      </c>
      <c r="D3075" t="inlineStr">
        <is>
          <t>NORRBOTTENS LÄN</t>
        </is>
      </c>
      <c r="E3075" t="inlineStr">
        <is>
          <t>PITEÅ</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19976-2025</t>
        </is>
      </c>
      <c r="B3076" s="1" t="n">
        <v>45771</v>
      </c>
      <c r="C3076" s="1" t="n">
        <v>45895</v>
      </c>
      <c r="D3076" t="inlineStr">
        <is>
          <t>NORRBOTTENS LÄN</t>
        </is>
      </c>
      <c r="E3076" t="inlineStr">
        <is>
          <t>KALIX</t>
        </is>
      </c>
      <c r="F3076" t="inlineStr">
        <is>
          <t>SCA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44197-2024</t>
        </is>
      </c>
      <c r="B3077" s="1" t="n">
        <v>45573.33313657407</v>
      </c>
      <c r="C3077" s="1" t="n">
        <v>45895</v>
      </c>
      <c r="D3077" t="inlineStr">
        <is>
          <t>NORRBOTTENS LÄN</t>
        </is>
      </c>
      <c r="E3077" t="inlineStr">
        <is>
          <t>KALIX</t>
        </is>
      </c>
      <c r="F3077" t="inlineStr">
        <is>
          <t>Sveaskog</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36483-2022</t>
        </is>
      </c>
      <c r="B3078" s="1" t="n">
        <v>44804</v>
      </c>
      <c r="C3078" s="1" t="n">
        <v>45895</v>
      </c>
      <c r="D3078" t="inlineStr">
        <is>
          <t>NORRBOTTENS LÄN</t>
        </is>
      </c>
      <c r="E3078" t="inlineStr">
        <is>
          <t>ARVIDSJAUR</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18904-2024</t>
        </is>
      </c>
      <c r="B3079" s="1" t="n">
        <v>45427.36417824074</v>
      </c>
      <c r="C3079" s="1" t="n">
        <v>45895</v>
      </c>
      <c r="D3079" t="inlineStr">
        <is>
          <t>NORRBOTTENS LÄN</t>
        </is>
      </c>
      <c r="E3079" t="inlineStr">
        <is>
          <t>PITEÅ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51526-2024</t>
        </is>
      </c>
      <c r="B3080" s="1" t="n">
        <v>45604</v>
      </c>
      <c r="C3080" s="1" t="n">
        <v>45895</v>
      </c>
      <c r="D3080" t="inlineStr">
        <is>
          <t>NORRBOTTENS LÄN</t>
        </is>
      </c>
      <c r="E3080" t="inlineStr">
        <is>
          <t>ÖVERKALIX</t>
        </is>
      </c>
      <c r="F3080" t="inlineStr">
        <is>
          <t>SCA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19590-2025</t>
        </is>
      </c>
      <c r="B3081" s="1" t="n">
        <v>45770</v>
      </c>
      <c r="C3081" s="1" t="n">
        <v>45895</v>
      </c>
      <c r="D3081" t="inlineStr">
        <is>
          <t>NORRBOTTENS LÄN</t>
        </is>
      </c>
      <c r="E3081" t="inlineStr">
        <is>
          <t>BODEN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5071-2025</t>
        </is>
      </c>
      <c r="B3082" s="1" t="n">
        <v>45691.49005787037</v>
      </c>
      <c r="C3082" s="1" t="n">
        <v>45895</v>
      </c>
      <c r="D3082" t="inlineStr">
        <is>
          <t>NORRBOTTENS LÄN</t>
        </is>
      </c>
      <c r="E3082" t="inlineStr">
        <is>
          <t>BODEN</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24734-2025</t>
        </is>
      </c>
      <c r="B3083" s="1" t="n">
        <v>45799</v>
      </c>
      <c r="C3083" s="1" t="n">
        <v>45895</v>
      </c>
      <c r="D3083" t="inlineStr">
        <is>
          <t>NORRBOTTENS LÄN</t>
        </is>
      </c>
      <c r="E3083" t="inlineStr">
        <is>
          <t>GÄLLIVARE</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24746-2025</t>
        </is>
      </c>
      <c r="B3084" s="1" t="n">
        <v>45799.34662037037</v>
      </c>
      <c r="C3084" s="1" t="n">
        <v>45895</v>
      </c>
      <c r="D3084" t="inlineStr">
        <is>
          <t>NORRBOTTENS LÄN</t>
        </is>
      </c>
      <c r="E3084" t="inlineStr">
        <is>
          <t>JOKKMOKK</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5074-2025</t>
        </is>
      </c>
      <c r="B3085" s="1" t="n">
        <v>45691.49449074074</v>
      </c>
      <c r="C3085" s="1" t="n">
        <v>45895</v>
      </c>
      <c r="D3085" t="inlineStr">
        <is>
          <t>NORRBOTTENS LÄN</t>
        </is>
      </c>
      <c r="E3085" t="inlineStr">
        <is>
          <t>KALIX</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53960-2023</t>
        </is>
      </c>
      <c r="B3086" s="1" t="n">
        <v>45225</v>
      </c>
      <c r="C3086" s="1" t="n">
        <v>45895</v>
      </c>
      <c r="D3086" t="inlineStr">
        <is>
          <t>NORRBOTTENS LÄN</t>
        </is>
      </c>
      <c r="E3086" t="inlineStr">
        <is>
          <t>LULEÅ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14556-2025</t>
        </is>
      </c>
      <c r="B3087" s="1" t="n">
        <v>45741.74234953704</v>
      </c>
      <c r="C3087" s="1" t="n">
        <v>45895</v>
      </c>
      <c r="D3087" t="inlineStr">
        <is>
          <t>NORRBOTTENS LÄN</t>
        </is>
      </c>
      <c r="E3087" t="inlineStr">
        <is>
          <t>PITEÅ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14560-2025</t>
        </is>
      </c>
      <c r="B3088" s="1" t="n">
        <v>45741.78100694445</v>
      </c>
      <c r="C3088" s="1" t="n">
        <v>45895</v>
      </c>
      <c r="D3088" t="inlineStr">
        <is>
          <t>NORRBOTTENS LÄN</t>
        </is>
      </c>
      <c r="E3088" t="inlineStr">
        <is>
          <t>PITEÅ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425-2025</t>
        </is>
      </c>
      <c r="B3089" s="1" t="n">
        <v>45664.34549768519</v>
      </c>
      <c r="C3089" s="1" t="n">
        <v>45895</v>
      </c>
      <c r="D3089" t="inlineStr">
        <is>
          <t>NORRBOTTENS LÄN</t>
        </is>
      </c>
      <c r="E3089" t="inlineStr">
        <is>
          <t>JOKKMOKK</t>
        </is>
      </c>
      <c r="F3089" t="inlineStr">
        <is>
          <t>Övriga statliga verk och myndigheter</t>
        </is>
      </c>
      <c r="G3089" t="n">
        <v>36.5</v>
      </c>
      <c r="H3089" t="n">
        <v>0</v>
      </c>
      <c r="I3089" t="n">
        <v>0</v>
      </c>
      <c r="J3089" t="n">
        <v>0</v>
      </c>
      <c r="K3089" t="n">
        <v>0</v>
      </c>
      <c r="L3089" t="n">
        <v>0</v>
      </c>
      <c r="M3089" t="n">
        <v>0</v>
      </c>
      <c r="N3089" t="n">
        <v>0</v>
      </c>
      <c r="O3089" t="n">
        <v>0</v>
      </c>
      <c r="P3089" t="n">
        <v>0</v>
      </c>
      <c r="Q3089" t="n">
        <v>0</v>
      </c>
      <c r="R3089" s="2" t="inlineStr"/>
    </row>
    <row r="3090" ht="15" customHeight="1">
      <c r="A3090" t="inlineStr">
        <is>
          <t>A 18738-2022</t>
        </is>
      </c>
      <c r="B3090" s="1" t="n">
        <v>44687</v>
      </c>
      <c r="C3090" s="1" t="n">
        <v>45895</v>
      </c>
      <c r="D3090" t="inlineStr">
        <is>
          <t>NORRBOTTENS LÄN</t>
        </is>
      </c>
      <c r="E3090" t="inlineStr">
        <is>
          <t>KIRUNA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14604-2025</t>
        </is>
      </c>
      <c r="B3091" s="1" t="n">
        <v>45742</v>
      </c>
      <c r="C3091" s="1" t="n">
        <v>45895</v>
      </c>
      <c r="D3091" t="inlineStr">
        <is>
          <t>NORRBOTTENS LÄN</t>
        </is>
      </c>
      <c r="E3091" t="inlineStr">
        <is>
          <t>GÄLLIVARE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457-2025</t>
        </is>
      </c>
      <c r="B3092" s="1" t="n">
        <v>45664</v>
      </c>
      <c r="C3092" s="1" t="n">
        <v>45895</v>
      </c>
      <c r="D3092" t="inlineStr">
        <is>
          <t>NORRBOTTENS LÄN</t>
        </is>
      </c>
      <c r="E3092" t="inlineStr">
        <is>
          <t>JOKKMOKK</t>
        </is>
      </c>
      <c r="F3092" t="inlineStr">
        <is>
          <t>Övriga statliga verk och myndigheter</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25245-2025</t>
        </is>
      </c>
      <c r="B3093" s="1" t="n">
        <v>45799</v>
      </c>
      <c r="C3093" s="1" t="n">
        <v>45895</v>
      </c>
      <c r="D3093" t="inlineStr">
        <is>
          <t>NORRBOTTENS LÄN</t>
        </is>
      </c>
      <c r="E3093" t="inlineStr">
        <is>
          <t>ÖVERTORNEÅ</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458-2025</t>
        </is>
      </c>
      <c r="B3094" s="1" t="n">
        <v>45664</v>
      </c>
      <c r="C3094" s="1" t="n">
        <v>45895</v>
      </c>
      <c r="D3094" t="inlineStr">
        <is>
          <t>NORRBOTTENS LÄN</t>
        </is>
      </c>
      <c r="E3094" t="inlineStr">
        <is>
          <t>JOKKMOKK</t>
        </is>
      </c>
      <c r="F3094" t="inlineStr">
        <is>
          <t>Övriga statliga verk och myndigheter</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42843-2024</t>
        </is>
      </c>
      <c r="B3095" s="1" t="n">
        <v>45566</v>
      </c>
      <c r="C3095" s="1" t="n">
        <v>45895</v>
      </c>
      <c r="D3095" t="inlineStr">
        <is>
          <t>NORRBOTTENS LÄN</t>
        </is>
      </c>
      <c r="E3095" t="inlineStr">
        <is>
          <t>ÖVERKALIX</t>
        </is>
      </c>
      <c r="G3095" t="n">
        <v>12.2</v>
      </c>
      <c r="H3095" t="n">
        <v>0</v>
      </c>
      <c r="I3095" t="n">
        <v>0</v>
      </c>
      <c r="J3095" t="n">
        <v>0</v>
      </c>
      <c r="K3095" t="n">
        <v>0</v>
      </c>
      <c r="L3095" t="n">
        <v>0</v>
      </c>
      <c r="M3095" t="n">
        <v>0</v>
      </c>
      <c r="N3095" t="n">
        <v>0</v>
      </c>
      <c r="O3095" t="n">
        <v>0</v>
      </c>
      <c r="P3095" t="n">
        <v>0</v>
      </c>
      <c r="Q3095" t="n">
        <v>0</v>
      </c>
      <c r="R3095" s="2" t="inlineStr"/>
    </row>
    <row r="3096" ht="15" customHeight="1">
      <c r="A3096" t="inlineStr">
        <is>
          <t>A 24923-2025</t>
        </is>
      </c>
      <c r="B3096" s="1" t="n">
        <v>45799.55270833334</v>
      </c>
      <c r="C3096" s="1" t="n">
        <v>45895</v>
      </c>
      <c r="D3096" t="inlineStr">
        <is>
          <t>NORRBOTTENS LÄN</t>
        </is>
      </c>
      <c r="E3096" t="inlineStr">
        <is>
          <t>ARVIDSJAUR</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24888-2025</t>
        </is>
      </c>
      <c r="B3097" s="1" t="n">
        <v>45799.51076388889</v>
      </c>
      <c r="C3097" s="1" t="n">
        <v>45895</v>
      </c>
      <c r="D3097" t="inlineStr">
        <is>
          <t>NORRBOTTENS LÄN</t>
        </is>
      </c>
      <c r="E3097" t="inlineStr">
        <is>
          <t>KALIX</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24890-2025</t>
        </is>
      </c>
      <c r="B3098" s="1" t="n">
        <v>45799.51096064815</v>
      </c>
      <c r="C3098" s="1" t="n">
        <v>45895</v>
      </c>
      <c r="D3098" t="inlineStr">
        <is>
          <t>NORRBOTTENS LÄN</t>
        </is>
      </c>
      <c r="E3098" t="inlineStr">
        <is>
          <t>KALIX</t>
        </is>
      </c>
      <c r="G3098" t="n">
        <v>12.3</v>
      </c>
      <c r="H3098" t="n">
        <v>0</v>
      </c>
      <c r="I3098" t="n">
        <v>0</v>
      </c>
      <c r="J3098" t="n">
        <v>0</v>
      </c>
      <c r="K3098" t="n">
        <v>0</v>
      </c>
      <c r="L3098" t="n">
        <v>0</v>
      </c>
      <c r="M3098" t="n">
        <v>0</v>
      </c>
      <c r="N3098" t="n">
        <v>0</v>
      </c>
      <c r="O3098" t="n">
        <v>0</v>
      </c>
      <c r="P3098" t="n">
        <v>0</v>
      </c>
      <c r="Q3098" t="n">
        <v>0</v>
      </c>
      <c r="R3098" s="2" t="inlineStr"/>
    </row>
    <row r="3099" ht="15" customHeight="1">
      <c r="A3099" t="inlineStr">
        <is>
          <t>A 736-2025</t>
        </is>
      </c>
      <c r="B3099" s="1" t="n">
        <v>45664</v>
      </c>
      <c r="C3099" s="1" t="n">
        <v>45895</v>
      </c>
      <c r="D3099" t="inlineStr">
        <is>
          <t>NORRBOTTENS LÄN</t>
        </is>
      </c>
      <c r="E3099" t="inlineStr">
        <is>
          <t>LULEÅ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12177-2024</t>
        </is>
      </c>
      <c r="B3100" s="1" t="n">
        <v>45377</v>
      </c>
      <c r="C3100" s="1" t="n">
        <v>45895</v>
      </c>
      <c r="D3100" t="inlineStr">
        <is>
          <t>NORRBOTTENS LÄN</t>
        </is>
      </c>
      <c r="E3100" t="inlineStr">
        <is>
          <t>ÖVERKALIX</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26591-2023</t>
        </is>
      </c>
      <c r="B3101" s="1" t="n">
        <v>45090</v>
      </c>
      <c r="C3101" s="1" t="n">
        <v>45895</v>
      </c>
      <c r="D3101" t="inlineStr">
        <is>
          <t>NORRBOTTENS LÄN</t>
        </is>
      </c>
      <c r="E3101" t="inlineStr">
        <is>
          <t>ARVIDSJAUR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24994-2025</t>
        </is>
      </c>
      <c r="B3102" s="1" t="n">
        <v>45799.61538194444</v>
      </c>
      <c r="C3102" s="1" t="n">
        <v>45895</v>
      </c>
      <c r="D3102" t="inlineStr">
        <is>
          <t>NORRBOTTENS LÄN</t>
        </is>
      </c>
      <c r="E3102" t="inlineStr">
        <is>
          <t>KALIX</t>
        </is>
      </c>
      <c r="F3102" t="inlineStr">
        <is>
          <t>SCA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61104-2024</t>
        </is>
      </c>
      <c r="B3103" s="1" t="n">
        <v>45645.55509259259</v>
      </c>
      <c r="C3103" s="1" t="n">
        <v>45895</v>
      </c>
      <c r="D3103" t="inlineStr">
        <is>
          <t>NORRBOTTENS LÄN</t>
        </is>
      </c>
      <c r="E3103" t="inlineStr">
        <is>
          <t>KALIX</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3614-2025</t>
        </is>
      </c>
      <c r="B3104" s="1" t="n">
        <v>45681.36236111111</v>
      </c>
      <c r="C3104" s="1" t="n">
        <v>45895</v>
      </c>
      <c r="D3104" t="inlineStr">
        <is>
          <t>NORRBOTTENS LÄN</t>
        </is>
      </c>
      <c r="E3104" t="inlineStr">
        <is>
          <t>KALIX</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25014-2025</t>
        </is>
      </c>
      <c r="B3105" s="1" t="n">
        <v>45799.63135416667</v>
      </c>
      <c r="C3105" s="1" t="n">
        <v>45895</v>
      </c>
      <c r="D3105" t="inlineStr">
        <is>
          <t>NORRBOTTENS LÄN</t>
        </is>
      </c>
      <c r="E3105" t="inlineStr">
        <is>
          <t>KALIX</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25038-2025</t>
        </is>
      </c>
      <c r="B3106" s="1" t="n">
        <v>45799.65711805555</v>
      </c>
      <c r="C3106" s="1" t="n">
        <v>45895</v>
      </c>
      <c r="D3106" t="inlineStr">
        <is>
          <t>NORRBOTTENS LÄN</t>
        </is>
      </c>
      <c r="E3106" t="inlineStr">
        <is>
          <t>GÄLLIVARE</t>
        </is>
      </c>
      <c r="F3106" t="inlineStr">
        <is>
          <t>SCA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25041-2025</t>
        </is>
      </c>
      <c r="B3107" s="1" t="n">
        <v>45799</v>
      </c>
      <c r="C3107" s="1" t="n">
        <v>45895</v>
      </c>
      <c r="D3107" t="inlineStr">
        <is>
          <t>NORRBOTTENS LÄN</t>
        </is>
      </c>
      <c r="E3107" t="inlineStr">
        <is>
          <t>GÄLLIVARE</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25955-2024</t>
        </is>
      </c>
      <c r="B3108" s="1" t="n">
        <v>45467</v>
      </c>
      <c r="C3108" s="1" t="n">
        <v>45895</v>
      </c>
      <c r="D3108" t="inlineStr">
        <is>
          <t>NORRBOTTENS LÄN</t>
        </is>
      </c>
      <c r="E3108" t="inlineStr">
        <is>
          <t>PITEÅ</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30401-2024</t>
        </is>
      </c>
      <c r="B3109" s="1" t="n">
        <v>45491</v>
      </c>
      <c r="C3109" s="1" t="n">
        <v>45895</v>
      </c>
      <c r="D3109" t="inlineStr">
        <is>
          <t>NORRBOTTENS LÄN</t>
        </is>
      </c>
      <c r="E3109" t="inlineStr">
        <is>
          <t>JOKKMOKK</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48892-2024</t>
        </is>
      </c>
      <c r="B3110" s="1" t="n">
        <v>45594</v>
      </c>
      <c r="C3110" s="1" t="n">
        <v>45895</v>
      </c>
      <c r="D3110" t="inlineStr">
        <is>
          <t>NORRBOTTENS LÄN</t>
        </is>
      </c>
      <c r="E3110" t="inlineStr">
        <is>
          <t>ARVIDSJAUR</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73880-2021</t>
        </is>
      </c>
      <c r="B3111" s="1" t="n">
        <v>44552</v>
      </c>
      <c r="C3111" s="1" t="n">
        <v>45895</v>
      </c>
      <c r="D3111" t="inlineStr">
        <is>
          <t>NORRBOTTENS LÄN</t>
        </is>
      </c>
      <c r="E3111" t="inlineStr">
        <is>
          <t>ARJEPLOG</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24874-2025</t>
        </is>
      </c>
      <c r="B3112" s="1" t="n">
        <v>45799.49063657408</v>
      </c>
      <c r="C3112" s="1" t="n">
        <v>45895</v>
      </c>
      <c r="D3112" t="inlineStr">
        <is>
          <t>NORRBOTTENS LÄN</t>
        </is>
      </c>
      <c r="E3112" t="inlineStr">
        <is>
          <t>KALIX</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24877-2025</t>
        </is>
      </c>
      <c r="B3113" s="1" t="n">
        <v>45799.49234953704</v>
      </c>
      <c r="C3113" s="1" t="n">
        <v>45895</v>
      </c>
      <c r="D3113" t="inlineStr">
        <is>
          <t>NORRBOTTENS LÄN</t>
        </is>
      </c>
      <c r="E3113" t="inlineStr">
        <is>
          <t>ÖVERTORNEÅ</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24889-2025</t>
        </is>
      </c>
      <c r="B3114" s="1" t="n">
        <v>45799.51091435185</v>
      </c>
      <c r="C3114" s="1" t="n">
        <v>45895</v>
      </c>
      <c r="D3114" t="inlineStr">
        <is>
          <t>NORRBOTTENS LÄN</t>
        </is>
      </c>
      <c r="E3114" t="inlineStr">
        <is>
          <t>KALIX</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53985-2023</t>
        </is>
      </c>
      <c r="B3115" s="1" t="n">
        <v>45225</v>
      </c>
      <c r="C3115" s="1" t="n">
        <v>45895</v>
      </c>
      <c r="D3115" t="inlineStr">
        <is>
          <t>NORRBOTTENS LÄN</t>
        </is>
      </c>
      <c r="E3115" t="inlineStr">
        <is>
          <t>LULEÅ</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19269-2022</t>
        </is>
      </c>
      <c r="B3116" s="1" t="n">
        <v>44691</v>
      </c>
      <c r="C3116" s="1" t="n">
        <v>45895</v>
      </c>
      <c r="D3116" t="inlineStr">
        <is>
          <t>NORRBOTTENS LÄN</t>
        </is>
      </c>
      <c r="E3116" t="inlineStr">
        <is>
          <t>PAJALA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267-2025</t>
        </is>
      </c>
      <c r="B3117" s="1" t="n">
        <v>45660.46960648148</v>
      </c>
      <c r="C3117" s="1" t="n">
        <v>45895</v>
      </c>
      <c r="D3117" t="inlineStr">
        <is>
          <t>NORRBOTTENS LÄN</t>
        </is>
      </c>
      <c r="E3117" t="inlineStr">
        <is>
          <t>KALIX</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51617-2024</t>
        </is>
      </c>
      <c r="B3118" s="1" t="n">
        <v>45604.71908564815</v>
      </c>
      <c r="C3118" s="1" t="n">
        <v>45895</v>
      </c>
      <c r="D3118" t="inlineStr">
        <is>
          <t>NORRBOTTENS LÄN</t>
        </is>
      </c>
      <c r="E3118" t="inlineStr">
        <is>
          <t>JOKKMOKK</t>
        </is>
      </c>
      <c r="F3118" t="inlineStr">
        <is>
          <t>SCA</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2727-2025</t>
        </is>
      </c>
      <c r="B3119" s="1" t="n">
        <v>45677</v>
      </c>
      <c r="C3119" s="1" t="n">
        <v>45895</v>
      </c>
      <c r="D3119" t="inlineStr">
        <is>
          <t>NORRBOTTENS LÄN</t>
        </is>
      </c>
      <c r="E3119" t="inlineStr">
        <is>
          <t>PITEÅ</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55245-2024</t>
        </is>
      </c>
      <c r="B3120" s="1" t="n">
        <v>45621.59041666667</v>
      </c>
      <c r="C3120" s="1" t="n">
        <v>45895</v>
      </c>
      <c r="D3120" t="inlineStr">
        <is>
          <t>NORRBOTTENS LÄN</t>
        </is>
      </c>
      <c r="E3120" t="inlineStr">
        <is>
          <t>ÖVERTORNEÅ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51273-2024</t>
        </is>
      </c>
      <c r="B3121" s="1" t="n">
        <v>45602</v>
      </c>
      <c r="C3121" s="1" t="n">
        <v>45895</v>
      </c>
      <c r="D3121" t="inlineStr">
        <is>
          <t>NORRBOTTENS LÄN</t>
        </is>
      </c>
      <c r="E3121" t="inlineStr">
        <is>
          <t>ÖVERTORNEÅ</t>
        </is>
      </c>
      <c r="G3121" t="n">
        <v>13.6</v>
      </c>
      <c r="H3121" t="n">
        <v>0</v>
      </c>
      <c r="I3121" t="n">
        <v>0</v>
      </c>
      <c r="J3121" t="n">
        <v>0</v>
      </c>
      <c r="K3121" t="n">
        <v>0</v>
      </c>
      <c r="L3121" t="n">
        <v>0</v>
      </c>
      <c r="M3121" t="n">
        <v>0</v>
      </c>
      <c r="N3121" t="n">
        <v>0</v>
      </c>
      <c r="O3121" t="n">
        <v>0</v>
      </c>
      <c r="P3121" t="n">
        <v>0</v>
      </c>
      <c r="Q3121" t="n">
        <v>0</v>
      </c>
      <c r="R3121" s="2" t="inlineStr"/>
    </row>
    <row r="3122" ht="15" customHeight="1">
      <c r="A3122" t="inlineStr">
        <is>
          <t>A 9887-2024</t>
        </is>
      </c>
      <c r="B3122" s="1" t="n">
        <v>45363.46945601852</v>
      </c>
      <c r="C3122" s="1" t="n">
        <v>45895</v>
      </c>
      <c r="D3122" t="inlineStr">
        <is>
          <t>NORRBOTTENS LÄN</t>
        </is>
      </c>
      <c r="E3122" t="inlineStr">
        <is>
          <t>KALIX</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39604-2024</t>
        </is>
      </c>
      <c r="B3123" s="1" t="n">
        <v>45552.38583333333</v>
      </c>
      <c r="C3123" s="1" t="n">
        <v>45895</v>
      </c>
      <c r="D3123" t="inlineStr">
        <is>
          <t>NORRBOTTENS LÄN</t>
        </is>
      </c>
      <c r="E3123" t="inlineStr">
        <is>
          <t>ÄLVSBYN</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17806-2024</t>
        </is>
      </c>
      <c r="B3124" s="1" t="n">
        <v>45418.92696759259</v>
      </c>
      <c r="C3124" s="1" t="n">
        <v>45895</v>
      </c>
      <c r="D3124" t="inlineStr">
        <is>
          <t>NORRBOTTENS LÄN</t>
        </is>
      </c>
      <c r="E3124" t="inlineStr">
        <is>
          <t>PAJALA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2006-2023</t>
        </is>
      </c>
      <c r="B3125" s="1" t="n">
        <v>44937</v>
      </c>
      <c r="C3125" s="1" t="n">
        <v>45895</v>
      </c>
      <c r="D3125" t="inlineStr">
        <is>
          <t>NORRBOTTENS LÄN</t>
        </is>
      </c>
      <c r="E3125" t="inlineStr">
        <is>
          <t>LULEÅ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4921-2025</t>
        </is>
      </c>
      <c r="B3126" s="1" t="n">
        <v>45688.68416666667</v>
      </c>
      <c r="C3126" s="1" t="n">
        <v>45895</v>
      </c>
      <c r="D3126" t="inlineStr">
        <is>
          <t>NORRBOTTENS LÄN</t>
        </is>
      </c>
      <c r="E3126" t="inlineStr">
        <is>
          <t>LULEÅ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24733-2025</t>
        </is>
      </c>
      <c r="B3127" s="1" t="n">
        <v>45799.34436342592</v>
      </c>
      <c r="C3127" s="1" t="n">
        <v>45895</v>
      </c>
      <c r="D3127" t="inlineStr">
        <is>
          <t>NORRBOTTENS LÄN</t>
        </is>
      </c>
      <c r="E3127" t="inlineStr">
        <is>
          <t>BODEN</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2601-2025</t>
        </is>
      </c>
      <c r="B3128" s="1" t="n">
        <v>45674</v>
      </c>
      <c r="C3128" s="1" t="n">
        <v>45895</v>
      </c>
      <c r="D3128" t="inlineStr">
        <is>
          <t>NORRBOTTENS LÄN</t>
        </is>
      </c>
      <c r="E3128" t="inlineStr">
        <is>
          <t>BODEN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24738-2025</t>
        </is>
      </c>
      <c r="B3129" s="1" t="n">
        <v>45799.34511574074</v>
      </c>
      <c r="C3129" s="1" t="n">
        <v>45895</v>
      </c>
      <c r="D3129" t="inlineStr">
        <is>
          <t>NORRBOTTENS LÄN</t>
        </is>
      </c>
      <c r="E3129" t="inlineStr">
        <is>
          <t>BODEN</t>
        </is>
      </c>
      <c r="F3129" t="inlineStr">
        <is>
          <t>SCA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24739-2025</t>
        </is>
      </c>
      <c r="B3130" s="1" t="n">
        <v>45799</v>
      </c>
      <c r="C3130" s="1" t="n">
        <v>45895</v>
      </c>
      <c r="D3130" t="inlineStr">
        <is>
          <t>NORRBOTTENS LÄN</t>
        </is>
      </c>
      <c r="E3130" t="inlineStr">
        <is>
          <t>GÄLLIVARE</t>
        </is>
      </c>
      <c r="F3130" t="inlineStr">
        <is>
          <t>SCA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24740-2025</t>
        </is>
      </c>
      <c r="B3131" s="1" t="n">
        <v>45799.34543981482</v>
      </c>
      <c r="C3131" s="1" t="n">
        <v>45895</v>
      </c>
      <c r="D3131" t="inlineStr">
        <is>
          <t>NORRBOTTENS LÄN</t>
        </is>
      </c>
      <c r="E3131" t="inlineStr">
        <is>
          <t>JOKKMOKK</t>
        </is>
      </c>
      <c r="F3131" t="inlineStr">
        <is>
          <t>SCA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24741-2025</t>
        </is>
      </c>
      <c r="B3132" s="1" t="n">
        <v>45799.34563657407</v>
      </c>
      <c r="C3132" s="1" t="n">
        <v>45895</v>
      </c>
      <c r="D3132" t="inlineStr">
        <is>
          <t>NORRBOTTENS LÄN</t>
        </is>
      </c>
      <c r="E3132" t="inlineStr">
        <is>
          <t>GÄLLIVARE</t>
        </is>
      </c>
      <c r="F3132" t="inlineStr">
        <is>
          <t>SCA</t>
        </is>
      </c>
      <c r="G3132" t="n">
        <v>16.2</v>
      </c>
      <c r="H3132" t="n">
        <v>0</v>
      </c>
      <c r="I3132" t="n">
        <v>0</v>
      </c>
      <c r="J3132" t="n">
        <v>0</v>
      </c>
      <c r="K3132" t="n">
        <v>0</v>
      </c>
      <c r="L3132" t="n">
        <v>0</v>
      </c>
      <c r="M3132" t="n">
        <v>0</v>
      </c>
      <c r="N3132" t="n">
        <v>0</v>
      </c>
      <c r="O3132" t="n">
        <v>0</v>
      </c>
      <c r="P3132" t="n">
        <v>0</v>
      </c>
      <c r="Q3132" t="n">
        <v>0</v>
      </c>
      <c r="R3132" s="2" t="inlineStr"/>
    </row>
    <row r="3133" ht="15" customHeight="1">
      <c r="A3133" t="inlineStr">
        <is>
          <t>A 24743-2025</t>
        </is>
      </c>
      <c r="B3133" s="1" t="n">
        <v>45799.34598379629</v>
      </c>
      <c r="C3133" s="1" t="n">
        <v>45895</v>
      </c>
      <c r="D3133" t="inlineStr">
        <is>
          <t>NORRBOTTENS LÄN</t>
        </is>
      </c>
      <c r="E3133" t="inlineStr">
        <is>
          <t>JOKKMOKK</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24749-2025</t>
        </is>
      </c>
      <c r="B3134" s="1" t="n">
        <v>45799.34695601852</v>
      </c>
      <c r="C3134" s="1" t="n">
        <v>45895</v>
      </c>
      <c r="D3134" t="inlineStr">
        <is>
          <t>NORRBOTTENS LÄN</t>
        </is>
      </c>
      <c r="E3134" t="inlineStr">
        <is>
          <t>PITEÅ</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54240-2022</t>
        </is>
      </c>
      <c r="B3135" s="1" t="n">
        <v>44881</v>
      </c>
      <c r="C3135" s="1" t="n">
        <v>45895</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32738-2024</t>
        </is>
      </c>
      <c r="B3136" s="1" t="n">
        <v>45516.43415509259</v>
      </c>
      <c r="C3136" s="1" t="n">
        <v>45895</v>
      </c>
      <c r="D3136" t="inlineStr">
        <is>
          <t>NORRBOTTENS LÄN</t>
        </is>
      </c>
      <c r="E3136" t="inlineStr">
        <is>
          <t>ÖVERTORNEÅ</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6776-2023</t>
        </is>
      </c>
      <c r="B3137" s="1" t="n">
        <v>44966.95085648148</v>
      </c>
      <c r="C3137" s="1" t="n">
        <v>45895</v>
      </c>
      <c r="D3137" t="inlineStr">
        <is>
          <t>NORRBOTTENS LÄN</t>
        </is>
      </c>
      <c r="E3137" t="inlineStr">
        <is>
          <t>BODEN</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24716-2025</t>
        </is>
      </c>
      <c r="B3138" s="1" t="n">
        <v>45798.99405092592</v>
      </c>
      <c r="C3138" s="1" t="n">
        <v>45895</v>
      </c>
      <c r="D3138" t="inlineStr">
        <is>
          <t>NORRBOTTENS LÄN</t>
        </is>
      </c>
      <c r="E3138" t="inlineStr">
        <is>
          <t>ÄLVSBYN</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7769-2025</t>
        </is>
      </c>
      <c r="B3139" s="1" t="n">
        <v>45706.56214120371</v>
      </c>
      <c r="C3139" s="1" t="n">
        <v>45895</v>
      </c>
      <c r="D3139" t="inlineStr">
        <is>
          <t>NORRBOTTENS LÄN</t>
        </is>
      </c>
      <c r="E3139" t="inlineStr">
        <is>
          <t>PITEÅ</t>
        </is>
      </c>
      <c r="F3139" t="inlineStr">
        <is>
          <t>Övriga Aktiebolag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24922-2025</t>
        </is>
      </c>
      <c r="B3140" s="1" t="n">
        <v>45799.55261574074</v>
      </c>
      <c r="C3140" s="1" t="n">
        <v>45895</v>
      </c>
      <c r="D3140" t="inlineStr">
        <is>
          <t>NORRBOTTENS LÄN</t>
        </is>
      </c>
      <c r="E3140" t="inlineStr">
        <is>
          <t>ARVIDSJAUR</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8551-2025</t>
        </is>
      </c>
      <c r="B3141" s="1" t="n">
        <v>45709</v>
      </c>
      <c r="C3141" s="1" t="n">
        <v>45895</v>
      </c>
      <c r="D3141" t="inlineStr">
        <is>
          <t>NORRBOTTENS LÄN</t>
        </is>
      </c>
      <c r="E3141" t="inlineStr">
        <is>
          <t>ÄLVSBYN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8554-2025</t>
        </is>
      </c>
      <c r="B3142" s="1" t="n">
        <v>45709</v>
      </c>
      <c r="C3142" s="1" t="n">
        <v>45895</v>
      </c>
      <c r="D3142" t="inlineStr">
        <is>
          <t>NORRBOTTENS LÄN</t>
        </is>
      </c>
      <c r="E3142" t="inlineStr">
        <is>
          <t>ÄLVSBYN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12573-2024</t>
        </is>
      </c>
      <c r="B3143" s="1" t="n">
        <v>45379</v>
      </c>
      <c r="C3143" s="1" t="n">
        <v>45895</v>
      </c>
      <c r="D3143" t="inlineStr">
        <is>
          <t>NORRBOTTENS LÄN</t>
        </is>
      </c>
      <c r="E3143" t="inlineStr">
        <is>
          <t>PITEÅ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24745-2025</t>
        </is>
      </c>
      <c r="B3144" s="1" t="n">
        <v>45799.34627314815</v>
      </c>
      <c r="C3144" s="1" t="n">
        <v>45895</v>
      </c>
      <c r="D3144" t="inlineStr">
        <is>
          <t>NORRBOTTENS LÄN</t>
        </is>
      </c>
      <c r="E3144" t="inlineStr">
        <is>
          <t>PAJALA</t>
        </is>
      </c>
      <c r="F3144" t="inlineStr">
        <is>
          <t>SCA</t>
        </is>
      </c>
      <c r="G3144" t="n">
        <v>11.5</v>
      </c>
      <c r="H3144" t="n">
        <v>0</v>
      </c>
      <c r="I3144" t="n">
        <v>0</v>
      </c>
      <c r="J3144" t="n">
        <v>0</v>
      </c>
      <c r="K3144" t="n">
        <v>0</v>
      </c>
      <c r="L3144" t="n">
        <v>0</v>
      </c>
      <c r="M3144" t="n">
        <v>0</v>
      </c>
      <c r="N3144" t="n">
        <v>0</v>
      </c>
      <c r="O3144" t="n">
        <v>0</v>
      </c>
      <c r="P3144" t="n">
        <v>0</v>
      </c>
      <c r="Q3144" t="n">
        <v>0</v>
      </c>
      <c r="R3144" s="2" t="inlineStr"/>
    </row>
    <row r="3145" ht="15" customHeight="1">
      <c r="A3145" t="inlineStr">
        <is>
          <t>A 24752-2025</t>
        </is>
      </c>
      <c r="B3145" s="1" t="n">
        <v>45799.3653587963</v>
      </c>
      <c r="C3145" s="1" t="n">
        <v>45895</v>
      </c>
      <c r="D3145" t="inlineStr">
        <is>
          <t>NORRBOTTENS LÄN</t>
        </is>
      </c>
      <c r="E3145" t="inlineStr">
        <is>
          <t>LULEÅ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40601-2024</t>
        </is>
      </c>
      <c r="B3146" s="1" t="n">
        <v>45556.40655092592</v>
      </c>
      <c r="C3146" s="1" t="n">
        <v>45895</v>
      </c>
      <c r="D3146" t="inlineStr">
        <is>
          <t>NORRBOTTENS LÄN</t>
        </is>
      </c>
      <c r="E3146" t="inlineStr">
        <is>
          <t>PITEÅ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55631-2023</t>
        </is>
      </c>
      <c r="B3147" s="1" t="n">
        <v>45238.92677083334</v>
      </c>
      <c r="C3147" s="1" t="n">
        <v>45895</v>
      </c>
      <c r="D3147" t="inlineStr">
        <is>
          <t>NORRBOTTENS LÄN</t>
        </is>
      </c>
      <c r="E3147" t="inlineStr">
        <is>
          <t>PITEÅ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25124-2025</t>
        </is>
      </c>
      <c r="B3148" s="1" t="n">
        <v>45800.37550925926</v>
      </c>
      <c r="C3148" s="1" t="n">
        <v>45895</v>
      </c>
      <c r="D3148" t="inlineStr">
        <is>
          <t>NORRBOTTENS LÄN</t>
        </is>
      </c>
      <c r="E3148" t="inlineStr">
        <is>
          <t>HAPARANDA</t>
        </is>
      </c>
      <c r="F3148" t="inlineStr">
        <is>
          <t>Kommuner</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25395-2022</t>
        </is>
      </c>
      <c r="B3149" s="1" t="n">
        <v>44732</v>
      </c>
      <c r="C3149" s="1" t="n">
        <v>45895</v>
      </c>
      <c r="D3149" t="inlineStr">
        <is>
          <t>NORRBOTTENS LÄN</t>
        </is>
      </c>
      <c r="E3149" t="inlineStr">
        <is>
          <t>ARVIDSJAUR</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34154-2023</t>
        </is>
      </c>
      <c r="B3150" s="1" t="n">
        <v>45137.27398148148</v>
      </c>
      <c r="C3150" s="1" t="n">
        <v>45895</v>
      </c>
      <c r="D3150" t="inlineStr">
        <is>
          <t>NORRBOTTENS LÄN</t>
        </is>
      </c>
      <c r="E3150" t="inlineStr">
        <is>
          <t>ÖVERTORNEÅ</t>
        </is>
      </c>
      <c r="G3150" t="n">
        <v>37.1</v>
      </c>
      <c r="H3150" t="n">
        <v>0</v>
      </c>
      <c r="I3150" t="n">
        <v>0</v>
      </c>
      <c r="J3150" t="n">
        <v>0</v>
      </c>
      <c r="K3150" t="n">
        <v>0</v>
      </c>
      <c r="L3150" t="n">
        <v>0</v>
      </c>
      <c r="M3150" t="n">
        <v>0</v>
      </c>
      <c r="N3150" t="n">
        <v>0</v>
      </c>
      <c r="O3150" t="n">
        <v>0</v>
      </c>
      <c r="P3150" t="n">
        <v>0</v>
      </c>
      <c r="Q3150" t="n">
        <v>0</v>
      </c>
      <c r="R3150" s="2" t="inlineStr"/>
    </row>
    <row r="3151" ht="15" customHeight="1">
      <c r="A3151" t="inlineStr">
        <is>
          <t>A 38472-2024</t>
        </is>
      </c>
      <c r="B3151" s="1" t="n">
        <v>45546</v>
      </c>
      <c r="C3151" s="1" t="n">
        <v>45895</v>
      </c>
      <c r="D3151" t="inlineStr">
        <is>
          <t>NORRBOTTENS LÄN</t>
        </is>
      </c>
      <c r="E3151" t="inlineStr">
        <is>
          <t>ARVIDSJAUR</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45748-2023</t>
        </is>
      </c>
      <c r="B3152" s="1" t="n">
        <v>45189</v>
      </c>
      <c r="C3152" s="1" t="n">
        <v>45895</v>
      </c>
      <c r="D3152" t="inlineStr">
        <is>
          <t>NORRBOTTENS LÄN</t>
        </is>
      </c>
      <c r="E3152" t="inlineStr">
        <is>
          <t>ÖVERKALIX</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8514-2024</t>
        </is>
      </c>
      <c r="B3153" s="1" t="n">
        <v>45351</v>
      </c>
      <c r="C3153" s="1" t="n">
        <v>45895</v>
      </c>
      <c r="D3153" t="inlineStr">
        <is>
          <t>NORRBOTTENS LÄN</t>
        </is>
      </c>
      <c r="E3153" t="inlineStr">
        <is>
          <t>ÖVERTORNEÅ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25379-2025</t>
        </is>
      </c>
      <c r="B3154" s="1" t="n">
        <v>45800.63668981481</v>
      </c>
      <c r="C3154" s="1" t="n">
        <v>45895</v>
      </c>
      <c r="D3154" t="inlineStr">
        <is>
          <t>NORRBOTTENS LÄN</t>
        </is>
      </c>
      <c r="E3154" t="inlineStr">
        <is>
          <t>PITEÅ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12005-2022</t>
        </is>
      </c>
      <c r="B3155" s="1" t="n">
        <v>44635</v>
      </c>
      <c r="C3155" s="1" t="n">
        <v>45895</v>
      </c>
      <c r="D3155" t="inlineStr">
        <is>
          <t>NORRBOTTENS LÄN</t>
        </is>
      </c>
      <c r="E3155" t="inlineStr">
        <is>
          <t>ÖVERTORNEÅ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25239-2024</t>
        </is>
      </c>
      <c r="B3156" s="1" t="n">
        <v>45462.6018287037</v>
      </c>
      <c r="C3156" s="1" t="n">
        <v>45895</v>
      </c>
      <c r="D3156" t="inlineStr">
        <is>
          <t>NORRBOTTENS LÄN</t>
        </is>
      </c>
      <c r="E3156" t="inlineStr">
        <is>
          <t>KALIX</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60142-2020</t>
        </is>
      </c>
      <c r="B3157" s="1" t="n">
        <v>44151</v>
      </c>
      <c r="C3157" s="1" t="n">
        <v>45895</v>
      </c>
      <c r="D3157" t="inlineStr">
        <is>
          <t>NORRBOTTENS LÄN</t>
        </is>
      </c>
      <c r="E3157" t="inlineStr">
        <is>
          <t>JOKKMOKK</t>
        </is>
      </c>
      <c r="F3157" t="inlineStr">
        <is>
          <t>Övriga Aktiebolag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24989-2025</t>
        </is>
      </c>
      <c r="B3158" s="1" t="n">
        <v>45799.60884259259</v>
      </c>
      <c r="C3158" s="1" t="n">
        <v>45895</v>
      </c>
      <c r="D3158" t="inlineStr">
        <is>
          <t>NORRBOTTENS LÄN</t>
        </is>
      </c>
      <c r="E3158" t="inlineStr">
        <is>
          <t>PITEÅ</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41918-2024</t>
        </is>
      </c>
      <c r="B3159" s="1" t="n">
        <v>45561.55271990741</v>
      </c>
      <c r="C3159" s="1" t="n">
        <v>45895</v>
      </c>
      <c r="D3159" t="inlineStr">
        <is>
          <t>NORRBOTTENS LÄN</t>
        </is>
      </c>
      <c r="E3159" t="inlineStr">
        <is>
          <t>ÖVERTORNEÅ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41944-2024</t>
        </is>
      </c>
      <c r="B3160" s="1" t="n">
        <v>45561</v>
      </c>
      <c r="C3160" s="1" t="n">
        <v>45895</v>
      </c>
      <c r="D3160" t="inlineStr">
        <is>
          <t>NORRBOTTENS LÄN</t>
        </is>
      </c>
      <c r="E3160" t="inlineStr">
        <is>
          <t>GÄLLIVARE</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14047-2024</t>
        </is>
      </c>
      <c r="B3161" s="1" t="n">
        <v>45392</v>
      </c>
      <c r="C3161" s="1" t="n">
        <v>45895</v>
      </c>
      <c r="D3161" t="inlineStr">
        <is>
          <t>NORRBOTTENS LÄN</t>
        </is>
      </c>
      <c r="E3161" t="inlineStr">
        <is>
          <t>KALIX</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14072-2024</t>
        </is>
      </c>
      <c r="B3162" s="1" t="n">
        <v>45392.5745949074</v>
      </c>
      <c r="C3162" s="1" t="n">
        <v>45895</v>
      </c>
      <c r="D3162" t="inlineStr">
        <is>
          <t>NORRBOTTENS LÄN</t>
        </is>
      </c>
      <c r="E3162" t="inlineStr">
        <is>
          <t>PAJALA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7393-2023</t>
        </is>
      </c>
      <c r="B3163" s="1" t="n">
        <v>44966</v>
      </c>
      <c r="C3163" s="1" t="n">
        <v>45895</v>
      </c>
      <c r="D3163" t="inlineStr">
        <is>
          <t>NORRBOTTENS LÄN</t>
        </is>
      </c>
      <c r="E3163" t="inlineStr">
        <is>
          <t>LULEÅ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13846-2024</t>
        </is>
      </c>
      <c r="B3164" s="1" t="n">
        <v>45390</v>
      </c>
      <c r="C3164" s="1" t="n">
        <v>45895</v>
      </c>
      <c r="D3164" t="inlineStr">
        <is>
          <t>NORRBOTTENS LÄN</t>
        </is>
      </c>
      <c r="E3164" t="inlineStr">
        <is>
          <t>LULEÅ</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5476-2024</t>
        </is>
      </c>
      <c r="B3165" s="1" t="n">
        <v>45333</v>
      </c>
      <c r="C3165" s="1" t="n">
        <v>45895</v>
      </c>
      <c r="D3165" t="inlineStr">
        <is>
          <t>NORRBOTTENS LÄN</t>
        </is>
      </c>
      <c r="E3165" t="inlineStr">
        <is>
          <t>KIRUNA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5435-2023</t>
        </is>
      </c>
      <c r="B3166" s="1" t="n">
        <v>44959</v>
      </c>
      <c r="C3166" s="1" t="n">
        <v>45895</v>
      </c>
      <c r="D3166" t="inlineStr">
        <is>
          <t>NORRBOTTENS LÄN</t>
        </is>
      </c>
      <c r="E3166" t="inlineStr">
        <is>
          <t>PAJALA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25429-2025</t>
        </is>
      </c>
      <c r="B3167" s="1" t="n">
        <v>45800.71913194445</v>
      </c>
      <c r="C3167" s="1" t="n">
        <v>45895</v>
      </c>
      <c r="D3167" t="inlineStr">
        <is>
          <t>NORRBOTTENS LÄN</t>
        </is>
      </c>
      <c r="E3167" t="inlineStr">
        <is>
          <t>PITEÅ</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31900-2024</t>
        </is>
      </c>
      <c r="B3168" s="1" t="n">
        <v>45510.31917824074</v>
      </c>
      <c r="C3168" s="1" t="n">
        <v>45895</v>
      </c>
      <c r="D3168" t="inlineStr">
        <is>
          <t>NORRBOTTENS LÄN</t>
        </is>
      </c>
      <c r="E3168" t="inlineStr">
        <is>
          <t>ÄLVSBYN</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25005-2025</t>
        </is>
      </c>
      <c r="B3169" s="1" t="n">
        <v>45799.6247337963</v>
      </c>
      <c r="C3169" s="1" t="n">
        <v>45895</v>
      </c>
      <c r="D3169" t="inlineStr">
        <is>
          <t>NORRBOTTENS LÄN</t>
        </is>
      </c>
      <c r="E3169" t="inlineStr">
        <is>
          <t>KALIX</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32605-2024</t>
        </is>
      </c>
      <c r="B3170" s="1" t="n">
        <v>45513</v>
      </c>
      <c r="C3170" s="1" t="n">
        <v>45895</v>
      </c>
      <c r="D3170" t="inlineStr">
        <is>
          <t>NORRBOTTENS LÄN</t>
        </is>
      </c>
      <c r="E3170" t="inlineStr">
        <is>
          <t>ARVIDSJAUR</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32615-2024</t>
        </is>
      </c>
      <c r="B3171" s="1" t="n">
        <v>45513</v>
      </c>
      <c r="C3171" s="1" t="n">
        <v>45895</v>
      </c>
      <c r="D3171" t="inlineStr">
        <is>
          <t>NORRBOTTENS LÄN</t>
        </is>
      </c>
      <c r="E3171" t="inlineStr">
        <is>
          <t>ÖVERKALIX</t>
        </is>
      </c>
      <c r="F3171" t="inlineStr">
        <is>
          <t>Sveaskog</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18850-2025</t>
        </is>
      </c>
      <c r="B3172" s="1" t="n">
        <v>45764.41936342593</v>
      </c>
      <c r="C3172" s="1" t="n">
        <v>45895</v>
      </c>
      <c r="D3172" t="inlineStr">
        <is>
          <t>NORRBOTTENS LÄN</t>
        </is>
      </c>
      <c r="E3172" t="inlineStr">
        <is>
          <t>PITEÅ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4114-2024</t>
        </is>
      </c>
      <c r="B3173" s="1" t="n">
        <v>45323</v>
      </c>
      <c r="C3173" s="1" t="n">
        <v>45895</v>
      </c>
      <c r="D3173" t="inlineStr">
        <is>
          <t>NORRBOTTENS LÄN</t>
        </is>
      </c>
      <c r="E3173" t="inlineStr">
        <is>
          <t>ÖVERKALIX</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1017-2025</t>
        </is>
      </c>
      <c r="B3174" s="1" t="n">
        <v>45665</v>
      </c>
      <c r="C3174" s="1" t="n">
        <v>45895</v>
      </c>
      <c r="D3174" t="inlineStr">
        <is>
          <t>NORRBOTTENS LÄN</t>
        </is>
      </c>
      <c r="E3174" t="inlineStr">
        <is>
          <t>LULEÅ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11831-2022</t>
        </is>
      </c>
      <c r="B3175" s="1" t="n">
        <v>44634</v>
      </c>
      <c r="C3175" s="1" t="n">
        <v>45895</v>
      </c>
      <c r="D3175" t="inlineStr">
        <is>
          <t>NORRBOTTENS LÄN</t>
        </is>
      </c>
      <c r="E3175" t="inlineStr">
        <is>
          <t>ÖVERTORNEÅ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49759-2022</t>
        </is>
      </c>
      <c r="B3176" s="1" t="n">
        <v>44862.59858796297</v>
      </c>
      <c r="C3176" s="1" t="n">
        <v>45895</v>
      </c>
      <c r="D3176" t="inlineStr">
        <is>
          <t>NORRBOTTENS LÄN</t>
        </is>
      </c>
      <c r="E3176" t="inlineStr">
        <is>
          <t>KALIX</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23361-2025</t>
        </is>
      </c>
      <c r="B3177" s="1" t="n">
        <v>45791.67759259259</v>
      </c>
      <c r="C3177" s="1" t="n">
        <v>45895</v>
      </c>
      <c r="D3177" t="inlineStr">
        <is>
          <t>NORRBOTTENS LÄN</t>
        </is>
      </c>
      <c r="E3177" t="inlineStr">
        <is>
          <t>BODEN</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32432-2023</t>
        </is>
      </c>
      <c r="B3178" s="1" t="n">
        <v>45120</v>
      </c>
      <c r="C3178" s="1" t="n">
        <v>45895</v>
      </c>
      <c r="D3178" t="inlineStr">
        <is>
          <t>NORRBOTTENS LÄN</t>
        </is>
      </c>
      <c r="E3178" t="inlineStr">
        <is>
          <t>PITEÅ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32438-2023</t>
        </is>
      </c>
      <c r="B3179" s="1" t="n">
        <v>45120</v>
      </c>
      <c r="C3179" s="1" t="n">
        <v>45895</v>
      </c>
      <c r="D3179" t="inlineStr">
        <is>
          <t>NORRBOTTENS LÄN</t>
        </is>
      </c>
      <c r="E3179" t="inlineStr">
        <is>
          <t>PITEÅ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51682-2023</t>
        </is>
      </c>
      <c r="B3180" s="1" t="n">
        <v>45222.59935185185</v>
      </c>
      <c r="C3180" s="1" t="n">
        <v>45895</v>
      </c>
      <c r="D3180" t="inlineStr">
        <is>
          <t>NORRBOTTENS LÄN</t>
        </is>
      </c>
      <c r="E3180" t="inlineStr">
        <is>
          <t>ÖVERTORNEÅ</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16180-2025</t>
        </is>
      </c>
      <c r="B3181" s="1" t="n">
        <v>45750</v>
      </c>
      <c r="C3181" s="1" t="n">
        <v>45895</v>
      </c>
      <c r="D3181" t="inlineStr">
        <is>
          <t>NORRBOTTENS LÄN</t>
        </is>
      </c>
      <c r="E3181" t="inlineStr">
        <is>
          <t>BODEN</t>
        </is>
      </c>
      <c r="F3181" t="inlineStr">
        <is>
          <t>Övriga Aktiebolag</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15529-2025</t>
        </is>
      </c>
      <c r="B3182" s="1" t="n">
        <v>45747.63579861111</v>
      </c>
      <c r="C3182" s="1" t="n">
        <v>45895</v>
      </c>
      <c r="D3182" t="inlineStr">
        <is>
          <t>NORRBOTTENS LÄN</t>
        </is>
      </c>
      <c r="E3182" t="inlineStr">
        <is>
          <t>PITEÅ</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45524-2024</t>
        </is>
      </c>
      <c r="B3183" s="1" t="n">
        <v>45578</v>
      </c>
      <c r="C3183" s="1" t="n">
        <v>45895</v>
      </c>
      <c r="D3183" t="inlineStr">
        <is>
          <t>NORRBOTTENS LÄN</t>
        </is>
      </c>
      <c r="E3183" t="inlineStr">
        <is>
          <t>PITEÅ</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34617-2023</t>
        </is>
      </c>
      <c r="B3184" s="1" t="n">
        <v>45138</v>
      </c>
      <c r="C3184" s="1" t="n">
        <v>45895</v>
      </c>
      <c r="D3184" t="inlineStr">
        <is>
          <t>NORRBOTTENS LÄN</t>
        </is>
      </c>
      <c r="E3184" t="inlineStr">
        <is>
          <t>PITEÅ</t>
        </is>
      </c>
      <c r="G3184" t="n">
        <v>10.1</v>
      </c>
      <c r="H3184" t="n">
        <v>0</v>
      </c>
      <c r="I3184" t="n">
        <v>0</v>
      </c>
      <c r="J3184" t="n">
        <v>0</v>
      </c>
      <c r="K3184" t="n">
        <v>0</v>
      </c>
      <c r="L3184" t="n">
        <v>0</v>
      </c>
      <c r="M3184" t="n">
        <v>0</v>
      </c>
      <c r="N3184" t="n">
        <v>0</v>
      </c>
      <c r="O3184" t="n">
        <v>0</v>
      </c>
      <c r="P3184" t="n">
        <v>0</v>
      </c>
      <c r="Q3184" t="n">
        <v>0</v>
      </c>
      <c r="R3184" s="2" t="inlineStr"/>
    </row>
    <row r="3185" ht="15" customHeight="1">
      <c r="A3185" t="inlineStr">
        <is>
          <t>A 36014-2023</t>
        </is>
      </c>
      <c r="B3185" s="1" t="n">
        <v>45148</v>
      </c>
      <c r="C3185" s="1" t="n">
        <v>45895</v>
      </c>
      <c r="D3185" t="inlineStr">
        <is>
          <t>NORRBOTTENS LÄN</t>
        </is>
      </c>
      <c r="E3185" t="inlineStr">
        <is>
          <t>GÄLLIVARE</t>
        </is>
      </c>
      <c r="F3185" t="inlineStr">
        <is>
          <t>Allmännings- och besparingsskogar</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52446-2023</t>
        </is>
      </c>
      <c r="B3186" s="1" t="n">
        <v>45217</v>
      </c>
      <c r="C3186" s="1" t="n">
        <v>45895</v>
      </c>
      <c r="D3186" t="inlineStr">
        <is>
          <t>NORRBOTTENS LÄN</t>
        </is>
      </c>
      <c r="E3186" t="inlineStr">
        <is>
          <t>PAJALA</t>
        </is>
      </c>
      <c r="F3186" t="inlineStr">
        <is>
          <t>Kommuner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60418-2023</t>
        </is>
      </c>
      <c r="B3187" s="1" t="n">
        <v>45259.49666666667</v>
      </c>
      <c r="C3187" s="1" t="n">
        <v>45895</v>
      </c>
      <c r="D3187" t="inlineStr">
        <is>
          <t>NORRBOTTENS LÄN</t>
        </is>
      </c>
      <c r="E3187" t="inlineStr">
        <is>
          <t>JOKKMOKK</t>
        </is>
      </c>
      <c r="F3187" t="inlineStr">
        <is>
          <t>Allmännings- och besparingsskogar</t>
        </is>
      </c>
      <c r="G3187" t="n">
        <v>12.7</v>
      </c>
      <c r="H3187" t="n">
        <v>0</v>
      </c>
      <c r="I3187" t="n">
        <v>0</v>
      </c>
      <c r="J3187" t="n">
        <v>0</v>
      </c>
      <c r="K3187" t="n">
        <v>0</v>
      </c>
      <c r="L3187" t="n">
        <v>0</v>
      </c>
      <c r="M3187" t="n">
        <v>0</v>
      </c>
      <c r="N3187" t="n">
        <v>0</v>
      </c>
      <c r="O3187" t="n">
        <v>0</v>
      </c>
      <c r="P3187" t="n">
        <v>0</v>
      </c>
      <c r="Q3187" t="n">
        <v>0</v>
      </c>
      <c r="R3187" s="2" t="inlineStr"/>
    </row>
    <row r="3188" ht="15" customHeight="1">
      <c r="A3188" t="inlineStr">
        <is>
          <t>A 2751-2022</t>
        </is>
      </c>
      <c r="B3188" s="1" t="n">
        <v>44580.92210648148</v>
      </c>
      <c r="C3188" s="1" t="n">
        <v>45895</v>
      </c>
      <c r="D3188" t="inlineStr">
        <is>
          <t>NORRBOTTENS LÄN</t>
        </is>
      </c>
      <c r="E3188" t="inlineStr">
        <is>
          <t>ÄLVSBYN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2917-2022</t>
        </is>
      </c>
      <c r="B3189" s="1" t="n">
        <v>44581</v>
      </c>
      <c r="C3189" s="1" t="n">
        <v>45895</v>
      </c>
      <c r="D3189" t="inlineStr">
        <is>
          <t>NORRBOTTENS LÄN</t>
        </is>
      </c>
      <c r="E3189" t="inlineStr">
        <is>
          <t>KALIX</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16296-2025</t>
        </is>
      </c>
      <c r="B3190" s="1" t="n">
        <v>45751.34513888889</v>
      </c>
      <c r="C3190" s="1" t="n">
        <v>45895</v>
      </c>
      <c r="D3190" t="inlineStr">
        <is>
          <t>NORRBOTTENS LÄN</t>
        </is>
      </c>
      <c r="E3190" t="inlineStr">
        <is>
          <t>LULEÅ</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25629-2025</t>
        </is>
      </c>
      <c r="B3191" s="1" t="n">
        <v>45803</v>
      </c>
      <c r="C3191" s="1" t="n">
        <v>45895</v>
      </c>
      <c r="D3191" t="inlineStr">
        <is>
          <t>NORRBOTTENS LÄN</t>
        </is>
      </c>
      <c r="E3191" t="inlineStr">
        <is>
          <t>ÖVERKALIX</t>
        </is>
      </c>
      <c r="F3191" t="inlineStr">
        <is>
          <t>Sveaskog</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16857-2025</t>
        </is>
      </c>
      <c r="B3192" s="1" t="n">
        <v>45751</v>
      </c>
      <c r="C3192" s="1" t="n">
        <v>45895</v>
      </c>
      <c r="D3192" t="inlineStr">
        <is>
          <t>NORRBOTTENS LÄN</t>
        </is>
      </c>
      <c r="E3192" t="inlineStr">
        <is>
          <t>GÄLLIVARE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14100-2025</t>
        </is>
      </c>
      <c r="B3193" s="1" t="n">
        <v>45740</v>
      </c>
      <c r="C3193" s="1" t="n">
        <v>45895</v>
      </c>
      <c r="D3193" t="inlineStr">
        <is>
          <t>NORRBOTTENS LÄN</t>
        </is>
      </c>
      <c r="E3193" t="inlineStr">
        <is>
          <t>KALIX</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25654-2025</t>
        </is>
      </c>
      <c r="B3194" s="1" t="n">
        <v>45803.61491898148</v>
      </c>
      <c r="C3194" s="1" t="n">
        <v>45895</v>
      </c>
      <c r="D3194" t="inlineStr">
        <is>
          <t>NORRBOTTENS LÄN</t>
        </is>
      </c>
      <c r="E3194" t="inlineStr">
        <is>
          <t>BODEN</t>
        </is>
      </c>
      <c r="F3194" t="inlineStr">
        <is>
          <t>Sveaskog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25670-2025</t>
        </is>
      </c>
      <c r="B3195" s="1" t="n">
        <v>45803.62844907407</v>
      </c>
      <c r="C3195" s="1" t="n">
        <v>45895</v>
      </c>
      <c r="D3195" t="inlineStr">
        <is>
          <t>NORRBOTTENS LÄN</t>
        </is>
      </c>
      <c r="E3195" t="inlineStr">
        <is>
          <t>ÖVERKALIX</t>
        </is>
      </c>
      <c r="F3195" t="inlineStr">
        <is>
          <t>Sveaskog</t>
        </is>
      </c>
      <c r="G3195" t="n">
        <v>22.1</v>
      </c>
      <c r="H3195" t="n">
        <v>0</v>
      </c>
      <c r="I3195" t="n">
        <v>0</v>
      </c>
      <c r="J3195" t="n">
        <v>0</v>
      </c>
      <c r="K3195" t="n">
        <v>0</v>
      </c>
      <c r="L3195" t="n">
        <v>0</v>
      </c>
      <c r="M3195" t="n">
        <v>0</v>
      </c>
      <c r="N3195" t="n">
        <v>0</v>
      </c>
      <c r="O3195" t="n">
        <v>0</v>
      </c>
      <c r="P3195" t="n">
        <v>0</v>
      </c>
      <c r="Q3195" t="n">
        <v>0</v>
      </c>
      <c r="R3195" s="2" t="inlineStr"/>
    </row>
    <row r="3196" ht="15" customHeight="1">
      <c r="A3196" t="inlineStr">
        <is>
          <t>A 14193-2025</t>
        </is>
      </c>
      <c r="B3196" s="1" t="n">
        <v>45740.56127314815</v>
      </c>
      <c r="C3196" s="1" t="n">
        <v>45895</v>
      </c>
      <c r="D3196" t="inlineStr">
        <is>
          <t>NORRBOTTENS LÄN</t>
        </is>
      </c>
      <c r="E3196" t="inlineStr">
        <is>
          <t>LULEÅ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25692-2025</t>
        </is>
      </c>
      <c r="B3197" s="1" t="n">
        <v>45803.66424768518</v>
      </c>
      <c r="C3197" s="1" t="n">
        <v>45895</v>
      </c>
      <c r="D3197" t="inlineStr">
        <is>
          <t>NORRBOTTENS LÄN</t>
        </is>
      </c>
      <c r="E3197" t="inlineStr">
        <is>
          <t>BODEN</t>
        </is>
      </c>
      <c r="F3197" t="inlineStr">
        <is>
          <t>Sveaskog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33697-2023</t>
        </is>
      </c>
      <c r="B3198" s="1" t="n">
        <v>45132</v>
      </c>
      <c r="C3198" s="1" t="n">
        <v>45895</v>
      </c>
      <c r="D3198" t="inlineStr">
        <is>
          <t>NORRBOTTENS LÄN</t>
        </is>
      </c>
      <c r="E3198" t="inlineStr">
        <is>
          <t>BODEN</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25983-2025</t>
        </is>
      </c>
      <c r="B3199" s="1" t="n">
        <v>45803</v>
      </c>
      <c r="C3199" s="1" t="n">
        <v>45895</v>
      </c>
      <c r="D3199" t="inlineStr">
        <is>
          <t>NORRBOTTENS LÄN</t>
        </is>
      </c>
      <c r="E3199" t="inlineStr">
        <is>
          <t>BODEN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44145-2024</t>
        </is>
      </c>
      <c r="B3200" s="1" t="n">
        <v>45572.66908564815</v>
      </c>
      <c r="C3200" s="1" t="n">
        <v>45895</v>
      </c>
      <c r="D3200" t="inlineStr">
        <is>
          <t>NORRBOTTENS LÄN</t>
        </is>
      </c>
      <c r="E3200" t="inlineStr">
        <is>
          <t>JOKKMOKK</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46752-2024</t>
        </is>
      </c>
      <c r="B3201" s="1" t="n">
        <v>45583</v>
      </c>
      <c r="C3201" s="1" t="n">
        <v>45895</v>
      </c>
      <c r="D3201" t="inlineStr">
        <is>
          <t>NORRBOTTENS LÄN</t>
        </is>
      </c>
      <c r="E3201" t="inlineStr">
        <is>
          <t>KALIX</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34333-2023</t>
        </is>
      </c>
      <c r="B3202" s="1" t="n">
        <v>45131</v>
      </c>
      <c r="C3202" s="1" t="n">
        <v>45895</v>
      </c>
      <c r="D3202" t="inlineStr">
        <is>
          <t>NORRBOTTENS LÄN</t>
        </is>
      </c>
      <c r="E3202" t="inlineStr">
        <is>
          <t>PAJALA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25934-2025</t>
        </is>
      </c>
      <c r="B3203" s="1" t="n">
        <v>45804.59178240741</v>
      </c>
      <c r="C3203" s="1" t="n">
        <v>45895</v>
      </c>
      <c r="D3203" t="inlineStr">
        <is>
          <t>NORRBOTTENS LÄN</t>
        </is>
      </c>
      <c r="E3203" t="inlineStr">
        <is>
          <t>PITEÅ</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46644-2023</t>
        </is>
      </c>
      <c r="B3204" s="1" t="n">
        <v>45194</v>
      </c>
      <c r="C3204" s="1" t="n">
        <v>45895</v>
      </c>
      <c r="D3204" t="inlineStr">
        <is>
          <t>NORRBOTTENS LÄN</t>
        </is>
      </c>
      <c r="E3204" t="inlineStr">
        <is>
          <t>ÖVERTORNEÅ</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14743-2023</t>
        </is>
      </c>
      <c r="B3205" s="1" t="n">
        <v>45013</v>
      </c>
      <c r="C3205" s="1" t="n">
        <v>45895</v>
      </c>
      <c r="D3205" t="inlineStr">
        <is>
          <t>NORRBOTTENS LÄN</t>
        </is>
      </c>
      <c r="E3205" t="inlineStr">
        <is>
          <t>BODEN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58823-2024</t>
        </is>
      </c>
      <c r="B3206" s="1" t="n">
        <v>45635</v>
      </c>
      <c r="C3206" s="1" t="n">
        <v>45895</v>
      </c>
      <c r="D3206" t="inlineStr">
        <is>
          <t>NORRBOTTENS LÄN</t>
        </is>
      </c>
      <c r="E3206" t="inlineStr">
        <is>
          <t>LULEÅ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58831-2024</t>
        </is>
      </c>
      <c r="B3207" s="1" t="n">
        <v>45635</v>
      </c>
      <c r="C3207" s="1" t="n">
        <v>45895</v>
      </c>
      <c r="D3207" t="inlineStr">
        <is>
          <t>NORRBOTTENS LÄN</t>
        </is>
      </c>
      <c r="E3207" t="inlineStr">
        <is>
          <t>LULEÅ</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17094-2022</t>
        </is>
      </c>
      <c r="B3208" s="1" t="n">
        <v>44677</v>
      </c>
      <c r="C3208" s="1" t="n">
        <v>45895</v>
      </c>
      <c r="D3208" t="inlineStr">
        <is>
          <t>NORRBOTTENS LÄN</t>
        </is>
      </c>
      <c r="E3208" t="inlineStr">
        <is>
          <t>ÄLVSBYN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4840-2025</t>
        </is>
      </c>
      <c r="B3209" s="1" t="n">
        <v>45688</v>
      </c>
      <c r="C3209" s="1" t="n">
        <v>45895</v>
      </c>
      <c r="D3209" t="inlineStr">
        <is>
          <t>NORRBOTTENS LÄN</t>
        </is>
      </c>
      <c r="E3209" t="inlineStr">
        <is>
          <t>ÖVERKALIX</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14871-2022</t>
        </is>
      </c>
      <c r="B3210" s="1" t="n">
        <v>44656</v>
      </c>
      <c r="C3210" s="1" t="n">
        <v>45895</v>
      </c>
      <c r="D3210" t="inlineStr">
        <is>
          <t>NORRBOTTENS LÄN</t>
        </is>
      </c>
      <c r="E3210" t="inlineStr">
        <is>
          <t>PITEÅ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45924-2023</t>
        </is>
      </c>
      <c r="B3211" s="1" t="n">
        <v>45189</v>
      </c>
      <c r="C3211" s="1" t="n">
        <v>45895</v>
      </c>
      <c r="D3211" t="inlineStr">
        <is>
          <t>NORRBOTTENS LÄN</t>
        </is>
      </c>
      <c r="E3211" t="inlineStr">
        <is>
          <t>ARJEPLOG</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25621-2025</t>
        </is>
      </c>
      <c r="B3212" s="1" t="n">
        <v>45803</v>
      </c>
      <c r="C3212" s="1" t="n">
        <v>45895</v>
      </c>
      <c r="D3212" t="inlineStr">
        <is>
          <t>NORRBOTTENS LÄN</t>
        </is>
      </c>
      <c r="E3212" t="inlineStr">
        <is>
          <t>ÄLVSBYN</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14195-2025</t>
        </is>
      </c>
      <c r="B3213" s="1" t="n">
        <v>45740.56263888889</v>
      </c>
      <c r="C3213" s="1" t="n">
        <v>45895</v>
      </c>
      <c r="D3213" t="inlineStr">
        <is>
          <t>NORRBOTTENS LÄN</t>
        </is>
      </c>
      <c r="E3213" t="inlineStr">
        <is>
          <t>LULEÅ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25738-2025</t>
        </is>
      </c>
      <c r="B3214" s="1" t="n">
        <v>45803</v>
      </c>
      <c r="C3214" s="1" t="n">
        <v>45895</v>
      </c>
      <c r="D3214" t="inlineStr">
        <is>
          <t>NORRBOTTENS LÄN</t>
        </is>
      </c>
      <c r="E3214" t="inlineStr">
        <is>
          <t>PAJALA</t>
        </is>
      </c>
      <c r="F3214" t="inlineStr">
        <is>
          <t>Sveaskog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14862-2023</t>
        </is>
      </c>
      <c r="B3215" s="1" t="n">
        <v>45015</v>
      </c>
      <c r="C3215" s="1" t="n">
        <v>45895</v>
      </c>
      <c r="D3215" t="inlineStr">
        <is>
          <t>NORRBOTTENS LÄN</t>
        </is>
      </c>
      <c r="E3215" t="inlineStr">
        <is>
          <t>PITEÅ</t>
        </is>
      </c>
      <c r="F3215" t="inlineStr">
        <is>
          <t>SCA</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5050-2025</t>
        </is>
      </c>
      <c r="B3216" s="1" t="n">
        <v>45691.44899305556</v>
      </c>
      <c r="C3216" s="1" t="n">
        <v>45895</v>
      </c>
      <c r="D3216" t="inlineStr">
        <is>
          <t>NORRBOTTENS LÄN</t>
        </is>
      </c>
      <c r="E3216" t="inlineStr">
        <is>
          <t>LULEÅ</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5069-2025</t>
        </is>
      </c>
      <c r="B3217" s="1" t="n">
        <v>45691</v>
      </c>
      <c r="C3217" s="1" t="n">
        <v>45895</v>
      </c>
      <c r="D3217" t="inlineStr">
        <is>
          <t>NORRBOTTENS LÄN</t>
        </is>
      </c>
      <c r="E3217" t="inlineStr">
        <is>
          <t>ÄLVSBYN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2811-2021</t>
        </is>
      </c>
      <c r="B3218" s="1" t="n">
        <v>44215</v>
      </c>
      <c r="C3218" s="1" t="n">
        <v>45895</v>
      </c>
      <c r="D3218" t="inlineStr">
        <is>
          <t>NORRBOTTENS LÄN</t>
        </is>
      </c>
      <c r="E3218" t="inlineStr">
        <is>
          <t>KALIX</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1071-2025</t>
        </is>
      </c>
      <c r="B3219" s="1" t="n">
        <v>45665</v>
      </c>
      <c r="C3219" s="1" t="n">
        <v>45895</v>
      </c>
      <c r="D3219" t="inlineStr">
        <is>
          <t>NORRBOTTENS LÄN</t>
        </is>
      </c>
      <c r="E3219" t="inlineStr">
        <is>
          <t>HAPARANDA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42590-2024</t>
        </is>
      </c>
      <c r="B3220" s="1" t="n">
        <v>45565.67741898148</v>
      </c>
      <c r="C3220" s="1" t="n">
        <v>45895</v>
      </c>
      <c r="D3220" t="inlineStr">
        <is>
          <t>NORRBOTTENS LÄN</t>
        </is>
      </c>
      <c r="E3220" t="inlineStr">
        <is>
          <t>PITEÅ</t>
        </is>
      </c>
      <c r="F3220" t="inlineStr">
        <is>
          <t>Sveaskog</t>
        </is>
      </c>
      <c r="G3220" t="n">
        <v>22.8</v>
      </c>
      <c r="H3220" t="n">
        <v>0</v>
      </c>
      <c r="I3220" t="n">
        <v>0</v>
      </c>
      <c r="J3220" t="n">
        <v>0</v>
      </c>
      <c r="K3220" t="n">
        <v>0</v>
      </c>
      <c r="L3220" t="n">
        <v>0</v>
      </c>
      <c r="M3220" t="n">
        <v>0</v>
      </c>
      <c r="N3220" t="n">
        <v>0</v>
      </c>
      <c r="O3220" t="n">
        <v>0</v>
      </c>
      <c r="P3220" t="n">
        <v>0</v>
      </c>
      <c r="Q3220" t="n">
        <v>0</v>
      </c>
      <c r="R3220" s="2" t="inlineStr"/>
    </row>
    <row r="3221" ht="15" customHeight="1">
      <c r="A3221" t="inlineStr">
        <is>
          <t>A 58583-2022</t>
        </is>
      </c>
      <c r="B3221" s="1" t="n">
        <v>44894</v>
      </c>
      <c r="C3221" s="1" t="n">
        <v>45895</v>
      </c>
      <c r="D3221" t="inlineStr">
        <is>
          <t>NORRBOTTENS LÄN</t>
        </is>
      </c>
      <c r="E3221" t="inlineStr">
        <is>
          <t>KALIX</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41576-2024</t>
        </is>
      </c>
      <c r="B3222" s="1" t="n">
        <v>45560.55261574074</v>
      </c>
      <c r="C3222" s="1" t="n">
        <v>45895</v>
      </c>
      <c r="D3222" t="inlineStr">
        <is>
          <t>NORRBOTTENS LÄN</t>
        </is>
      </c>
      <c r="E3222" t="inlineStr">
        <is>
          <t>KALIX</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17856-2023</t>
        </is>
      </c>
      <c r="B3223" s="1" t="n">
        <v>45037</v>
      </c>
      <c r="C3223" s="1" t="n">
        <v>45895</v>
      </c>
      <c r="D3223" t="inlineStr">
        <is>
          <t>NORRBOTTENS LÄN</t>
        </is>
      </c>
      <c r="E3223" t="inlineStr">
        <is>
          <t>KALIX</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63345-2020</t>
        </is>
      </c>
      <c r="B3224" s="1" t="n">
        <v>44165</v>
      </c>
      <c r="C3224" s="1" t="n">
        <v>45895</v>
      </c>
      <c r="D3224" t="inlineStr">
        <is>
          <t>NORRBOTTENS LÄN</t>
        </is>
      </c>
      <c r="E3224" t="inlineStr">
        <is>
          <t>KIRUNA</t>
        </is>
      </c>
      <c r="G3224" t="n">
        <v>80.09999999999999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52354-2022</t>
        </is>
      </c>
      <c r="B3225" s="1" t="n">
        <v>44874</v>
      </c>
      <c r="C3225" s="1" t="n">
        <v>45895</v>
      </c>
      <c r="D3225" t="inlineStr">
        <is>
          <t>NORRBOTTENS LÄN</t>
        </is>
      </c>
      <c r="E3225" t="inlineStr">
        <is>
          <t>PAJALA</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7236-2022</t>
        </is>
      </c>
      <c r="B3226" s="1" t="n">
        <v>44603</v>
      </c>
      <c r="C3226" s="1" t="n">
        <v>45895</v>
      </c>
      <c r="D3226" t="inlineStr">
        <is>
          <t>NORRBOTTENS LÄN</t>
        </is>
      </c>
      <c r="E3226" t="inlineStr">
        <is>
          <t>KALIX</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56259-2023</t>
        </is>
      </c>
      <c r="B3227" s="1" t="n">
        <v>45240.94666666666</v>
      </c>
      <c r="C3227" s="1" t="n">
        <v>45895</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10130-2024</t>
        </is>
      </c>
      <c r="B3228" s="1" t="n">
        <v>45364</v>
      </c>
      <c r="C3228" s="1" t="n">
        <v>45895</v>
      </c>
      <c r="D3228" t="inlineStr">
        <is>
          <t>NORRBOTTENS LÄN</t>
        </is>
      </c>
      <c r="E3228" t="inlineStr">
        <is>
          <t>ARVIDSJAUR</t>
        </is>
      </c>
      <c r="F3228" t="inlineStr">
        <is>
          <t>Sveaskog</t>
        </is>
      </c>
      <c r="G3228" t="n">
        <v>22.5</v>
      </c>
      <c r="H3228" t="n">
        <v>0</v>
      </c>
      <c r="I3228" t="n">
        <v>0</v>
      </c>
      <c r="J3228" t="n">
        <v>0</v>
      </c>
      <c r="K3228" t="n">
        <v>0</v>
      </c>
      <c r="L3228" t="n">
        <v>0</v>
      </c>
      <c r="M3228" t="n">
        <v>0</v>
      </c>
      <c r="N3228" t="n">
        <v>0</v>
      </c>
      <c r="O3228" t="n">
        <v>0</v>
      </c>
      <c r="P3228" t="n">
        <v>0</v>
      </c>
      <c r="Q3228" t="n">
        <v>0</v>
      </c>
      <c r="R3228" s="2" t="inlineStr"/>
    </row>
    <row r="3229" ht="15" customHeight="1">
      <c r="A3229" t="inlineStr">
        <is>
          <t>A 10544-2022</t>
        </is>
      </c>
      <c r="B3229" s="1" t="n">
        <v>44623</v>
      </c>
      <c r="C3229" s="1" t="n">
        <v>45895</v>
      </c>
      <c r="D3229" t="inlineStr">
        <is>
          <t>NORRBOTTENS LÄN</t>
        </is>
      </c>
      <c r="E3229" t="inlineStr">
        <is>
          <t>PITEÅ</t>
        </is>
      </c>
      <c r="G3229" t="n">
        <v>21.9</v>
      </c>
      <c r="H3229" t="n">
        <v>0</v>
      </c>
      <c r="I3229" t="n">
        <v>0</v>
      </c>
      <c r="J3229" t="n">
        <v>0</v>
      </c>
      <c r="K3229" t="n">
        <v>0</v>
      </c>
      <c r="L3229" t="n">
        <v>0</v>
      </c>
      <c r="M3229" t="n">
        <v>0</v>
      </c>
      <c r="N3229" t="n">
        <v>0</v>
      </c>
      <c r="O3229" t="n">
        <v>0</v>
      </c>
      <c r="P3229" t="n">
        <v>0</v>
      </c>
      <c r="Q3229" t="n">
        <v>0</v>
      </c>
      <c r="R3229" s="2" t="inlineStr"/>
    </row>
    <row r="3230" ht="15" customHeight="1">
      <c r="A3230" t="inlineStr">
        <is>
          <t>A 21548-2025</t>
        </is>
      </c>
      <c r="B3230" s="1" t="n">
        <v>45782</v>
      </c>
      <c r="C3230" s="1" t="n">
        <v>45895</v>
      </c>
      <c r="D3230" t="inlineStr">
        <is>
          <t>NORRBOTTENS LÄN</t>
        </is>
      </c>
      <c r="E3230" t="inlineStr">
        <is>
          <t>ÄLVSBYN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25767-2025</t>
        </is>
      </c>
      <c r="B3231" s="1" t="n">
        <v>45804.34440972222</v>
      </c>
      <c r="C3231" s="1" t="n">
        <v>45895</v>
      </c>
      <c r="D3231" t="inlineStr">
        <is>
          <t>NORRBOTTENS LÄN</t>
        </is>
      </c>
      <c r="E3231" t="inlineStr">
        <is>
          <t>BODEN</t>
        </is>
      </c>
      <c r="F3231" t="inlineStr">
        <is>
          <t>SCA</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61260-2023</t>
        </is>
      </c>
      <c r="B3232" s="1" t="n">
        <v>45264.48927083334</v>
      </c>
      <c r="C3232" s="1" t="n">
        <v>45895</v>
      </c>
      <c r="D3232" t="inlineStr">
        <is>
          <t>NORRBOTTENS LÄN</t>
        </is>
      </c>
      <c r="E3232" t="inlineStr">
        <is>
          <t>BODEN</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25622-2025</t>
        </is>
      </c>
      <c r="B3233" s="1" t="n">
        <v>45803.57784722222</v>
      </c>
      <c r="C3233" s="1" t="n">
        <v>45895</v>
      </c>
      <c r="D3233" t="inlineStr">
        <is>
          <t>NORRBOTTENS LÄN</t>
        </is>
      </c>
      <c r="E3233" t="inlineStr">
        <is>
          <t>ÄLVSBYN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21545-2025</t>
        </is>
      </c>
      <c r="B3234" s="1" t="n">
        <v>45782</v>
      </c>
      <c r="C3234" s="1" t="n">
        <v>45895</v>
      </c>
      <c r="D3234" t="inlineStr">
        <is>
          <t>NORRBOTTENS LÄN</t>
        </is>
      </c>
      <c r="E3234" t="inlineStr">
        <is>
          <t>ÄLVSBYN</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25981-2025</t>
        </is>
      </c>
      <c r="B3235" s="1" t="n">
        <v>45804</v>
      </c>
      <c r="C3235" s="1" t="n">
        <v>45895</v>
      </c>
      <c r="D3235" t="inlineStr">
        <is>
          <t>NORRBOTTENS LÄN</t>
        </is>
      </c>
      <c r="E3235" t="inlineStr">
        <is>
          <t>GÄLLIVARE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41485-2024</t>
        </is>
      </c>
      <c r="B3236" s="1" t="n">
        <v>45560.44894675926</v>
      </c>
      <c r="C3236" s="1" t="n">
        <v>45895</v>
      </c>
      <c r="D3236" t="inlineStr">
        <is>
          <t>NORRBOTTENS LÄN</t>
        </is>
      </c>
      <c r="E3236" t="inlineStr">
        <is>
          <t>BODEN</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25839-2025</t>
        </is>
      </c>
      <c r="B3237" s="1" t="n">
        <v>45804.45221064815</v>
      </c>
      <c r="C3237" s="1" t="n">
        <v>45895</v>
      </c>
      <c r="D3237" t="inlineStr">
        <is>
          <t>NORRBOTTENS LÄN</t>
        </is>
      </c>
      <c r="E3237" t="inlineStr">
        <is>
          <t>BODEN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16847-2023</t>
        </is>
      </c>
      <c r="B3238" s="1" t="n">
        <v>45028</v>
      </c>
      <c r="C3238" s="1" t="n">
        <v>45895</v>
      </c>
      <c r="D3238" t="inlineStr">
        <is>
          <t>NORRBOTTENS LÄN</t>
        </is>
      </c>
      <c r="E3238" t="inlineStr">
        <is>
          <t>JOKKMOKK</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30814-2023</t>
        </is>
      </c>
      <c r="B3239" s="1" t="n">
        <v>45112</v>
      </c>
      <c r="C3239" s="1" t="n">
        <v>45895</v>
      </c>
      <c r="D3239" t="inlineStr">
        <is>
          <t>NORRBOTTENS LÄN</t>
        </is>
      </c>
      <c r="E3239" t="inlineStr">
        <is>
          <t>KALIX</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7504-2024</t>
        </is>
      </c>
      <c r="B3240" s="1" t="n">
        <v>45347</v>
      </c>
      <c r="C3240" s="1" t="n">
        <v>45895</v>
      </c>
      <c r="D3240" t="inlineStr">
        <is>
          <t>NORRBOTTENS LÄN</t>
        </is>
      </c>
      <c r="E3240" t="inlineStr">
        <is>
          <t>PITEÅ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55838-2024</t>
        </is>
      </c>
      <c r="B3241" s="1" t="n">
        <v>45622</v>
      </c>
      <c r="C3241" s="1" t="n">
        <v>45895</v>
      </c>
      <c r="D3241" t="inlineStr">
        <is>
          <t>NORRBOTTENS LÄN</t>
        </is>
      </c>
      <c r="E3241" t="inlineStr">
        <is>
          <t>ÖVERKALIX</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55857-2024</t>
        </is>
      </c>
      <c r="B3242" s="1" t="n">
        <v>45622</v>
      </c>
      <c r="C3242" s="1" t="n">
        <v>45895</v>
      </c>
      <c r="D3242" t="inlineStr">
        <is>
          <t>NORRBOTTENS LÄN</t>
        </is>
      </c>
      <c r="E3242" t="inlineStr">
        <is>
          <t>ÖVERKALIX</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25445-2025</t>
        </is>
      </c>
      <c r="B3243" s="1" t="n">
        <v>45801</v>
      </c>
      <c r="C3243" s="1" t="n">
        <v>45895</v>
      </c>
      <c r="D3243" t="inlineStr">
        <is>
          <t>NORRBOTTENS LÄN</t>
        </is>
      </c>
      <c r="E3243" t="inlineStr">
        <is>
          <t>PAJALA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35730-2023</t>
        </is>
      </c>
      <c r="B3244" s="1" t="n">
        <v>45147</v>
      </c>
      <c r="C3244" s="1" t="n">
        <v>45895</v>
      </c>
      <c r="D3244" t="inlineStr">
        <is>
          <t>NORRBOTTENS LÄN</t>
        </is>
      </c>
      <c r="E3244" t="inlineStr">
        <is>
          <t>GÄLLIVARE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25713-2025</t>
        </is>
      </c>
      <c r="B3245" s="1" t="n">
        <v>45803</v>
      </c>
      <c r="C3245" s="1" t="n">
        <v>45895</v>
      </c>
      <c r="D3245" t="inlineStr">
        <is>
          <t>NORRBOTTENS LÄN</t>
        </is>
      </c>
      <c r="E3245" t="inlineStr">
        <is>
          <t>PITEÅ</t>
        </is>
      </c>
      <c r="F3245" t="inlineStr">
        <is>
          <t>Sveaskog</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25768-2025</t>
        </is>
      </c>
      <c r="B3246" s="1" t="n">
        <v>45804.34453703704</v>
      </c>
      <c r="C3246" s="1" t="n">
        <v>45895</v>
      </c>
      <c r="D3246" t="inlineStr">
        <is>
          <t>NORRBOTTENS LÄN</t>
        </is>
      </c>
      <c r="E3246" t="inlineStr">
        <is>
          <t>PITEÅ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62390-2022</t>
        </is>
      </c>
      <c r="B3247" s="1" t="n">
        <v>44923.76341435185</v>
      </c>
      <c r="C3247" s="1" t="n">
        <v>45895</v>
      </c>
      <c r="D3247" t="inlineStr">
        <is>
          <t>NORRBOTTENS LÄN</t>
        </is>
      </c>
      <c r="E3247" t="inlineStr">
        <is>
          <t>ÖVERTORNEÅ</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43776-2024</t>
        </is>
      </c>
      <c r="B3248" s="1" t="n">
        <v>45570</v>
      </c>
      <c r="C3248" s="1" t="n">
        <v>45895</v>
      </c>
      <c r="D3248" t="inlineStr">
        <is>
          <t>NORRBOTTENS LÄN</t>
        </is>
      </c>
      <c r="E3248" t="inlineStr">
        <is>
          <t>ÄLVSBYN</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29537-2023</t>
        </is>
      </c>
      <c r="B3249" s="1" t="n">
        <v>45098</v>
      </c>
      <c r="C3249" s="1" t="n">
        <v>45895</v>
      </c>
      <c r="D3249" t="inlineStr">
        <is>
          <t>NORRBOTTENS LÄN</t>
        </is>
      </c>
      <c r="E3249" t="inlineStr">
        <is>
          <t>LULEÅ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18257-2025</t>
        </is>
      </c>
      <c r="B3250" s="1" t="n">
        <v>45762</v>
      </c>
      <c r="C3250" s="1" t="n">
        <v>45895</v>
      </c>
      <c r="D3250" t="inlineStr">
        <is>
          <t>NORRBOTTENS LÄN</t>
        </is>
      </c>
      <c r="E3250" t="inlineStr">
        <is>
          <t>GÄLLIVARE</t>
        </is>
      </c>
      <c r="G3250" t="n">
        <v>20.8</v>
      </c>
      <c r="H3250" t="n">
        <v>0</v>
      </c>
      <c r="I3250" t="n">
        <v>0</v>
      </c>
      <c r="J3250" t="n">
        <v>0</v>
      </c>
      <c r="K3250" t="n">
        <v>0</v>
      </c>
      <c r="L3250" t="n">
        <v>0</v>
      </c>
      <c r="M3250" t="n">
        <v>0</v>
      </c>
      <c r="N3250" t="n">
        <v>0</v>
      </c>
      <c r="O3250" t="n">
        <v>0</v>
      </c>
      <c r="P3250" t="n">
        <v>0</v>
      </c>
      <c r="Q3250" t="n">
        <v>0</v>
      </c>
      <c r="R3250" s="2" t="inlineStr"/>
    </row>
    <row r="3251" ht="15" customHeight="1">
      <c r="A3251" t="inlineStr">
        <is>
          <t>A 35362-2023</t>
        </is>
      </c>
      <c r="B3251" s="1" t="n">
        <v>45146</v>
      </c>
      <c r="C3251" s="1" t="n">
        <v>45895</v>
      </c>
      <c r="D3251" t="inlineStr">
        <is>
          <t>NORRBOTTENS LÄN</t>
        </is>
      </c>
      <c r="E3251" t="inlineStr">
        <is>
          <t>GÄLLIVARE</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4639-2025</t>
        </is>
      </c>
      <c r="B3252" s="1" t="n">
        <v>45687.65006944445</v>
      </c>
      <c r="C3252" s="1" t="n">
        <v>45895</v>
      </c>
      <c r="D3252" t="inlineStr">
        <is>
          <t>NORRBOTTENS LÄN</t>
        </is>
      </c>
      <c r="E3252" t="inlineStr">
        <is>
          <t>GÄLLIVARE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4678-2025</t>
        </is>
      </c>
      <c r="B3253" s="1" t="n">
        <v>45687.83862268519</v>
      </c>
      <c r="C3253" s="1" t="n">
        <v>45895</v>
      </c>
      <c r="D3253" t="inlineStr">
        <is>
          <t>NORRBOTTENS LÄN</t>
        </is>
      </c>
      <c r="E3253" t="inlineStr">
        <is>
          <t>PITEÅ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4692-2025</t>
        </is>
      </c>
      <c r="B3254" s="1" t="n">
        <v>45688.35248842592</v>
      </c>
      <c r="C3254" s="1" t="n">
        <v>45895</v>
      </c>
      <c r="D3254" t="inlineStr">
        <is>
          <t>NORRBOTTENS LÄN</t>
        </is>
      </c>
      <c r="E3254" t="inlineStr">
        <is>
          <t>PITEÅ</t>
        </is>
      </c>
      <c r="F3254" t="inlineStr">
        <is>
          <t>Övriga Aktiebolag</t>
        </is>
      </c>
      <c r="G3254" t="n">
        <v>11.9</v>
      </c>
      <c r="H3254" t="n">
        <v>0</v>
      </c>
      <c r="I3254" t="n">
        <v>0</v>
      </c>
      <c r="J3254" t="n">
        <v>0</v>
      </c>
      <c r="K3254" t="n">
        <v>0</v>
      </c>
      <c r="L3254" t="n">
        <v>0</v>
      </c>
      <c r="M3254" t="n">
        <v>0</v>
      </c>
      <c r="N3254" t="n">
        <v>0</v>
      </c>
      <c r="O3254" t="n">
        <v>0</v>
      </c>
      <c r="P3254" t="n">
        <v>0</v>
      </c>
      <c r="Q3254" t="n">
        <v>0</v>
      </c>
      <c r="R3254" s="2" t="inlineStr"/>
    </row>
    <row r="3255" ht="15" customHeight="1">
      <c r="A3255" t="inlineStr">
        <is>
          <t>A 17040-2024</t>
        </is>
      </c>
      <c r="B3255" s="1" t="n">
        <v>45412.41252314814</v>
      </c>
      <c r="C3255" s="1" t="n">
        <v>45895</v>
      </c>
      <c r="D3255" t="inlineStr">
        <is>
          <t>NORRBOTTENS LÄN</t>
        </is>
      </c>
      <c r="E3255" t="inlineStr">
        <is>
          <t>KALIX</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4699-2025</t>
        </is>
      </c>
      <c r="B3256" s="1" t="n">
        <v>45688</v>
      </c>
      <c r="C3256" s="1" t="n">
        <v>45895</v>
      </c>
      <c r="D3256" t="inlineStr">
        <is>
          <t>NORRBOTTENS LÄN</t>
        </is>
      </c>
      <c r="E3256" t="inlineStr">
        <is>
          <t>PAJALA</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9458-2025</t>
        </is>
      </c>
      <c r="B3257" s="1" t="n">
        <v>45715</v>
      </c>
      <c r="C3257" s="1" t="n">
        <v>45895</v>
      </c>
      <c r="D3257" t="inlineStr">
        <is>
          <t>NORRBOTTENS LÄN</t>
        </is>
      </c>
      <c r="E3257" t="inlineStr">
        <is>
          <t>ÖVERKALIX</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26010-2025</t>
        </is>
      </c>
      <c r="B3258" s="1" t="n">
        <v>45804</v>
      </c>
      <c r="C3258" s="1" t="n">
        <v>45895</v>
      </c>
      <c r="D3258" t="inlineStr">
        <is>
          <t>NORRBOTTENS LÄN</t>
        </is>
      </c>
      <c r="E3258" t="inlineStr">
        <is>
          <t>BODEN</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1685-2025</t>
        </is>
      </c>
      <c r="B3259" s="1" t="n">
        <v>45670.69877314815</v>
      </c>
      <c r="C3259" s="1" t="n">
        <v>45895</v>
      </c>
      <c r="D3259" t="inlineStr">
        <is>
          <t>NORRBOTTENS LÄN</t>
        </is>
      </c>
      <c r="E3259" t="inlineStr">
        <is>
          <t>LULEÅ</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53909-2024</t>
        </is>
      </c>
      <c r="B3260" s="1" t="n">
        <v>45615.7202662037</v>
      </c>
      <c r="C3260" s="1" t="n">
        <v>45895</v>
      </c>
      <c r="D3260" t="inlineStr">
        <is>
          <t>NORRBOTTENS LÄN</t>
        </is>
      </c>
      <c r="E3260" t="inlineStr">
        <is>
          <t>GÄLLIVARE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57549-2024</t>
        </is>
      </c>
      <c r="B3261" s="1" t="n">
        <v>45630</v>
      </c>
      <c r="C3261" s="1" t="n">
        <v>45895</v>
      </c>
      <c r="D3261" t="inlineStr">
        <is>
          <t>NORRBOTTENS LÄN</t>
        </is>
      </c>
      <c r="E3261" t="inlineStr">
        <is>
          <t>PAJALA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48431-2024</t>
        </is>
      </c>
      <c r="B3262" s="1" t="n">
        <v>45590</v>
      </c>
      <c r="C3262" s="1" t="n">
        <v>45895</v>
      </c>
      <c r="D3262" t="inlineStr">
        <is>
          <t>NORRBOTTENS LÄN</t>
        </is>
      </c>
      <c r="E3262" t="inlineStr">
        <is>
          <t>BODEN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4263-2025</t>
        </is>
      </c>
      <c r="B3263" s="1" t="n">
        <v>45685</v>
      </c>
      <c r="C3263" s="1" t="n">
        <v>45895</v>
      </c>
      <c r="D3263" t="inlineStr">
        <is>
          <t>NORRBOTTENS LÄN</t>
        </is>
      </c>
      <c r="E3263" t="inlineStr">
        <is>
          <t>BODEN</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16557-2023</t>
        </is>
      </c>
      <c r="B3264" s="1" t="n">
        <v>45029.92474537037</v>
      </c>
      <c r="C3264" s="1" t="n">
        <v>45895</v>
      </c>
      <c r="D3264" t="inlineStr">
        <is>
          <t>NORRBOTTENS LÄN</t>
        </is>
      </c>
      <c r="E3264" t="inlineStr">
        <is>
          <t>PITEÅ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2778-2025</t>
        </is>
      </c>
      <c r="B3265" s="1" t="n">
        <v>45677.53295138889</v>
      </c>
      <c r="C3265" s="1" t="n">
        <v>45895</v>
      </c>
      <c r="D3265" t="inlineStr">
        <is>
          <t>NORRBOTTENS LÄN</t>
        </is>
      </c>
      <c r="E3265" t="inlineStr">
        <is>
          <t>PITEÅ</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18061-2025</t>
        </is>
      </c>
      <c r="B3266" s="1" t="n">
        <v>45761.48025462963</v>
      </c>
      <c r="C3266" s="1" t="n">
        <v>45895</v>
      </c>
      <c r="D3266" t="inlineStr">
        <is>
          <t>NORRBOTTENS LÄN</t>
        </is>
      </c>
      <c r="E3266" t="inlineStr">
        <is>
          <t>KALIX</t>
        </is>
      </c>
      <c r="G3266" t="n">
        <v>9.1</v>
      </c>
      <c r="H3266" t="n">
        <v>0</v>
      </c>
      <c r="I3266" t="n">
        <v>0</v>
      </c>
      <c r="J3266" t="n">
        <v>0</v>
      </c>
      <c r="K3266" t="n">
        <v>0</v>
      </c>
      <c r="L3266" t="n">
        <v>0</v>
      </c>
      <c r="M3266" t="n">
        <v>0</v>
      </c>
      <c r="N3266" t="n">
        <v>0</v>
      </c>
      <c r="O3266" t="n">
        <v>0</v>
      </c>
      <c r="P3266" t="n">
        <v>0</v>
      </c>
      <c r="Q3266" t="n">
        <v>0</v>
      </c>
      <c r="R3266" s="2" t="inlineStr"/>
    </row>
    <row r="3267" ht="15" customHeight="1">
      <c r="A3267" t="inlineStr">
        <is>
          <t>A 31450-2024</t>
        </is>
      </c>
      <c r="B3267" s="1" t="n">
        <v>45505</v>
      </c>
      <c r="C3267" s="1" t="n">
        <v>45895</v>
      </c>
      <c r="D3267" t="inlineStr">
        <is>
          <t>NORRBOTTENS LÄN</t>
        </is>
      </c>
      <c r="E3267" t="inlineStr">
        <is>
          <t>GÄLLIVARE</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31456-2024</t>
        </is>
      </c>
      <c r="B3268" s="1" t="n">
        <v>45505</v>
      </c>
      <c r="C3268" s="1" t="n">
        <v>45895</v>
      </c>
      <c r="D3268" t="inlineStr">
        <is>
          <t>NORRBOTTENS LÄN</t>
        </is>
      </c>
      <c r="E3268" t="inlineStr">
        <is>
          <t>BODEN</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25947-2025</t>
        </is>
      </c>
      <c r="B3269" s="1" t="n">
        <v>45804</v>
      </c>
      <c r="C3269" s="1" t="n">
        <v>45895</v>
      </c>
      <c r="D3269" t="inlineStr">
        <is>
          <t>NORRBOTTENS LÄN</t>
        </is>
      </c>
      <c r="E3269" t="inlineStr">
        <is>
          <t>ÄLVSBYN</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8170-2025</t>
        </is>
      </c>
      <c r="B3270" s="1" t="n">
        <v>45708.36651620371</v>
      </c>
      <c r="C3270" s="1" t="n">
        <v>45895</v>
      </c>
      <c r="D3270" t="inlineStr">
        <is>
          <t>NORRBOTTENS LÄN</t>
        </is>
      </c>
      <c r="E3270" t="inlineStr">
        <is>
          <t>BODEN</t>
        </is>
      </c>
      <c r="F3270" t="inlineStr">
        <is>
          <t>Övriga Aktiebolag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20445-2025</t>
        </is>
      </c>
      <c r="B3271" s="1" t="n">
        <v>45775</v>
      </c>
      <c r="C3271" s="1" t="n">
        <v>45895</v>
      </c>
      <c r="D3271" t="inlineStr">
        <is>
          <t>NORRBOTTENS LÄN</t>
        </is>
      </c>
      <c r="E3271" t="inlineStr">
        <is>
          <t>PITEÅ</t>
        </is>
      </c>
      <c r="F3271" t="inlineStr">
        <is>
          <t>SCA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60164-2023</t>
        </is>
      </c>
      <c r="B3272" s="1" t="n">
        <v>45258</v>
      </c>
      <c r="C3272" s="1" t="n">
        <v>45895</v>
      </c>
      <c r="D3272" t="inlineStr">
        <is>
          <t>NORRBOTTENS LÄN</t>
        </is>
      </c>
      <c r="E3272" t="inlineStr">
        <is>
          <t>JOKKMOKK</t>
        </is>
      </c>
      <c r="F3272" t="inlineStr">
        <is>
          <t>Allmännings- och besparingsskogar</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42477-2024</t>
        </is>
      </c>
      <c r="B3273" s="1" t="n">
        <v>45565</v>
      </c>
      <c r="C3273" s="1" t="n">
        <v>45895</v>
      </c>
      <c r="D3273" t="inlineStr">
        <is>
          <t>NORRBOTTENS LÄN</t>
        </is>
      </c>
      <c r="E3273" t="inlineStr">
        <is>
          <t>ÄLVSBYN</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42483-2024</t>
        </is>
      </c>
      <c r="B3274" s="1" t="n">
        <v>45565</v>
      </c>
      <c r="C3274" s="1" t="n">
        <v>45895</v>
      </c>
      <c r="D3274" t="inlineStr">
        <is>
          <t>NORRBOTTENS LÄN</t>
        </is>
      </c>
      <c r="E3274" t="inlineStr">
        <is>
          <t>ÄLVSBYN</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14128-2023</t>
        </is>
      </c>
      <c r="B3275" s="1" t="n">
        <v>45009</v>
      </c>
      <c r="C3275" s="1" t="n">
        <v>45895</v>
      </c>
      <c r="D3275" t="inlineStr">
        <is>
          <t>NORRBOTTENS LÄN</t>
        </is>
      </c>
      <c r="E3275" t="inlineStr">
        <is>
          <t>LULEÅ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55181-2024</t>
        </is>
      </c>
      <c r="B3276" s="1" t="n">
        <v>45621.53268518519</v>
      </c>
      <c r="C3276" s="1" t="n">
        <v>45895</v>
      </c>
      <c r="D3276" t="inlineStr">
        <is>
          <t>NORRBOTTENS LÄN</t>
        </is>
      </c>
      <c r="E3276" t="inlineStr">
        <is>
          <t>ÄLVSBYN</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55227-2024</t>
        </is>
      </c>
      <c r="B3277" s="1" t="n">
        <v>45621</v>
      </c>
      <c r="C3277" s="1" t="n">
        <v>45895</v>
      </c>
      <c r="D3277" t="inlineStr">
        <is>
          <t>NORRBOTTENS LÄN</t>
        </is>
      </c>
      <c r="E3277" t="inlineStr">
        <is>
          <t>ÖVERKALIX</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54213-2023</t>
        </is>
      </c>
      <c r="B3278" s="1" t="n">
        <v>45232</v>
      </c>
      <c r="C3278" s="1" t="n">
        <v>45895</v>
      </c>
      <c r="D3278" t="inlineStr">
        <is>
          <t>NORRBOTTENS LÄN</t>
        </is>
      </c>
      <c r="E3278" t="inlineStr">
        <is>
          <t>LULEÅ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35408-2024</t>
        </is>
      </c>
      <c r="B3279" s="1" t="n">
        <v>45531.40653935185</v>
      </c>
      <c r="C3279" s="1" t="n">
        <v>45895</v>
      </c>
      <c r="D3279" t="inlineStr">
        <is>
          <t>NORRBOTTENS LÄN</t>
        </is>
      </c>
      <c r="E3279" t="inlineStr">
        <is>
          <t>PITEÅ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26284-2025</t>
        </is>
      </c>
      <c r="B3280" s="1" t="n">
        <v>45805</v>
      </c>
      <c r="C3280" s="1" t="n">
        <v>45895</v>
      </c>
      <c r="D3280" t="inlineStr">
        <is>
          <t>NORRBOTTENS LÄN</t>
        </is>
      </c>
      <c r="E3280" t="inlineStr">
        <is>
          <t>GÄLLIVARE</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36989-2021</t>
        </is>
      </c>
      <c r="B3281" s="1" t="n">
        <v>44393.61309027778</v>
      </c>
      <c r="C3281" s="1" t="n">
        <v>45895</v>
      </c>
      <c r="D3281" t="inlineStr">
        <is>
          <t>NORRBOTTENS LÄN</t>
        </is>
      </c>
      <c r="E3281" t="inlineStr">
        <is>
          <t>PAJALA</t>
        </is>
      </c>
      <c r="F3281" t="inlineStr">
        <is>
          <t>Sveaskog</t>
        </is>
      </c>
      <c r="G3281" t="n">
        <v>36.5</v>
      </c>
      <c r="H3281" t="n">
        <v>0</v>
      </c>
      <c r="I3281" t="n">
        <v>0</v>
      </c>
      <c r="J3281" t="n">
        <v>0</v>
      </c>
      <c r="K3281" t="n">
        <v>0</v>
      </c>
      <c r="L3281" t="n">
        <v>0</v>
      </c>
      <c r="M3281" t="n">
        <v>0</v>
      </c>
      <c r="N3281" t="n">
        <v>0</v>
      </c>
      <c r="O3281" t="n">
        <v>0</v>
      </c>
      <c r="P3281" t="n">
        <v>0</v>
      </c>
      <c r="Q3281" t="n">
        <v>0</v>
      </c>
      <c r="R3281" s="2" t="inlineStr"/>
    </row>
    <row r="3282" ht="15" customHeight="1">
      <c r="A3282" t="inlineStr">
        <is>
          <t>A 61921-2024</t>
        </is>
      </c>
      <c r="B3282" s="1" t="n">
        <v>45653</v>
      </c>
      <c r="C3282" s="1" t="n">
        <v>45895</v>
      </c>
      <c r="D3282" t="inlineStr">
        <is>
          <t>NORRBOTTENS LÄN</t>
        </is>
      </c>
      <c r="E3282" t="inlineStr">
        <is>
          <t>BODEN</t>
        </is>
      </c>
      <c r="G3282" t="n">
        <v>47.3</v>
      </c>
      <c r="H3282" t="n">
        <v>0</v>
      </c>
      <c r="I3282" t="n">
        <v>0</v>
      </c>
      <c r="J3282" t="n">
        <v>0</v>
      </c>
      <c r="K3282" t="n">
        <v>0</v>
      </c>
      <c r="L3282" t="n">
        <v>0</v>
      </c>
      <c r="M3282" t="n">
        <v>0</v>
      </c>
      <c r="N3282" t="n">
        <v>0</v>
      </c>
      <c r="O3282" t="n">
        <v>0</v>
      </c>
      <c r="P3282" t="n">
        <v>0</v>
      </c>
      <c r="Q3282" t="n">
        <v>0</v>
      </c>
      <c r="R3282" s="2" t="inlineStr"/>
    </row>
    <row r="3283" ht="15" customHeight="1">
      <c r="A3283" t="inlineStr">
        <is>
          <t>A 61941-2024</t>
        </is>
      </c>
      <c r="B3283" s="1" t="n">
        <v>45653</v>
      </c>
      <c r="C3283" s="1" t="n">
        <v>45895</v>
      </c>
      <c r="D3283" t="inlineStr">
        <is>
          <t>NORRBOTTENS LÄN</t>
        </is>
      </c>
      <c r="E3283" t="inlineStr">
        <is>
          <t>BODEN</t>
        </is>
      </c>
      <c r="G3283" t="n">
        <v>17.6</v>
      </c>
      <c r="H3283" t="n">
        <v>0</v>
      </c>
      <c r="I3283" t="n">
        <v>0</v>
      </c>
      <c r="J3283" t="n">
        <v>0</v>
      </c>
      <c r="K3283" t="n">
        <v>0</v>
      </c>
      <c r="L3283" t="n">
        <v>0</v>
      </c>
      <c r="M3283" t="n">
        <v>0</v>
      </c>
      <c r="N3283" t="n">
        <v>0</v>
      </c>
      <c r="O3283" t="n">
        <v>0</v>
      </c>
      <c r="P3283" t="n">
        <v>0</v>
      </c>
      <c r="Q3283" t="n">
        <v>0</v>
      </c>
      <c r="R3283" s="2" t="inlineStr"/>
    </row>
    <row r="3284" ht="15" customHeight="1">
      <c r="A3284" t="inlineStr">
        <is>
          <t>A 52976-2023</t>
        </is>
      </c>
      <c r="B3284" s="1" t="n">
        <v>45226</v>
      </c>
      <c r="C3284" s="1" t="n">
        <v>45895</v>
      </c>
      <c r="D3284" t="inlineStr">
        <is>
          <t>NORRBOTTENS LÄN</t>
        </is>
      </c>
      <c r="E3284" t="inlineStr">
        <is>
          <t>BODEN</t>
        </is>
      </c>
      <c r="F3284" t="inlineStr">
        <is>
          <t>Sveaskog</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49562-2024</t>
        </is>
      </c>
      <c r="B3285" s="1" t="n">
        <v>45596</v>
      </c>
      <c r="C3285" s="1" t="n">
        <v>45895</v>
      </c>
      <c r="D3285" t="inlineStr">
        <is>
          <t>NORRBOTTENS LÄN</t>
        </is>
      </c>
      <c r="E3285" t="inlineStr">
        <is>
          <t>JOKKMOKK</t>
        </is>
      </c>
      <c r="F3285" t="inlineStr">
        <is>
          <t>Allmännings- och besparingsskogar</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59656-2024</t>
        </is>
      </c>
      <c r="B3286" s="1" t="n">
        <v>45639</v>
      </c>
      <c r="C3286" s="1" t="n">
        <v>45895</v>
      </c>
      <c r="D3286" t="inlineStr">
        <is>
          <t>NORRBOTTENS LÄN</t>
        </is>
      </c>
      <c r="E3286" t="inlineStr">
        <is>
          <t>LULEÅ</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59722-2024</t>
        </is>
      </c>
      <c r="B3287" s="1" t="n">
        <v>45639</v>
      </c>
      <c r="C3287" s="1" t="n">
        <v>45895</v>
      </c>
      <c r="D3287" t="inlineStr">
        <is>
          <t>NORRBOTTENS LÄN</t>
        </is>
      </c>
      <c r="E3287" t="inlineStr">
        <is>
          <t>BODEN</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61075-2024</t>
        </is>
      </c>
      <c r="B3288" s="1" t="n">
        <v>45645.50744212963</v>
      </c>
      <c r="C3288" s="1" t="n">
        <v>45895</v>
      </c>
      <c r="D3288" t="inlineStr">
        <is>
          <t>NORRBOTTENS LÄN</t>
        </is>
      </c>
      <c r="E3288" t="inlineStr">
        <is>
          <t>HAPARANDA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26083-2025</t>
        </is>
      </c>
      <c r="B3289" s="1" t="n">
        <v>45805.34427083333</v>
      </c>
      <c r="C3289" s="1" t="n">
        <v>45895</v>
      </c>
      <c r="D3289" t="inlineStr">
        <is>
          <t>NORRBOTTENS LÄN</t>
        </is>
      </c>
      <c r="E3289" t="inlineStr">
        <is>
          <t>ÄLVSBYN</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41830-2024</t>
        </is>
      </c>
      <c r="B3290" s="1" t="n">
        <v>45561</v>
      </c>
      <c r="C3290" s="1" t="n">
        <v>45895</v>
      </c>
      <c r="D3290" t="inlineStr">
        <is>
          <t>NORRBOTTENS LÄN</t>
        </is>
      </c>
      <c r="E3290" t="inlineStr">
        <is>
          <t>ÖVERKALIX</t>
        </is>
      </c>
      <c r="F3290" t="inlineStr">
        <is>
          <t>SCA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7711-2025</t>
        </is>
      </c>
      <c r="B3291" s="1" t="n">
        <v>45706</v>
      </c>
      <c r="C3291" s="1" t="n">
        <v>45895</v>
      </c>
      <c r="D3291" t="inlineStr">
        <is>
          <t>NORRBOTTENS LÄN</t>
        </is>
      </c>
      <c r="E3291" t="inlineStr">
        <is>
          <t>KALIX</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7712-2025</t>
        </is>
      </c>
      <c r="B3292" s="1" t="n">
        <v>45706.42756944444</v>
      </c>
      <c r="C3292" s="1" t="n">
        <v>45895</v>
      </c>
      <c r="D3292" t="inlineStr">
        <is>
          <t>NORRBOTTENS LÄN</t>
        </is>
      </c>
      <c r="E3292" t="inlineStr">
        <is>
          <t>KALIX</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26248-2025</t>
        </is>
      </c>
      <c r="B3293" s="1" t="n">
        <v>45805.57412037037</v>
      </c>
      <c r="C3293" s="1" t="n">
        <v>45895</v>
      </c>
      <c r="D3293" t="inlineStr">
        <is>
          <t>NORRBOTTENS LÄN</t>
        </is>
      </c>
      <c r="E3293" t="inlineStr">
        <is>
          <t>PITEÅ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54139-2023</t>
        </is>
      </c>
      <c r="B3294" s="1" t="n">
        <v>45232</v>
      </c>
      <c r="C3294" s="1" t="n">
        <v>45895</v>
      </c>
      <c r="D3294" t="inlineStr">
        <is>
          <t>NORRBOTTENS LÄN</t>
        </is>
      </c>
      <c r="E3294" t="inlineStr">
        <is>
          <t>BODEN</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8550-2025</t>
        </is>
      </c>
      <c r="B3295" s="1" t="n">
        <v>45709</v>
      </c>
      <c r="C3295" s="1" t="n">
        <v>45895</v>
      </c>
      <c r="D3295" t="inlineStr">
        <is>
          <t>NORRBOTTENS LÄN</t>
        </is>
      </c>
      <c r="E3295" t="inlineStr">
        <is>
          <t>ÄLVSBYN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2707-2021</t>
        </is>
      </c>
      <c r="B3296" s="1" t="n">
        <v>44215</v>
      </c>
      <c r="C3296" s="1" t="n">
        <v>45895</v>
      </c>
      <c r="D3296" t="inlineStr">
        <is>
          <t>NORRBOTTENS LÄN</t>
        </is>
      </c>
      <c r="E3296" t="inlineStr">
        <is>
          <t>KALIX</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19571-2025</t>
        </is>
      </c>
      <c r="B3297" s="1" t="n">
        <v>45770.54408564815</v>
      </c>
      <c r="C3297" s="1" t="n">
        <v>45895</v>
      </c>
      <c r="D3297" t="inlineStr">
        <is>
          <t>NORRBOTTENS LÄN</t>
        </is>
      </c>
      <c r="E3297" t="inlineStr">
        <is>
          <t>BODEN</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39782-2024</t>
        </is>
      </c>
      <c r="B3298" s="1" t="n">
        <v>45553</v>
      </c>
      <c r="C3298" s="1" t="n">
        <v>45895</v>
      </c>
      <c r="D3298" t="inlineStr">
        <is>
          <t>NORRBOTTENS LÄN</t>
        </is>
      </c>
      <c r="E3298" t="inlineStr">
        <is>
          <t>PITEÅ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49953-2024</t>
        </is>
      </c>
      <c r="B3299" s="1" t="n">
        <v>45597</v>
      </c>
      <c r="C3299" s="1" t="n">
        <v>45895</v>
      </c>
      <c r="D3299" t="inlineStr">
        <is>
          <t>NORRBOTTENS LÄN</t>
        </is>
      </c>
      <c r="E3299" t="inlineStr">
        <is>
          <t>JOKKMOKK</t>
        </is>
      </c>
      <c r="F3299" t="inlineStr">
        <is>
          <t>Allmännings- och besparingsskogar</t>
        </is>
      </c>
      <c r="G3299" t="n">
        <v>9.4</v>
      </c>
      <c r="H3299" t="n">
        <v>0</v>
      </c>
      <c r="I3299" t="n">
        <v>0</v>
      </c>
      <c r="J3299" t="n">
        <v>0</v>
      </c>
      <c r="K3299" t="n">
        <v>0</v>
      </c>
      <c r="L3299" t="n">
        <v>0</v>
      </c>
      <c r="M3299" t="n">
        <v>0</v>
      </c>
      <c r="N3299" t="n">
        <v>0</v>
      </c>
      <c r="O3299" t="n">
        <v>0</v>
      </c>
      <c r="P3299" t="n">
        <v>0</v>
      </c>
      <c r="Q3299" t="n">
        <v>0</v>
      </c>
      <c r="R3299" s="2" t="inlineStr"/>
    </row>
    <row r="3300" ht="15" customHeight="1">
      <c r="A3300" t="inlineStr">
        <is>
          <t>A 52246-2024</t>
        </is>
      </c>
      <c r="B3300" s="1" t="n">
        <v>45608</v>
      </c>
      <c r="C3300" s="1" t="n">
        <v>45895</v>
      </c>
      <c r="D3300" t="inlineStr">
        <is>
          <t>NORRBOTTENS LÄN</t>
        </is>
      </c>
      <c r="E3300" t="inlineStr">
        <is>
          <t>BODEN</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52247-2024</t>
        </is>
      </c>
      <c r="B3301" s="1" t="n">
        <v>45608</v>
      </c>
      <c r="C3301" s="1" t="n">
        <v>45895</v>
      </c>
      <c r="D3301" t="inlineStr">
        <is>
          <t>NORRBOTTENS LÄN</t>
        </is>
      </c>
      <c r="E3301" t="inlineStr">
        <is>
          <t>BODEN</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31754-2021</t>
        </is>
      </c>
      <c r="B3302" s="1" t="n">
        <v>44369.93850694445</v>
      </c>
      <c r="C3302" s="1" t="n">
        <v>45895</v>
      </c>
      <c r="D3302" t="inlineStr">
        <is>
          <t>NORRBOTTENS LÄN</t>
        </is>
      </c>
      <c r="E3302" t="inlineStr">
        <is>
          <t>PITEÅ</t>
        </is>
      </c>
      <c r="F3302" t="inlineStr">
        <is>
          <t>SCA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7525-2025</t>
        </is>
      </c>
      <c r="B3303" s="1" t="n">
        <v>45704</v>
      </c>
      <c r="C3303" s="1" t="n">
        <v>45895</v>
      </c>
      <c r="D3303" t="inlineStr">
        <is>
          <t>NORRBOTTENS LÄN</t>
        </is>
      </c>
      <c r="E3303" t="inlineStr">
        <is>
          <t>BODEN</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26249-2025</t>
        </is>
      </c>
      <c r="B3304" s="1" t="n">
        <v>45805.57423611111</v>
      </c>
      <c r="C3304" s="1" t="n">
        <v>45895</v>
      </c>
      <c r="D3304" t="inlineStr">
        <is>
          <t>NORRBOTTENS LÄN</t>
        </is>
      </c>
      <c r="E3304" t="inlineStr">
        <is>
          <t>KALIX</t>
        </is>
      </c>
      <c r="F3304" t="inlineStr">
        <is>
          <t>SCA</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46851-2024</t>
        </is>
      </c>
      <c r="B3305" s="1" t="n">
        <v>45583.61528935185</v>
      </c>
      <c r="C3305" s="1" t="n">
        <v>45895</v>
      </c>
      <c r="D3305" t="inlineStr">
        <is>
          <t>NORRBOTTENS LÄN</t>
        </is>
      </c>
      <c r="E3305" t="inlineStr">
        <is>
          <t>PAJALA</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40589-2024</t>
        </is>
      </c>
      <c r="B3306" s="1" t="n">
        <v>45555.80734953703</v>
      </c>
      <c r="C3306" s="1" t="n">
        <v>45895</v>
      </c>
      <c r="D3306" t="inlineStr">
        <is>
          <t>NORRBOTTENS LÄN</t>
        </is>
      </c>
      <c r="E3306" t="inlineStr">
        <is>
          <t>ÖVERTORNEÅ</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39757-2024</t>
        </is>
      </c>
      <c r="B3307" s="1" t="n">
        <v>45552</v>
      </c>
      <c r="C3307" s="1" t="n">
        <v>45895</v>
      </c>
      <c r="D3307" t="inlineStr">
        <is>
          <t>NORRBOTTENS LÄN</t>
        </is>
      </c>
      <c r="E3307" t="inlineStr">
        <is>
          <t>GÄLLIVARE</t>
        </is>
      </c>
      <c r="F3307" t="inlineStr">
        <is>
          <t>Allmännings- och besparingsskogar</t>
        </is>
      </c>
      <c r="G3307" t="n">
        <v>36.2</v>
      </c>
      <c r="H3307" t="n">
        <v>0</v>
      </c>
      <c r="I3307" t="n">
        <v>0</v>
      </c>
      <c r="J3307" t="n">
        <v>0</v>
      </c>
      <c r="K3307" t="n">
        <v>0</v>
      </c>
      <c r="L3307" t="n">
        <v>0</v>
      </c>
      <c r="M3307" t="n">
        <v>0</v>
      </c>
      <c r="N3307" t="n">
        <v>0</v>
      </c>
      <c r="O3307" t="n">
        <v>0</v>
      </c>
      <c r="P3307" t="n">
        <v>0</v>
      </c>
      <c r="Q3307" t="n">
        <v>0</v>
      </c>
      <c r="R3307" s="2" t="inlineStr"/>
    </row>
    <row r="3308" ht="15" customHeight="1">
      <c r="A3308" t="inlineStr">
        <is>
          <t>A 60385-2022</t>
        </is>
      </c>
      <c r="B3308" s="1" t="n">
        <v>44910.79755787037</v>
      </c>
      <c r="C3308" s="1" t="n">
        <v>45895</v>
      </c>
      <c r="D3308" t="inlineStr">
        <is>
          <t>NORRBOTTENS LÄN</t>
        </is>
      </c>
      <c r="E3308" t="inlineStr">
        <is>
          <t>ÖVERTORNEÅ</t>
        </is>
      </c>
      <c r="G3308" t="n">
        <v>17.2</v>
      </c>
      <c r="H3308" t="n">
        <v>0</v>
      </c>
      <c r="I3308" t="n">
        <v>0</v>
      </c>
      <c r="J3308" t="n">
        <v>0</v>
      </c>
      <c r="K3308" t="n">
        <v>0</v>
      </c>
      <c r="L3308" t="n">
        <v>0</v>
      </c>
      <c r="M3308" t="n">
        <v>0</v>
      </c>
      <c r="N3308" t="n">
        <v>0</v>
      </c>
      <c r="O3308" t="n">
        <v>0</v>
      </c>
      <c r="P3308" t="n">
        <v>0</v>
      </c>
      <c r="Q3308" t="n">
        <v>0</v>
      </c>
      <c r="R3308" s="2" t="inlineStr"/>
    </row>
    <row r="3309" ht="15" customHeight="1">
      <c r="A3309" t="inlineStr">
        <is>
          <t>A 60403-2022</t>
        </is>
      </c>
      <c r="B3309" s="1" t="n">
        <v>44910.92222222222</v>
      </c>
      <c r="C3309" s="1" t="n">
        <v>45895</v>
      </c>
      <c r="D3309" t="inlineStr">
        <is>
          <t>NORRBOTTENS LÄN</t>
        </is>
      </c>
      <c r="E3309" t="inlineStr">
        <is>
          <t>ÄLVSBYN</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44314-2024</t>
        </is>
      </c>
      <c r="B3310" s="1" t="n">
        <v>45573</v>
      </c>
      <c r="C3310" s="1" t="n">
        <v>45895</v>
      </c>
      <c r="D3310" t="inlineStr">
        <is>
          <t>NORRBOTTENS LÄN</t>
        </is>
      </c>
      <c r="E3310" t="inlineStr">
        <is>
          <t>GÄLLIVARE</t>
        </is>
      </c>
      <c r="F3310" t="inlineStr">
        <is>
          <t>Sveaskog</t>
        </is>
      </c>
      <c r="G3310" t="n">
        <v>18.2</v>
      </c>
      <c r="H3310" t="n">
        <v>0</v>
      </c>
      <c r="I3310" t="n">
        <v>0</v>
      </c>
      <c r="J3310" t="n">
        <v>0</v>
      </c>
      <c r="K3310" t="n">
        <v>0</v>
      </c>
      <c r="L3310" t="n">
        <v>0</v>
      </c>
      <c r="M3310" t="n">
        <v>0</v>
      </c>
      <c r="N3310" t="n">
        <v>0</v>
      </c>
      <c r="O3310" t="n">
        <v>0</v>
      </c>
      <c r="P3310" t="n">
        <v>0</v>
      </c>
      <c r="Q3310" t="n">
        <v>0</v>
      </c>
      <c r="R3310" s="2" t="inlineStr"/>
    </row>
    <row r="3311" ht="15" customHeight="1">
      <c r="A3311" t="inlineStr">
        <is>
          <t>A 44328-2024</t>
        </is>
      </c>
      <c r="B3311" s="1" t="n">
        <v>45573</v>
      </c>
      <c r="C3311" s="1" t="n">
        <v>45895</v>
      </c>
      <c r="D3311" t="inlineStr">
        <is>
          <t>NORRBOTTENS LÄN</t>
        </is>
      </c>
      <c r="E3311" t="inlineStr">
        <is>
          <t>GÄLLIVARE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44330-2024</t>
        </is>
      </c>
      <c r="B3312" s="1" t="n">
        <v>45573.60027777778</v>
      </c>
      <c r="C3312" s="1" t="n">
        <v>45895</v>
      </c>
      <c r="D3312" t="inlineStr">
        <is>
          <t>NORRBOTTENS LÄN</t>
        </is>
      </c>
      <c r="E3312" t="inlineStr">
        <is>
          <t>LULEÅ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8417-2025</t>
        </is>
      </c>
      <c r="B3313" s="1" t="n">
        <v>45709.39804398148</v>
      </c>
      <c r="C3313" s="1" t="n">
        <v>45895</v>
      </c>
      <c r="D3313" t="inlineStr">
        <is>
          <t>NORRBOTTENS LÄN</t>
        </is>
      </c>
      <c r="E3313" t="inlineStr">
        <is>
          <t>ÖVERKALIX</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49141-2022</t>
        </is>
      </c>
      <c r="B3314" s="1" t="n">
        <v>44860</v>
      </c>
      <c r="C3314" s="1" t="n">
        <v>45895</v>
      </c>
      <c r="D3314" t="inlineStr">
        <is>
          <t>NORRBOTTENS LÄN</t>
        </is>
      </c>
      <c r="E3314" t="inlineStr">
        <is>
          <t>ARVIDSJAUR</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42835-2023</t>
        </is>
      </c>
      <c r="B3315" s="1" t="n">
        <v>45177</v>
      </c>
      <c r="C3315" s="1" t="n">
        <v>45895</v>
      </c>
      <c r="D3315" t="inlineStr">
        <is>
          <t>NORRBOTTENS LÄN</t>
        </is>
      </c>
      <c r="E3315" t="inlineStr">
        <is>
          <t>PAJALA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42845-2023</t>
        </is>
      </c>
      <c r="B3316" s="1" t="n">
        <v>45177</v>
      </c>
      <c r="C3316" s="1" t="n">
        <v>45895</v>
      </c>
      <c r="D3316" t="inlineStr">
        <is>
          <t>NORRBOTTENS LÄN</t>
        </is>
      </c>
      <c r="E3316" t="inlineStr">
        <is>
          <t>PAJALA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59919-2024</t>
        </is>
      </c>
      <c r="B3317" s="1" t="n">
        <v>45641.89665509259</v>
      </c>
      <c r="C3317" s="1" t="n">
        <v>45895</v>
      </c>
      <c r="D3317" t="inlineStr">
        <is>
          <t>NORRBOTTENS LÄN</t>
        </is>
      </c>
      <c r="E3317" t="inlineStr">
        <is>
          <t>PITEÅ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7083-2025</t>
        </is>
      </c>
      <c r="B3318" s="1" t="n">
        <v>45701</v>
      </c>
      <c r="C3318" s="1" t="n">
        <v>45895</v>
      </c>
      <c r="D3318" t="inlineStr">
        <is>
          <t>NORRBOTTENS LÄN</t>
        </is>
      </c>
      <c r="E3318" t="inlineStr">
        <is>
          <t>PITEÅ</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59969-2024</t>
        </is>
      </c>
      <c r="B3319" s="1" t="n">
        <v>45642.36207175926</v>
      </c>
      <c r="C3319" s="1" t="n">
        <v>45895</v>
      </c>
      <c r="D3319" t="inlineStr">
        <is>
          <t>NORRBOTTENS LÄN</t>
        </is>
      </c>
      <c r="E3319" t="inlineStr">
        <is>
          <t>PITEÅ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12613-2025</t>
        </is>
      </c>
      <c r="B3320" s="1" t="n">
        <v>45733.3440162037</v>
      </c>
      <c r="C3320" s="1" t="n">
        <v>45895</v>
      </c>
      <c r="D3320" t="inlineStr">
        <is>
          <t>NORRBOTTENS LÄN</t>
        </is>
      </c>
      <c r="E3320" t="inlineStr">
        <is>
          <t>ÄLVSBYN</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40036-2024</t>
        </is>
      </c>
      <c r="B3321" s="1" t="n">
        <v>45553.70454861111</v>
      </c>
      <c r="C3321" s="1" t="n">
        <v>45895</v>
      </c>
      <c r="D3321" t="inlineStr">
        <is>
          <t>NORRBOTTENS LÄN</t>
        </is>
      </c>
      <c r="E3321" t="inlineStr">
        <is>
          <t>KALIX</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7448-2023</t>
        </is>
      </c>
      <c r="B3322" s="1" t="n">
        <v>44966</v>
      </c>
      <c r="C3322" s="1" t="n">
        <v>45895</v>
      </c>
      <c r="D3322" t="inlineStr">
        <is>
          <t>NORRBOTTENS LÄN</t>
        </is>
      </c>
      <c r="E3322" t="inlineStr">
        <is>
          <t>ÖVERKALIX</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50361-2022</t>
        </is>
      </c>
      <c r="B3323" s="1" t="n">
        <v>44860</v>
      </c>
      <c r="C3323" s="1" t="n">
        <v>45895</v>
      </c>
      <c r="D3323" t="inlineStr">
        <is>
          <t>NORRBOTTENS LÄN</t>
        </is>
      </c>
      <c r="E3323" t="inlineStr">
        <is>
          <t>PAJALA</t>
        </is>
      </c>
      <c r="G3323" t="n">
        <v>33.4</v>
      </c>
      <c r="H3323" t="n">
        <v>0</v>
      </c>
      <c r="I3323" t="n">
        <v>0</v>
      </c>
      <c r="J3323" t="n">
        <v>0</v>
      </c>
      <c r="K3323" t="n">
        <v>0</v>
      </c>
      <c r="L3323" t="n">
        <v>0</v>
      </c>
      <c r="M3323" t="n">
        <v>0</v>
      </c>
      <c r="N3323" t="n">
        <v>0</v>
      </c>
      <c r="O3323" t="n">
        <v>0</v>
      </c>
      <c r="P3323" t="n">
        <v>0</v>
      </c>
      <c r="Q3323" t="n">
        <v>0</v>
      </c>
      <c r="R3323" s="2" t="inlineStr"/>
    </row>
    <row r="3324" ht="15" customHeight="1">
      <c r="A3324" t="inlineStr">
        <is>
          <t>A 41662-2023</t>
        </is>
      </c>
      <c r="B3324" s="1" t="n">
        <v>45175.95799768518</v>
      </c>
      <c r="C3324" s="1" t="n">
        <v>45895</v>
      </c>
      <c r="D3324" t="inlineStr">
        <is>
          <t>NORRBOTTENS LÄN</t>
        </is>
      </c>
      <c r="E3324" t="inlineStr">
        <is>
          <t>KALIX</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41873-2024</t>
        </is>
      </c>
      <c r="B3325" s="1" t="n">
        <v>45561.47195601852</v>
      </c>
      <c r="C3325" s="1" t="n">
        <v>45895</v>
      </c>
      <c r="D3325" t="inlineStr">
        <is>
          <t>NORRBOTTENS LÄN</t>
        </is>
      </c>
      <c r="E3325" t="inlineStr">
        <is>
          <t>GÄLLIVARE</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26217-2025</t>
        </is>
      </c>
      <c r="B3326" s="1" t="n">
        <v>45805.54646990741</v>
      </c>
      <c r="C3326" s="1" t="n">
        <v>45895</v>
      </c>
      <c r="D3326" t="inlineStr">
        <is>
          <t>NORRBOTTENS LÄN</t>
        </is>
      </c>
      <c r="E3326" t="inlineStr">
        <is>
          <t>ARVIDSJAUR</t>
        </is>
      </c>
      <c r="F3326" t="inlineStr">
        <is>
          <t>Sveaskog</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48363-2024</t>
        </is>
      </c>
      <c r="B3327" s="1" t="n">
        <v>45590.57452546297</v>
      </c>
      <c r="C3327" s="1" t="n">
        <v>45895</v>
      </c>
      <c r="D3327" t="inlineStr">
        <is>
          <t>NORRBOTTENS LÄN</t>
        </is>
      </c>
      <c r="E3327" t="inlineStr">
        <is>
          <t>ARVIDSJAUR</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26224-2025</t>
        </is>
      </c>
      <c r="B3328" s="1" t="n">
        <v>45805</v>
      </c>
      <c r="C3328" s="1" t="n">
        <v>45895</v>
      </c>
      <c r="D3328" t="inlineStr">
        <is>
          <t>NORRBOTTENS LÄN</t>
        </is>
      </c>
      <c r="E3328" t="inlineStr">
        <is>
          <t>PAJALA</t>
        </is>
      </c>
      <c r="F3328" t="inlineStr">
        <is>
          <t>Sveaskog</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41917-2024</t>
        </is>
      </c>
      <c r="B3329" s="1" t="n">
        <v>45561.55268518518</v>
      </c>
      <c r="C3329" s="1" t="n">
        <v>45895</v>
      </c>
      <c r="D3329" t="inlineStr">
        <is>
          <t>NORRBOTTENS LÄN</t>
        </is>
      </c>
      <c r="E3329" t="inlineStr">
        <is>
          <t>GÄLLIVARE</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31051-2023</t>
        </is>
      </c>
      <c r="B3330" s="1" t="n">
        <v>45113</v>
      </c>
      <c r="C3330" s="1" t="n">
        <v>45895</v>
      </c>
      <c r="D3330" t="inlineStr">
        <is>
          <t>NORRBOTTENS LÄN</t>
        </is>
      </c>
      <c r="E3330" t="inlineStr">
        <is>
          <t>ÄLVSBYN</t>
        </is>
      </c>
      <c r="F3330" t="inlineStr">
        <is>
          <t>Övriga Aktiebolag</t>
        </is>
      </c>
      <c r="G3330" t="n">
        <v>24.7</v>
      </c>
      <c r="H3330" t="n">
        <v>0</v>
      </c>
      <c r="I3330" t="n">
        <v>0</v>
      </c>
      <c r="J3330" t="n">
        <v>0</v>
      </c>
      <c r="K3330" t="n">
        <v>0</v>
      </c>
      <c r="L3330" t="n">
        <v>0</v>
      </c>
      <c r="M3330" t="n">
        <v>0</v>
      </c>
      <c r="N3330" t="n">
        <v>0</v>
      </c>
      <c r="O3330" t="n">
        <v>0</v>
      </c>
      <c r="P3330" t="n">
        <v>0</v>
      </c>
      <c r="Q3330" t="n">
        <v>0</v>
      </c>
      <c r="R3330" s="2" t="inlineStr"/>
    </row>
    <row r="3331" ht="15" customHeight="1">
      <c r="A3331" t="inlineStr">
        <is>
          <t>A 5906-2022</t>
        </is>
      </c>
      <c r="B3331" s="1" t="n">
        <v>44596.92112268518</v>
      </c>
      <c r="C3331" s="1" t="n">
        <v>45895</v>
      </c>
      <c r="D3331" t="inlineStr">
        <is>
          <t>NORRBOTTENS LÄN</t>
        </is>
      </c>
      <c r="E3331" t="inlineStr">
        <is>
          <t>PITEÅ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13387-2025</t>
        </is>
      </c>
      <c r="B3332" s="1" t="n">
        <v>45735</v>
      </c>
      <c r="C3332" s="1" t="n">
        <v>45895</v>
      </c>
      <c r="D3332" t="inlineStr">
        <is>
          <t>NORRBOTTENS LÄN</t>
        </is>
      </c>
      <c r="E3332" t="inlineStr">
        <is>
          <t>PITEÅ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20581-2025</t>
        </is>
      </c>
      <c r="B3333" s="1" t="n">
        <v>45775</v>
      </c>
      <c r="C3333" s="1" t="n">
        <v>45895</v>
      </c>
      <c r="D3333" t="inlineStr">
        <is>
          <t>NORRBOTTENS LÄN</t>
        </is>
      </c>
      <c r="E3333" t="inlineStr">
        <is>
          <t>KIRUNA</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32268-2023</t>
        </is>
      </c>
      <c r="B3334" s="1" t="n">
        <v>45120</v>
      </c>
      <c r="C3334" s="1" t="n">
        <v>45895</v>
      </c>
      <c r="D3334" t="inlineStr">
        <is>
          <t>NORRBOTTENS LÄN</t>
        </is>
      </c>
      <c r="E3334" t="inlineStr">
        <is>
          <t>ARVIDSJAUR</t>
        </is>
      </c>
      <c r="F3334" t="inlineStr">
        <is>
          <t>Sveaskog</t>
        </is>
      </c>
      <c r="G3334" t="n">
        <v>9.800000000000001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4941-2025</t>
        </is>
      </c>
      <c r="B3335" s="1" t="n">
        <v>45688.6995949074</v>
      </c>
      <c r="C3335" s="1" t="n">
        <v>45895</v>
      </c>
      <c r="D3335" t="inlineStr">
        <is>
          <t>NORRBOTTENS LÄN</t>
        </is>
      </c>
      <c r="E3335" t="inlineStr">
        <is>
          <t>LULEÅ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29728-2021</t>
        </is>
      </c>
      <c r="B3336" s="1" t="n">
        <v>44362</v>
      </c>
      <c r="C3336" s="1" t="n">
        <v>45895</v>
      </c>
      <c r="D3336" t="inlineStr">
        <is>
          <t>NORRBOTTENS LÄN</t>
        </is>
      </c>
      <c r="E3336" t="inlineStr">
        <is>
          <t>GÄLLIVARE</t>
        </is>
      </c>
      <c r="F3336" t="inlineStr">
        <is>
          <t>Övriga statliga verk och myndigheter</t>
        </is>
      </c>
      <c r="G3336" t="n">
        <v>21.2</v>
      </c>
      <c r="H3336" t="n">
        <v>0</v>
      </c>
      <c r="I3336" t="n">
        <v>0</v>
      </c>
      <c r="J3336" t="n">
        <v>0</v>
      </c>
      <c r="K3336" t="n">
        <v>0</v>
      </c>
      <c r="L3336" t="n">
        <v>0</v>
      </c>
      <c r="M3336" t="n">
        <v>0</v>
      </c>
      <c r="N3336" t="n">
        <v>0</v>
      </c>
      <c r="O3336" t="n">
        <v>0</v>
      </c>
      <c r="P3336" t="n">
        <v>0</v>
      </c>
      <c r="Q3336" t="n">
        <v>0</v>
      </c>
      <c r="R3336" s="2" t="inlineStr"/>
    </row>
    <row r="3337" ht="15" customHeight="1">
      <c r="A3337" t="inlineStr">
        <is>
          <t>A 12409-2025</t>
        </is>
      </c>
      <c r="B3337" s="1" t="n">
        <v>45730.43366898148</v>
      </c>
      <c r="C3337" s="1" t="n">
        <v>45895</v>
      </c>
      <c r="D3337" t="inlineStr">
        <is>
          <t>NORRBOTTENS LÄN</t>
        </is>
      </c>
      <c r="E3337" t="inlineStr">
        <is>
          <t>ARJEPLOG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29751-2021</t>
        </is>
      </c>
      <c r="B3338" s="1" t="n">
        <v>44362.48555555556</v>
      </c>
      <c r="C3338" s="1" t="n">
        <v>45895</v>
      </c>
      <c r="D3338" t="inlineStr">
        <is>
          <t>NORRBOTTENS LÄN</t>
        </is>
      </c>
      <c r="E3338" t="inlineStr">
        <is>
          <t>BODEN</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44121-2024</t>
        </is>
      </c>
      <c r="B3339" s="1" t="n">
        <v>45572.63907407408</v>
      </c>
      <c r="C3339" s="1" t="n">
        <v>45895</v>
      </c>
      <c r="D3339" t="inlineStr">
        <is>
          <t>NORRBOTTENS LÄN</t>
        </is>
      </c>
      <c r="E3339" t="inlineStr">
        <is>
          <t>PAJALA</t>
        </is>
      </c>
      <c r="F3339" t="inlineStr">
        <is>
          <t>Sveaskog</t>
        </is>
      </c>
      <c r="G3339" t="n">
        <v>14.1</v>
      </c>
      <c r="H3339" t="n">
        <v>0</v>
      </c>
      <c r="I3339" t="n">
        <v>0</v>
      </c>
      <c r="J3339" t="n">
        <v>0</v>
      </c>
      <c r="K3339" t="n">
        <v>0</v>
      </c>
      <c r="L3339" t="n">
        <v>0</v>
      </c>
      <c r="M3339" t="n">
        <v>0</v>
      </c>
      <c r="N3339" t="n">
        <v>0</v>
      </c>
      <c r="O3339" t="n">
        <v>0</v>
      </c>
      <c r="P3339" t="n">
        <v>0</v>
      </c>
      <c r="Q3339" t="n">
        <v>0</v>
      </c>
      <c r="R3339" s="2" t="inlineStr"/>
    </row>
    <row r="3340" ht="15" customHeight="1">
      <c r="A3340" t="inlineStr">
        <is>
          <t>A 44136-2024</t>
        </is>
      </c>
      <c r="B3340" s="1" t="n">
        <v>45572.65831018519</v>
      </c>
      <c r="C3340" s="1" t="n">
        <v>45895</v>
      </c>
      <c r="D3340" t="inlineStr">
        <is>
          <t>NORRBOTTENS LÄN</t>
        </is>
      </c>
      <c r="E3340" t="inlineStr">
        <is>
          <t>PITEÅ</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27896-2023</t>
        </is>
      </c>
      <c r="B3341" s="1" t="n">
        <v>45098</v>
      </c>
      <c r="C3341" s="1" t="n">
        <v>45895</v>
      </c>
      <c r="D3341" t="inlineStr">
        <is>
          <t>NORRBOTTENS LÄN</t>
        </is>
      </c>
      <c r="E3341" t="inlineStr">
        <is>
          <t>PITEÅ</t>
        </is>
      </c>
      <c r="F3341" t="inlineStr">
        <is>
          <t>Övriga Aktiebolag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35197-2023</t>
        </is>
      </c>
      <c r="B3342" s="1" t="n">
        <v>45145</v>
      </c>
      <c r="C3342" s="1" t="n">
        <v>45895</v>
      </c>
      <c r="D3342" t="inlineStr">
        <is>
          <t>NORRBOTTENS LÄN</t>
        </is>
      </c>
      <c r="E3342" t="inlineStr">
        <is>
          <t>PITEÅ</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4278-2025</t>
        </is>
      </c>
      <c r="B3343" s="1" t="n">
        <v>45685.638125</v>
      </c>
      <c r="C3343" s="1" t="n">
        <v>45895</v>
      </c>
      <c r="D3343" t="inlineStr">
        <is>
          <t>NORRBOTTENS LÄN</t>
        </is>
      </c>
      <c r="E3343" t="inlineStr">
        <is>
          <t>KALIX</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46769-2024</t>
        </is>
      </c>
      <c r="B3344" s="1" t="n">
        <v>45583.49565972222</v>
      </c>
      <c r="C3344" s="1" t="n">
        <v>45895</v>
      </c>
      <c r="D3344" t="inlineStr">
        <is>
          <t>NORRBOTTENS LÄN</t>
        </is>
      </c>
      <c r="E3344" t="inlineStr">
        <is>
          <t>PAJALA</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16474-2024</t>
        </is>
      </c>
      <c r="B3345" s="1" t="n">
        <v>45408.05193287037</v>
      </c>
      <c r="C3345" s="1" t="n">
        <v>45895</v>
      </c>
      <c r="D3345" t="inlineStr">
        <is>
          <t>NORRBOTTENS LÄN</t>
        </is>
      </c>
      <c r="E3345" t="inlineStr">
        <is>
          <t>PAJALA</t>
        </is>
      </c>
      <c r="F3345" t="inlineStr">
        <is>
          <t>SCA</t>
        </is>
      </c>
      <c r="G3345" t="n">
        <v>30.1</v>
      </c>
      <c r="H3345" t="n">
        <v>0</v>
      </c>
      <c r="I3345" t="n">
        <v>0</v>
      </c>
      <c r="J3345" t="n">
        <v>0</v>
      </c>
      <c r="K3345" t="n">
        <v>0</v>
      </c>
      <c r="L3345" t="n">
        <v>0</v>
      </c>
      <c r="M3345" t="n">
        <v>0</v>
      </c>
      <c r="N3345" t="n">
        <v>0</v>
      </c>
      <c r="O3345" t="n">
        <v>0</v>
      </c>
      <c r="P3345" t="n">
        <v>0</v>
      </c>
      <c r="Q3345" t="n">
        <v>0</v>
      </c>
      <c r="R3345" s="2" t="inlineStr"/>
    </row>
    <row r="3346" ht="15" customHeight="1">
      <c r="A3346" t="inlineStr">
        <is>
          <t>A 24647-2024</t>
        </is>
      </c>
      <c r="B3346" s="1" t="n">
        <v>45460</v>
      </c>
      <c r="C3346" s="1" t="n">
        <v>45895</v>
      </c>
      <c r="D3346" t="inlineStr">
        <is>
          <t>NORRBOTTENS LÄN</t>
        </is>
      </c>
      <c r="E3346" t="inlineStr">
        <is>
          <t>ÖVERTORNEÅ</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24744-2024</t>
        </is>
      </c>
      <c r="B3347" s="1" t="n">
        <v>45460</v>
      </c>
      <c r="C3347" s="1" t="n">
        <v>45895</v>
      </c>
      <c r="D3347" t="inlineStr">
        <is>
          <t>NORRBOTTENS LÄN</t>
        </is>
      </c>
      <c r="E3347" t="inlineStr">
        <is>
          <t>BODEN</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9031-2022</t>
        </is>
      </c>
      <c r="B3348" s="1" t="n">
        <v>44615</v>
      </c>
      <c r="C3348" s="1" t="n">
        <v>45895</v>
      </c>
      <c r="D3348" t="inlineStr">
        <is>
          <t>NORRBOTTENS LÄN</t>
        </is>
      </c>
      <c r="E3348" t="inlineStr">
        <is>
          <t>PAJALA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52248-2024</t>
        </is>
      </c>
      <c r="B3349" s="1" t="n">
        <v>45608</v>
      </c>
      <c r="C3349" s="1" t="n">
        <v>45895</v>
      </c>
      <c r="D3349" t="inlineStr">
        <is>
          <t>NORRBOTTENS LÄN</t>
        </is>
      </c>
      <c r="E3349" t="inlineStr">
        <is>
          <t>BODEN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26269-2025</t>
        </is>
      </c>
      <c r="B3350" s="1" t="n">
        <v>45805</v>
      </c>
      <c r="C3350" s="1" t="n">
        <v>45895</v>
      </c>
      <c r="D3350" t="inlineStr">
        <is>
          <t>NORRBOTTENS LÄN</t>
        </is>
      </c>
      <c r="E3350" t="inlineStr">
        <is>
          <t>HAPARANDA</t>
        </is>
      </c>
      <c r="G3350" t="n">
        <v>9.6</v>
      </c>
      <c r="H3350" t="n">
        <v>0</v>
      </c>
      <c r="I3350" t="n">
        <v>0</v>
      </c>
      <c r="J3350" t="n">
        <v>0</v>
      </c>
      <c r="K3350" t="n">
        <v>0</v>
      </c>
      <c r="L3350" t="n">
        <v>0</v>
      </c>
      <c r="M3350" t="n">
        <v>0</v>
      </c>
      <c r="N3350" t="n">
        <v>0</v>
      </c>
      <c r="O3350" t="n">
        <v>0</v>
      </c>
      <c r="P3350" t="n">
        <v>0</v>
      </c>
      <c r="Q3350" t="n">
        <v>0</v>
      </c>
      <c r="R3350" s="2" t="inlineStr"/>
    </row>
    <row r="3351" ht="15" customHeight="1">
      <c r="A3351" t="inlineStr">
        <is>
          <t>A 17598-2024</t>
        </is>
      </c>
      <c r="B3351" s="1" t="n">
        <v>45415.9425</v>
      </c>
      <c r="C3351" s="1" t="n">
        <v>45895</v>
      </c>
      <c r="D3351" t="inlineStr">
        <is>
          <t>NORRBOTTENS LÄN</t>
        </is>
      </c>
      <c r="E3351" t="inlineStr">
        <is>
          <t>KALIX</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17599-2024</t>
        </is>
      </c>
      <c r="B3352" s="1" t="n">
        <v>45415.94267361111</v>
      </c>
      <c r="C3352" s="1" t="n">
        <v>45895</v>
      </c>
      <c r="D3352" t="inlineStr">
        <is>
          <t>NORRBOTTENS LÄN</t>
        </is>
      </c>
      <c r="E3352" t="inlineStr">
        <is>
          <t>KALIX</t>
        </is>
      </c>
      <c r="F3352" t="inlineStr">
        <is>
          <t>SCA</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39188-2024</t>
        </is>
      </c>
      <c r="B3353" s="1" t="n">
        <v>45548</v>
      </c>
      <c r="C3353" s="1" t="n">
        <v>45895</v>
      </c>
      <c r="D3353" t="inlineStr">
        <is>
          <t>NORRBOTTENS LÄN</t>
        </is>
      </c>
      <c r="E3353" t="inlineStr">
        <is>
          <t>PAJALA</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23949-2024</t>
        </is>
      </c>
      <c r="B3354" s="1" t="n">
        <v>45455</v>
      </c>
      <c r="C3354" s="1" t="n">
        <v>45895</v>
      </c>
      <c r="D3354" t="inlineStr">
        <is>
          <t>NORRBOTTENS LÄN</t>
        </is>
      </c>
      <c r="E3354" t="inlineStr">
        <is>
          <t>ARJEPLOG</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9859-2023</t>
        </is>
      </c>
      <c r="B3355" s="1" t="n">
        <v>44984.93940972222</v>
      </c>
      <c r="C3355" s="1" t="n">
        <v>45895</v>
      </c>
      <c r="D3355" t="inlineStr">
        <is>
          <t>NORRBOTTENS LÄN</t>
        </is>
      </c>
      <c r="E3355" t="inlineStr">
        <is>
          <t>JOKKMOKK</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33915-2024</t>
        </is>
      </c>
      <c r="B3356" s="1" t="n">
        <v>45523.38938657408</v>
      </c>
      <c r="C3356" s="1" t="n">
        <v>45895</v>
      </c>
      <c r="D3356" t="inlineStr">
        <is>
          <t>NORRBOTTENS LÄN</t>
        </is>
      </c>
      <c r="E3356" t="inlineStr">
        <is>
          <t>BODEN</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26087-2025</t>
        </is>
      </c>
      <c r="B3357" s="1" t="n">
        <v>45805.34486111111</v>
      </c>
      <c r="C3357" s="1" t="n">
        <v>45895</v>
      </c>
      <c r="D3357" t="inlineStr">
        <is>
          <t>NORRBOTTENS LÄN</t>
        </is>
      </c>
      <c r="E3357" t="inlineStr">
        <is>
          <t>ÄLVSBYN</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37828-2024</t>
        </is>
      </c>
      <c r="B3358" s="1" t="n">
        <v>45544</v>
      </c>
      <c r="C3358" s="1" t="n">
        <v>45895</v>
      </c>
      <c r="D3358" t="inlineStr">
        <is>
          <t>NORRBOTTENS LÄN</t>
        </is>
      </c>
      <c r="E3358" t="inlineStr">
        <is>
          <t>JOKKMOKK</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52130-2024</t>
        </is>
      </c>
      <c r="B3359" s="1" t="n">
        <v>45608</v>
      </c>
      <c r="C3359" s="1" t="n">
        <v>45895</v>
      </c>
      <c r="D3359" t="inlineStr">
        <is>
          <t>NORRBOTTENS LÄN</t>
        </is>
      </c>
      <c r="E3359" t="inlineStr">
        <is>
          <t>JOKKMOKK</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5570-2025</t>
        </is>
      </c>
      <c r="B3360" s="1" t="n">
        <v>45693.51109953703</v>
      </c>
      <c r="C3360" s="1" t="n">
        <v>45895</v>
      </c>
      <c r="D3360" t="inlineStr">
        <is>
          <t>NORRBOTTENS LÄN</t>
        </is>
      </c>
      <c r="E3360" t="inlineStr">
        <is>
          <t>ÖVERKALIX</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9864-2023</t>
        </is>
      </c>
      <c r="B3361" s="1" t="n">
        <v>44984</v>
      </c>
      <c r="C3361" s="1" t="n">
        <v>45895</v>
      </c>
      <c r="D3361" t="inlineStr">
        <is>
          <t>NORRBOTTENS LÄN</t>
        </is>
      </c>
      <c r="E3361" t="inlineStr">
        <is>
          <t>JOKKMOKK</t>
        </is>
      </c>
      <c r="F3361" t="inlineStr">
        <is>
          <t>SCA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57691-2024</t>
        </is>
      </c>
      <c r="B3362" s="1" t="n">
        <v>45630.65877314815</v>
      </c>
      <c r="C3362" s="1" t="n">
        <v>45895</v>
      </c>
      <c r="D3362" t="inlineStr">
        <is>
          <t>NORRBOTTENS LÄN</t>
        </is>
      </c>
      <c r="E3362" t="inlineStr">
        <is>
          <t>BODEN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57694-2024</t>
        </is>
      </c>
      <c r="B3363" s="1" t="n">
        <v>45630.66138888889</v>
      </c>
      <c r="C3363" s="1" t="n">
        <v>45895</v>
      </c>
      <c r="D3363" t="inlineStr">
        <is>
          <t>NORRBOTTENS LÄN</t>
        </is>
      </c>
      <c r="E3363" t="inlineStr">
        <is>
          <t>PITEÅ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29992-2024</t>
        </is>
      </c>
      <c r="B3364" s="1" t="n">
        <v>45488.55291666667</v>
      </c>
      <c r="C3364" s="1" t="n">
        <v>45895</v>
      </c>
      <c r="D3364" t="inlineStr">
        <is>
          <t>NORRBOTTENS LÄN</t>
        </is>
      </c>
      <c r="E3364" t="inlineStr">
        <is>
          <t>PAJALA</t>
        </is>
      </c>
      <c r="F3364" t="inlineStr">
        <is>
          <t>Sveaskog</t>
        </is>
      </c>
      <c r="G3364" t="n">
        <v>9.800000000000001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46541-2021</t>
        </is>
      </c>
      <c r="B3365" s="1" t="n">
        <v>44445</v>
      </c>
      <c r="C3365" s="1" t="n">
        <v>45895</v>
      </c>
      <c r="D3365" t="inlineStr">
        <is>
          <t>NORRBOTTENS LÄN</t>
        </is>
      </c>
      <c r="E3365" t="inlineStr">
        <is>
          <t>BODEN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9618-2022</t>
        </is>
      </c>
      <c r="B3366" s="1" t="n">
        <v>44617</v>
      </c>
      <c r="C3366" s="1" t="n">
        <v>45895</v>
      </c>
      <c r="D3366" t="inlineStr">
        <is>
          <t>NORRBOTTENS LÄN</t>
        </is>
      </c>
      <c r="E3366" t="inlineStr">
        <is>
          <t>ÄLVSBYN</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26243-2025</t>
        </is>
      </c>
      <c r="B3367" s="1" t="n">
        <v>45805.57359953703</v>
      </c>
      <c r="C3367" s="1" t="n">
        <v>45895</v>
      </c>
      <c r="D3367" t="inlineStr">
        <is>
          <t>NORRBOTTENS LÄN</t>
        </is>
      </c>
      <c r="E3367" t="inlineStr">
        <is>
          <t>GÄLLIVARE</t>
        </is>
      </c>
      <c r="F3367" t="inlineStr">
        <is>
          <t>SCA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26211-2025</t>
        </is>
      </c>
      <c r="B3368" s="1" t="n">
        <v>45805.54035879629</v>
      </c>
      <c r="C3368" s="1" t="n">
        <v>45895</v>
      </c>
      <c r="D3368" t="inlineStr">
        <is>
          <t>NORRBOTTENS LÄN</t>
        </is>
      </c>
      <c r="E3368" t="inlineStr">
        <is>
          <t>ARVIDSJAUR</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26218-2025</t>
        </is>
      </c>
      <c r="B3369" s="1" t="n">
        <v>45805.54811342592</v>
      </c>
      <c r="C3369" s="1" t="n">
        <v>45895</v>
      </c>
      <c r="D3369" t="inlineStr">
        <is>
          <t>NORRBOTTENS LÄN</t>
        </is>
      </c>
      <c r="E3369" t="inlineStr">
        <is>
          <t>ARVIDSJAUR</t>
        </is>
      </c>
      <c r="F3369" t="inlineStr">
        <is>
          <t>Sveaskog</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20403-2022</t>
        </is>
      </c>
      <c r="B3370" s="1" t="n">
        <v>44699</v>
      </c>
      <c r="C3370" s="1" t="n">
        <v>45895</v>
      </c>
      <c r="D3370" t="inlineStr">
        <is>
          <t>NORRBOTTENS LÄN</t>
        </is>
      </c>
      <c r="E3370" t="inlineStr">
        <is>
          <t>ARVIDSJAUR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57183-2020</t>
        </is>
      </c>
      <c r="B3371" s="1" t="n">
        <v>44138</v>
      </c>
      <c r="C3371" s="1" t="n">
        <v>45895</v>
      </c>
      <c r="D3371" t="inlineStr">
        <is>
          <t>NORRBOTTENS LÄN</t>
        </is>
      </c>
      <c r="E3371" t="inlineStr">
        <is>
          <t>JOKKMOKK</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23580-2021</t>
        </is>
      </c>
      <c r="B3372" s="1" t="n">
        <v>44334</v>
      </c>
      <c r="C3372" s="1" t="n">
        <v>45895</v>
      </c>
      <c r="D3372" t="inlineStr">
        <is>
          <t>NORRBOTTENS LÄN</t>
        </is>
      </c>
      <c r="E3372" t="inlineStr">
        <is>
          <t>ARVIDSJAUR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18602-2024</t>
        </is>
      </c>
      <c r="B3373" s="1" t="n">
        <v>45425</v>
      </c>
      <c r="C3373" s="1" t="n">
        <v>45895</v>
      </c>
      <c r="D3373" t="inlineStr">
        <is>
          <t>NORRBOTTENS LÄN</t>
        </is>
      </c>
      <c r="E3373" t="inlineStr">
        <is>
          <t>JOKKMOKK</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46181-2021</t>
        </is>
      </c>
      <c r="B3374" s="1" t="n">
        <v>44441</v>
      </c>
      <c r="C3374" s="1" t="n">
        <v>45895</v>
      </c>
      <c r="D3374" t="inlineStr">
        <is>
          <t>NORRBOTTENS LÄN</t>
        </is>
      </c>
      <c r="E3374" t="inlineStr">
        <is>
          <t>ARVIDSJAUR</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33454-2022</t>
        </is>
      </c>
      <c r="B3375" s="1" t="n">
        <v>44788.65809027778</v>
      </c>
      <c r="C3375" s="1" t="n">
        <v>45895</v>
      </c>
      <c r="D3375" t="inlineStr">
        <is>
          <t>NORRBOTTENS LÄN</t>
        </is>
      </c>
      <c r="E3375" t="inlineStr">
        <is>
          <t>BODEN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26213-2025</t>
        </is>
      </c>
      <c r="B3376" s="1" t="n">
        <v>45805.54270833333</v>
      </c>
      <c r="C3376" s="1" t="n">
        <v>45895</v>
      </c>
      <c r="D3376" t="inlineStr">
        <is>
          <t>NORRBOTTENS LÄN</t>
        </is>
      </c>
      <c r="E3376" t="inlineStr">
        <is>
          <t>ARVIDSJAUR</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26214-2025</t>
        </is>
      </c>
      <c r="B3377" s="1" t="n">
        <v>45805.54394675926</v>
      </c>
      <c r="C3377" s="1" t="n">
        <v>45895</v>
      </c>
      <c r="D3377" t="inlineStr">
        <is>
          <t>NORRBOTTENS LÄN</t>
        </is>
      </c>
      <c r="E3377" t="inlineStr">
        <is>
          <t>ARVIDSJAUR</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40781-2021</t>
        </is>
      </c>
      <c r="B3378" s="1" t="n">
        <v>44421.25067129629</v>
      </c>
      <c r="C3378" s="1" t="n">
        <v>45895</v>
      </c>
      <c r="D3378" t="inlineStr">
        <is>
          <t>NORRBOTTENS LÄN</t>
        </is>
      </c>
      <c r="E3378" t="inlineStr">
        <is>
          <t>BODEN</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47207-2024</t>
        </is>
      </c>
      <c r="B3379" s="1" t="n">
        <v>45586.63935185185</v>
      </c>
      <c r="C3379" s="1" t="n">
        <v>45895</v>
      </c>
      <c r="D3379" t="inlineStr">
        <is>
          <t>NORRBOTTENS LÄN</t>
        </is>
      </c>
      <c r="E3379" t="inlineStr">
        <is>
          <t>PAJALA</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21139-2023</t>
        </is>
      </c>
      <c r="B3380" s="1" t="n">
        <v>45062.36662037037</v>
      </c>
      <c r="C3380" s="1" t="n">
        <v>45895</v>
      </c>
      <c r="D3380" t="inlineStr">
        <is>
          <t>NORRBOTTENS LÄN</t>
        </is>
      </c>
      <c r="E3380" t="inlineStr">
        <is>
          <t>PAJALA</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36417-2022</t>
        </is>
      </c>
      <c r="B3381" s="1" t="n">
        <v>44804</v>
      </c>
      <c r="C3381" s="1" t="n">
        <v>45895</v>
      </c>
      <c r="D3381" t="inlineStr">
        <is>
          <t>NORRBOTTENS LÄN</t>
        </is>
      </c>
      <c r="E3381" t="inlineStr">
        <is>
          <t>ARVIDSJAUR</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46404-2023</t>
        </is>
      </c>
      <c r="B3382" s="1" t="n">
        <v>45194</v>
      </c>
      <c r="C3382" s="1" t="n">
        <v>45895</v>
      </c>
      <c r="D3382" t="inlineStr">
        <is>
          <t>NORRBOTTENS LÄN</t>
        </is>
      </c>
      <c r="E3382" t="inlineStr">
        <is>
          <t>ÄLVSBYN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46418-2023</t>
        </is>
      </c>
      <c r="B3383" s="1" t="n">
        <v>45197</v>
      </c>
      <c r="C3383" s="1" t="n">
        <v>45895</v>
      </c>
      <c r="D3383" t="inlineStr">
        <is>
          <t>NORRBOTTENS LÄN</t>
        </is>
      </c>
      <c r="E3383" t="inlineStr">
        <is>
          <t>JOKKMOKK</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32070-2024</t>
        </is>
      </c>
      <c r="B3384" s="1" t="n">
        <v>45510.97233796296</v>
      </c>
      <c r="C3384" s="1" t="n">
        <v>45895</v>
      </c>
      <c r="D3384" t="inlineStr">
        <is>
          <t>NORRBOTTENS LÄN</t>
        </is>
      </c>
      <c r="E3384" t="inlineStr">
        <is>
          <t>KALIX</t>
        </is>
      </c>
      <c r="F3384" t="inlineStr">
        <is>
          <t>SCA</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21159-2023</t>
        </is>
      </c>
      <c r="B3385" s="1" t="n">
        <v>45062</v>
      </c>
      <c r="C3385" s="1" t="n">
        <v>45895</v>
      </c>
      <c r="D3385" t="inlineStr">
        <is>
          <t>NORRBOTTENS LÄN</t>
        </is>
      </c>
      <c r="E3385" t="inlineStr">
        <is>
          <t>GÄLLIVARE</t>
        </is>
      </c>
      <c r="F3385" t="inlineStr">
        <is>
          <t>Sveaskog</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61303-2023</t>
        </is>
      </c>
      <c r="B3386" s="1" t="n">
        <v>45264.56266203704</v>
      </c>
      <c r="C3386" s="1" t="n">
        <v>45895</v>
      </c>
      <c r="D3386" t="inlineStr">
        <is>
          <t>NORRBOTTENS LÄN</t>
        </is>
      </c>
      <c r="E3386" t="inlineStr">
        <is>
          <t>PITEÅ</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55635-2024</t>
        </is>
      </c>
      <c r="B3387" s="1" t="n">
        <v>45622</v>
      </c>
      <c r="C3387" s="1" t="n">
        <v>45895</v>
      </c>
      <c r="D3387" t="inlineStr">
        <is>
          <t>NORRBOTTENS LÄN</t>
        </is>
      </c>
      <c r="E3387" t="inlineStr">
        <is>
          <t>JOKKMOKK</t>
        </is>
      </c>
      <c r="F3387" t="inlineStr">
        <is>
          <t>Allmännings- och besparingsskogar</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12041-2025</t>
        </is>
      </c>
      <c r="B3388" s="1" t="n">
        <v>45728.65701388889</v>
      </c>
      <c r="C3388" s="1" t="n">
        <v>45895</v>
      </c>
      <c r="D3388" t="inlineStr">
        <is>
          <t>NORRBOTTENS LÄN</t>
        </is>
      </c>
      <c r="E3388" t="inlineStr">
        <is>
          <t>KALIX</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34042-2024</t>
        </is>
      </c>
      <c r="B3389" s="1" t="n">
        <v>45523</v>
      </c>
      <c r="C3389" s="1" t="n">
        <v>45895</v>
      </c>
      <c r="D3389" t="inlineStr">
        <is>
          <t>NORRBOTTENS LÄN</t>
        </is>
      </c>
      <c r="E3389" t="inlineStr">
        <is>
          <t>PAJALA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888-2025</t>
        </is>
      </c>
      <c r="B3390" s="1" t="n">
        <v>45665.65054398148</v>
      </c>
      <c r="C3390" s="1" t="n">
        <v>45895</v>
      </c>
      <c r="D3390" t="inlineStr">
        <is>
          <t>NORRBOTTENS LÄN</t>
        </is>
      </c>
      <c r="E3390" t="inlineStr">
        <is>
          <t>PAJALA</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32741-2024</t>
        </is>
      </c>
      <c r="B3391" s="1" t="n">
        <v>45516.43961805556</v>
      </c>
      <c r="C3391" s="1" t="n">
        <v>45895</v>
      </c>
      <c r="D3391" t="inlineStr">
        <is>
          <t>NORRBOTTENS LÄN</t>
        </is>
      </c>
      <c r="E3391" t="inlineStr">
        <is>
          <t>ÖVERTORNEÅ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53754-2023</t>
        </is>
      </c>
      <c r="B3392" s="1" t="n">
        <v>45230</v>
      </c>
      <c r="C3392" s="1" t="n">
        <v>45895</v>
      </c>
      <c r="D3392" t="inlineStr">
        <is>
          <t>NORRBOTTENS LÄN</t>
        </is>
      </c>
      <c r="E3392" t="inlineStr">
        <is>
          <t>LULEÅ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44121-2023</t>
        </is>
      </c>
      <c r="B3393" s="1" t="n">
        <v>45188.45032407407</v>
      </c>
      <c r="C3393" s="1" t="n">
        <v>45895</v>
      </c>
      <c r="D3393" t="inlineStr">
        <is>
          <t>NORRBOTTENS LÄN</t>
        </is>
      </c>
      <c r="E3393" t="inlineStr">
        <is>
          <t>PITEÅ</t>
        </is>
      </c>
      <c r="F3393" t="inlineStr">
        <is>
          <t>Sveaskog</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46587-2023</t>
        </is>
      </c>
      <c r="B3394" s="1" t="n">
        <v>45194</v>
      </c>
      <c r="C3394" s="1" t="n">
        <v>45895</v>
      </c>
      <c r="D3394" t="inlineStr">
        <is>
          <t>NORRBOTTENS LÄN</t>
        </is>
      </c>
      <c r="E3394" t="inlineStr">
        <is>
          <t>LULEÅ</t>
        </is>
      </c>
      <c r="G3394" t="n">
        <v>15.3</v>
      </c>
      <c r="H3394" t="n">
        <v>0</v>
      </c>
      <c r="I3394" t="n">
        <v>0</v>
      </c>
      <c r="J3394" t="n">
        <v>0</v>
      </c>
      <c r="K3394" t="n">
        <v>0</v>
      </c>
      <c r="L3394" t="n">
        <v>0</v>
      </c>
      <c r="M3394" t="n">
        <v>0</v>
      </c>
      <c r="N3394" t="n">
        <v>0</v>
      </c>
      <c r="O3394" t="n">
        <v>0</v>
      </c>
      <c r="P3394" t="n">
        <v>0</v>
      </c>
      <c r="Q3394" t="n">
        <v>0</v>
      </c>
      <c r="R3394" s="2" t="inlineStr"/>
    </row>
    <row r="3395" ht="15" customHeight="1">
      <c r="A3395" t="inlineStr">
        <is>
          <t>A 26287-2025</t>
        </is>
      </c>
      <c r="B3395" s="1" t="n">
        <v>45805.62303240741</v>
      </c>
      <c r="C3395" s="1" t="n">
        <v>45895</v>
      </c>
      <c r="D3395" t="inlineStr">
        <is>
          <t>NORRBOTTENS LÄN</t>
        </is>
      </c>
      <c r="E3395" t="inlineStr">
        <is>
          <t>KALIX</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8385-2025</t>
        </is>
      </c>
      <c r="B3396" s="1" t="n">
        <v>45709</v>
      </c>
      <c r="C3396" s="1" t="n">
        <v>45895</v>
      </c>
      <c r="D3396" t="inlineStr">
        <is>
          <t>NORRBOTTENS LÄN</t>
        </is>
      </c>
      <c r="E3396" t="inlineStr">
        <is>
          <t>PAJALA</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2595-2023</t>
        </is>
      </c>
      <c r="B3397" s="1" t="n">
        <v>44943</v>
      </c>
      <c r="C3397" s="1" t="n">
        <v>45895</v>
      </c>
      <c r="D3397" t="inlineStr">
        <is>
          <t>NORRBOTTENS LÄN</t>
        </is>
      </c>
      <c r="E3397" t="inlineStr">
        <is>
          <t>ÄLVSBYN</t>
        </is>
      </c>
      <c r="F3397" t="inlineStr">
        <is>
          <t>SCA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68166-2020</t>
        </is>
      </c>
      <c r="B3398" s="1" t="n">
        <v>44183</v>
      </c>
      <c r="C3398" s="1" t="n">
        <v>45895</v>
      </c>
      <c r="D3398" t="inlineStr">
        <is>
          <t>NORRBOTTENS LÄN</t>
        </is>
      </c>
      <c r="E3398" t="inlineStr">
        <is>
          <t>ÖVERTORNEÅ</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42547-2023</t>
        </is>
      </c>
      <c r="B3399" s="1" t="n">
        <v>45181.37510416667</v>
      </c>
      <c r="C3399" s="1" t="n">
        <v>45895</v>
      </c>
      <c r="D3399" t="inlineStr">
        <is>
          <t>NORRBOTTENS LÄN</t>
        </is>
      </c>
      <c r="E3399" t="inlineStr">
        <is>
          <t>HAPARANDA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58991-2023</t>
        </is>
      </c>
      <c r="B3400" s="1" t="n">
        <v>45225</v>
      </c>
      <c r="C3400" s="1" t="n">
        <v>45895</v>
      </c>
      <c r="D3400" t="inlineStr">
        <is>
          <t>NORRBOTTENS LÄN</t>
        </is>
      </c>
      <c r="E3400" t="inlineStr">
        <is>
          <t>KALIX</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3922-2025</t>
        </is>
      </c>
      <c r="B3401" s="1" t="n">
        <v>45684.44825231482</v>
      </c>
      <c r="C3401" s="1" t="n">
        <v>45895</v>
      </c>
      <c r="D3401" t="inlineStr">
        <is>
          <t>NORRBOTTENS LÄN</t>
        </is>
      </c>
      <c r="E3401" t="inlineStr">
        <is>
          <t>BODEN</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44391-2024</t>
        </is>
      </c>
      <c r="B3402" s="1" t="n">
        <v>45573</v>
      </c>
      <c r="C3402" s="1" t="n">
        <v>45895</v>
      </c>
      <c r="D3402" t="inlineStr">
        <is>
          <t>NORRBOTTENS LÄN</t>
        </is>
      </c>
      <c r="E3402" t="inlineStr">
        <is>
          <t>GÄLLIVARE</t>
        </is>
      </c>
      <c r="F3402" t="inlineStr">
        <is>
          <t>Allmännings- och besparingsskogar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44392-2024</t>
        </is>
      </c>
      <c r="B3403" s="1" t="n">
        <v>45573</v>
      </c>
      <c r="C3403" s="1" t="n">
        <v>45895</v>
      </c>
      <c r="D3403" t="inlineStr">
        <is>
          <t>NORRBOTTENS LÄN</t>
        </is>
      </c>
      <c r="E3403" t="inlineStr">
        <is>
          <t>GÄLLIVARE</t>
        </is>
      </c>
      <c r="F3403" t="inlineStr">
        <is>
          <t>Allmännings- och besparingsskogar</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29196-2021</t>
        </is>
      </c>
      <c r="B3404" s="1" t="n">
        <v>44358</v>
      </c>
      <c r="C3404" s="1" t="n">
        <v>45895</v>
      </c>
      <c r="D3404" t="inlineStr">
        <is>
          <t>NORRBOTTENS LÄN</t>
        </is>
      </c>
      <c r="E3404" t="inlineStr">
        <is>
          <t>GÄLLIVARE</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44401-2024</t>
        </is>
      </c>
      <c r="B3405" s="1" t="n">
        <v>45573.70684027778</v>
      </c>
      <c r="C3405" s="1" t="n">
        <v>45895</v>
      </c>
      <c r="D3405" t="inlineStr">
        <is>
          <t>NORRBOTTENS LÄN</t>
        </is>
      </c>
      <c r="E3405" t="inlineStr">
        <is>
          <t>PITEÅ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26291-2025</t>
        </is>
      </c>
      <c r="B3406" s="1" t="n">
        <v>45805</v>
      </c>
      <c r="C3406" s="1" t="n">
        <v>45895</v>
      </c>
      <c r="D3406" t="inlineStr">
        <is>
          <t>NORRBOTTENS LÄN</t>
        </is>
      </c>
      <c r="E3406" t="inlineStr">
        <is>
          <t>GÄLLIVARE</t>
        </is>
      </c>
      <c r="F3406" t="inlineStr">
        <is>
          <t>Sveaskog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47364-2024</t>
        </is>
      </c>
      <c r="B3407" s="1" t="n">
        <v>45587.44475694445</v>
      </c>
      <c r="C3407" s="1" t="n">
        <v>45895</v>
      </c>
      <c r="D3407" t="inlineStr">
        <is>
          <t>NORRBOTTENS LÄN</t>
        </is>
      </c>
      <c r="E3407" t="inlineStr">
        <is>
          <t>HAPARANDA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13725-2024</t>
        </is>
      </c>
      <c r="B3408" s="1" t="n">
        <v>45387</v>
      </c>
      <c r="C3408" s="1" t="n">
        <v>45895</v>
      </c>
      <c r="D3408" t="inlineStr">
        <is>
          <t>NORRBOTTENS LÄN</t>
        </is>
      </c>
      <c r="E3408" t="inlineStr">
        <is>
          <t>PAJALA</t>
        </is>
      </c>
      <c r="F3408" t="inlineStr">
        <is>
          <t>Allmännings- och besparingsskogar</t>
        </is>
      </c>
      <c r="G3408" t="n">
        <v>19.5</v>
      </c>
      <c r="H3408" t="n">
        <v>0</v>
      </c>
      <c r="I3408" t="n">
        <v>0</v>
      </c>
      <c r="J3408" t="n">
        <v>0</v>
      </c>
      <c r="K3408" t="n">
        <v>0</v>
      </c>
      <c r="L3408" t="n">
        <v>0</v>
      </c>
      <c r="M3408" t="n">
        <v>0</v>
      </c>
      <c r="N3408" t="n">
        <v>0</v>
      </c>
      <c r="O3408" t="n">
        <v>0</v>
      </c>
      <c r="P3408" t="n">
        <v>0</v>
      </c>
      <c r="Q3408" t="n">
        <v>0</v>
      </c>
      <c r="R3408" s="2" t="inlineStr"/>
    </row>
    <row r="3409" ht="15" customHeight="1">
      <c r="A3409" t="inlineStr">
        <is>
          <t>A 26242-2025</t>
        </is>
      </c>
      <c r="B3409" s="1" t="n">
        <v>45805</v>
      </c>
      <c r="C3409" s="1" t="n">
        <v>45895</v>
      </c>
      <c r="D3409" t="inlineStr">
        <is>
          <t>NORRBOTTENS LÄN</t>
        </is>
      </c>
      <c r="E3409" t="inlineStr">
        <is>
          <t>GÄLLIVARE</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47424-2024</t>
        </is>
      </c>
      <c r="B3410" s="1" t="n">
        <v>45587.49114583333</v>
      </c>
      <c r="C3410" s="1" t="n">
        <v>45895</v>
      </c>
      <c r="D3410" t="inlineStr">
        <is>
          <t>NORRBOTTENS LÄN</t>
        </is>
      </c>
      <c r="E3410" t="inlineStr">
        <is>
          <t>BODEN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49477-2024</t>
        </is>
      </c>
      <c r="B3411" s="1" t="n">
        <v>45596.34576388889</v>
      </c>
      <c r="C3411" s="1" t="n">
        <v>45895</v>
      </c>
      <c r="D3411" t="inlineStr">
        <is>
          <t>NORRBOTTENS LÄN</t>
        </is>
      </c>
      <c r="E3411" t="inlineStr">
        <is>
          <t>JOKKMOKK</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26208-2025</t>
        </is>
      </c>
      <c r="B3412" s="1" t="n">
        <v>45805.53162037037</v>
      </c>
      <c r="C3412" s="1" t="n">
        <v>45895</v>
      </c>
      <c r="D3412" t="inlineStr">
        <is>
          <t>NORRBOTTENS LÄN</t>
        </is>
      </c>
      <c r="E3412" t="inlineStr">
        <is>
          <t>GÄLLIVARE</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53257-2023</t>
        </is>
      </c>
      <c r="B3413" s="1" t="n">
        <v>45229</v>
      </c>
      <c r="C3413" s="1" t="n">
        <v>45895</v>
      </c>
      <c r="D3413" t="inlineStr">
        <is>
          <t>NORRBOTTENS LÄN</t>
        </is>
      </c>
      <c r="E3413" t="inlineStr">
        <is>
          <t>HAPARANDA</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24760-2022</t>
        </is>
      </c>
      <c r="B3414" s="1" t="n">
        <v>44728</v>
      </c>
      <c r="C3414" s="1" t="n">
        <v>45895</v>
      </c>
      <c r="D3414" t="inlineStr">
        <is>
          <t>NORRBOTTENS LÄN</t>
        </is>
      </c>
      <c r="E3414" t="inlineStr">
        <is>
          <t>ÄLVSBYN</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28946-2022</t>
        </is>
      </c>
      <c r="B3415" s="1" t="n">
        <v>44749.6044675926</v>
      </c>
      <c r="C3415" s="1" t="n">
        <v>45895</v>
      </c>
      <c r="D3415" t="inlineStr">
        <is>
          <t>NORRBOTTENS LÄN</t>
        </is>
      </c>
      <c r="E3415" t="inlineStr">
        <is>
          <t>KALIX</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18671-2025</t>
        </is>
      </c>
      <c r="B3416" s="1" t="n">
        <v>45763.5946412037</v>
      </c>
      <c r="C3416" s="1" t="n">
        <v>45895</v>
      </c>
      <c r="D3416" t="inlineStr">
        <is>
          <t>NORRBOTTENS LÄN</t>
        </is>
      </c>
      <c r="E3416" t="inlineStr">
        <is>
          <t>BODEN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26595-2025</t>
        </is>
      </c>
      <c r="B3417" s="1" t="n">
        <v>45808.42758101852</v>
      </c>
      <c r="C3417" s="1" t="n">
        <v>45895</v>
      </c>
      <c r="D3417" t="inlineStr">
        <is>
          <t>NORRBOTTENS LÄN</t>
        </is>
      </c>
      <c r="E3417" t="inlineStr">
        <is>
          <t>ÄLVSBYN</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12664-2025</t>
        </is>
      </c>
      <c r="B3418" s="1" t="n">
        <v>45733</v>
      </c>
      <c r="C3418" s="1" t="n">
        <v>45895</v>
      </c>
      <c r="D3418" t="inlineStr">
        <is>
          <t>NORRBOTTENS LÄN</t>
        </is>
      </c>
      <c r="E3418" t="inlineStr">
        <is>
          <t>JOKKMOKK</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57897-2023</t>
        </is>
      </c>
      <c r="B3419" s="1" t="n">
        <v>45244</v>
      </c>
      <c r="C3419" s="1" t="n">
        <v>45895</v>
      </c>
      <c r="D3419" t="inlineStr">
        <is>
          <t>NORRBOTTENS LÄN</t>
        </is>
      </c>
      <c r="E3419" t="inlineStr">
        <is>
          <t>PITEÅ</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35675-2024</t>
        </is>
      </c>
      <c r="B3420" s="1" t="n">
        <v>45532</v>
      </c>
      <c r="C3420" s="1" t="n">
        <v>45895</v>
      </c>
      <c r="D3420" t="inlineStr">
        <is>
          <t>NORRBOTTENS LÄN</t>
        </is>
      </c>
      <c r="E3420" t="inlineStr">
        <is>
          <t>JOKKMOKK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57909-2023</t>
        </is>
      </c>
      <c r="B3421" s="1" t="n">
        <v>45244</v>
      </c>
      <c r="C3421" s="1" t="n">
        <v>45895</v>
      </c>
      <c r="D3421" t="inlineStr">
        <is>
          <t>NORRBOTTENS LÄN</t>
        </is>
      </c>
      <c r="E3421" t="inlineStr">
        <is>
          <t>GÄLLIVARE</t>
        </is>
      </c>
      <c r="F3421" t="inlineStr">
        <is>
          <t>Allmännings- och besparingsskogar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56505-2023</t>
        </is>
      </c>
      <c r="B3422" s="1" t="n">
        <v>45243.54659722222</v>
      </c>
      <c r="C3422" s="1" t="n">
        <v>45895</v>
      </c>
      <c r="D3422" t="inlineStr">
        <is>
          <t>NORRBOTTENS LÄN</t>
        </is>
      </c>
      <c r="E3422" t="inlineStr">
        <is>
          <t>PITEÅ</t>
        </is>
      </c>
      <c r="F3422" t="inlineStr">
        <is>
          <t>Sveaskog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16233-2023</t>
        </is>
      </c>
      <c r="B3423" s="1" t="n">
        <v>45028</v>
      </c>
      <c r="C3423" s="1" t="n">
        <v>45895</v>
      </c>
      <c r="D3423" t="inlineStr">
        <is>
          <t>NORRBOTTENS LÄN</t>
        </is>
      </c>
      <c r="E3423" t="inlineStr">
        <is>
          <t>PITEÅ</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9874-2023</t>
        </is>
      </c>
      <c r="B3424" s="1" t="n">
        <v>44984.94069444444</v>
      </c>
      <c r="C3424" s="1" t="n">
        <v>45895</v>
      </c>
      <c r="D3424" t="inlineStr">
        <is>
          <t>NORRBOTTENS LÄN</t>
        </is>
      </c>
      <c r="E3424" t="inlineStr">
        <is>
          <t>JOKKMOKK</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9875-2023</t>
        </is>
      </c>
      <c r="B3425" s="1" t="n">
        <v>44984.94076388889</v>
      </c>
      <c r="C3425" s="1" t="n">
        <v>45895</v>
      </c>
      <c r="D3425" t="inlineStr">
        <is>
          <t>NORRBOTTENS LÄN</t>
        </is>
      </c>
      <c r="E3425" t="inlineStr">
        <is>
          <t>JOKKMOKK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58919-2023</t>
        </is>
      </c>
      <c r="B3426" s="1" t="n">
        <v>45252</v>
      </c>
      <c r="C3426" s="1" t="n">
        <v>45895</v>
      </c>
      <c r="D3426" t="inlineStr">
        <is>
          <t>NORRBOTTENS LÄN</t>
        </is>
      </c>
      <c r="E3426" t="inlineStr">
        <is>
          <t>ÄLVSBYN</t>
        </is>
      </c>
      <c r="G3426" t="n">
        <v>25.1</v>
      </c>
      <c r="H3426" t="n">
        <v>0</v>
      </c>
      <c r="I3426" t="n">
        <v>0</v>
      </c>
      <c r="J3426" t="n">
        <v>0</v>
      </c>
      <c r="K3426" t="n">
        <v>0</v>
      </c>
      <c r="L3426" t="n">
        <v>0</v>
      </c>
      <c r="M3426" t="n">
        <v>0</v>
      </c>
      <c r="N3426" t="n">
        <v>0</v>
      </c>
      <c r="O3426" t="n">
        <v>0</v>
      </c>
      <c r="P3426" t="n">
        <v>0</v>
      </c>
      <c r="Q3426" t="n">
        <v>0</v>
      </c>
      <c r="R3426" s="2" t="inlineStr"/>
    </row>
    <row r="3427" ht="15" customHeight="1">
      <c r="A3427" t="inlineStr">
        <is>
          <t>A 28707-2022</t>
        </is>
      </c>
      <c r="B3427" s="1" t="n">
        <v>44748</v>
      </c>
      <c r="C3427" s="1" t="n">
        <v>45895</v>
      </c>
      <c r="D3427" t="inlineStr">
        <is>
          <t>NORRBOTTENS LÄN</t>
        </is>
      </c>
      <c r="E3427" t="inlineStr">
        <is>
          <t>KIRUNA</t>
        </is>
      </c>
      <c r="G3427" t="n">
        <v>15.2</v>
      </c>
      <c r="H3427" t="n">
        <v>0</v>
      </c>
      <c r="I3427" t="n">
        <v>0</v>
      </c>
      <c r="J3427" t="n">
        <v>0</v>
      </c>
      <c r="K3427" t="n">
        <v>0</v>
      </c>
      <c r="L3427" t="n">
        <v>0</v>
      </c>
      <c r="M3427" t="n">
        <v>0</v>
      </c>
      <c r="N3427" t="n">
        <v>0</v>
      </c>
      <c r="O3427" t="n">
        <v>0</v>
      </c>
      <c r="P3427" t="n">
        <v>0</v>
      </c>
      <c r="Q3427" t="n">
        <v>0</v>
      </c>
      <c r="R3427" s="2" t="inlineStr"/>
    </row>
    <row r="3428" ht="15" customHeight="1">
      <c r="A3428" t="inlineStr">
        <is>
          <t>A 56532-2023</t>
        </is>
      </c>
      <c r="B3428" s="1" t="n">
        <v>45243.57018518518</v>
      </c>
      <c r="C3428" s="1" t="n">
        <v>45895</v>
      </c>
      <c r="D3428" t="inlineStr">
        <is>
          <t>NORRBOTTENS LÄN</t>
        </is>
      </c>
      <c r="E3428" t="inlineStr">
        <is>
          <t>PITEÅ</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36245-2023</t>
        </is>
      </c>
      <c r="B3429" s="1" t="n">
        <v>45150</v>
      </c>
      <c r="C3429" s="1" t="n">
        <v>45895</v>
      </c>
      <c r="D3429" t="inlineStr">
        <is>
          <t>NORRBOTTENS LÄN</t>
        </is>
      </c>
      <c r="E3429" t="inlineStr">
        <is>
          <t>GÄLLIVARE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8152-2025</t>
        </is>
      </c>
      <c r="B3430" s="1" t="n">
        <v>45708</v>
      </c>
      <c r="C3430" s="1" t="n">
        <v>45895</v>
      </c>
      <c r="D3430" t="inlineStr">
        <is>
          <t>NORRBOTTENS LÄN</t>
        </is>
      </c>
      <c r="E3430" t="inlineStr">
        <is>
          <t>GÄLLIVARE</t>
        </is>
      </c>
      <c r="F3430" t="inlineStr">
        <is>
          <t>Sveaskog</t>
        </is>
      </c>
      <c r="G3430" t="n">
        <v>42.1</v>
      </c>
      <c r="H3430" t="n">
        <v>0</v>
      </c>
      <c r="I3430" t="n">
        <v>0</v>
      </c>
      <c r="J3430" t="n">
        <v>0</v>
      </c>
      <c r="K3430" t="n">
        <v>0</v>
      </c>
      <c r="L3430" t="n">
        <v>0</v>
      </c>
      <c r="M3430" t="n">
        <v>0</v>
      </c>
      <c r="N3430" t="n">
        <v>0</v>
      </c>
      <c r="O3430" t="n">
        <v>0</v>
      </c>
      <c r="P3430" t="n">
        <v>0</v>
      </c>
      <c r="Q3430" t="n">
        <v>0</v>
      </c>
      <c r="R3430" s="2" t="inlineStr"/>
    </row>
    <row r="3431" ht="15" customHeight="1">
      <c r="A3431" t="inlineStr">
        <is>
          <t>A 46869-2024</t>
        </is>
      </c>
      <c r="B3431" s="1" t="n">
        <v>45583</v>
      </c>
      <c r="C3431" s="1" t="n">
        <v>45895</v>
      </c>
      <c r="D3431" t="inlineStr">
        <is>
          <t>NORRBOTTENS LÄN</t>
        </is>
      </c>
      <c r="E3431" t="inlineStr">
        <is>
          <t>LULEÅ</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46901-2024</t>
        </is>
      </c>
      <c r="B3432" s="1" t="n">
        <v>45583.69834490741</v>
      </c>
      <c r="C3432" s="1" t="n">
        <v>45895</v>
      </c>
      <c r="D3432" t="inlineStr">
        <is>
          <t>NORRBOTTENS LÄN</t>
        </is>
      </c>
      <c r="E3432" t="inlineStr">
        <is>
          <t>BODEN</t>
        </is>
      </c>
      <c r="F3432" t="inlineStr">
        <is>
          <t>SCA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47019-2024</t>
        </is>
      </c>
      <c r="B3433" s="1" t="n">
        <v>45586.39640046296</v>
      </c>
      <c r="C3433" s="1" t="n">
        <v>45895</v>
      </c>
      <c r="D3433" t="inlineStr">
        <is>
          <t>NORRBOTTENS LÄN</t>
        </is>
      </c>
      <c r="E3433" t="inlineStr">
        <is>
          <t>ÖVERTORNEÅ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58759-2023</t>
        </is>
      </c>
      <c r="B3434" s="1" t="n">
        <v>45251</v>
      </c>
      <c r="C3434" s="1" t="n">
        <v>45895</v>
      </c>
      <c r="D3434" t="inlineStr">
        <is>
          <t>NORRBOTTENS LÄN</t>
        </is>
      </c>
      <c r="E3434" t="inlineStr">
        <is>
          <t>LULEÅ</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34151-2023</t>
        </is>
      </c>
      <c r="B3435" s="1" t="n">
        <v>45136</v>
      </c>
      <c r="C3435" s="1" t="n">
        <v>45895</v>
      </c>
      <c r="D3435" t="inlineStr">
        <is>
          <t>NORRBOTTENS LÄN</t>
        </is>
      </c>
      <c r="E3435" t="inlineStr">
        <is>
          <t>PAJALA</t>
        </is>
      </c>
      <c r="G3435" t="n">
        <v>21.7</v>
      </c>
      <c r="H3435" t="n">
        <v>0</v>
      </c>
      <c r="I3435" t="n">
        <v>0</v>
      </c>
      <c r="J3435" t="n">
        <v>0</v>
      </c>
      <c r="K3435" t="n">
        <v>0</v>
      </c>
      <c r="L3435" t="n">
        <v>0</v>
      </c>
      <c r="M3435" t="n">
        <v>0</v>
      </c>
      <c r="N3435" t="n">
        <v>0</v>
      </c>
      <c r="O3435" t="n">
        <v>0</v>
      </c>
      <c r="P3435" t="n">
        <v>0</v>
      </c>
      <c r="Q3435" t="n">
        <v>0</v>
      </c>
      <c r="R3435" s="2" t="inlineStr"/>
    </row>
    <row r="3436" ht="15" customHeight="1">
      <c r="A3436" t="inlineStr">
        <is>
          <t>A 21979-2023</t>
        </is>
      </c>
      <c r="B3436" s="1" t="n">
        <v>45068</v>
      </c>
      <c r="C3436" s="1" t="n">
        <v>45895</v>
      </c>
      <c r="D3436" t="inlineStr">
        <is>
          <t>NORRBOTTENS LÄN</t>
        </is>
      </c>
      <c r="E3436" t="inlineStr">
        <is>
          <t>HAPARANDA</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26699-2025</t>
        </is>
      </c>
      <c r="B3437" s="1" t="n">
        <v>45810.44814814815</v>
      </c>
      <c r="C3437" s="1" t="n">
        <v>45895</v>
      </c>
      <c r="D3437" t="inlineStr">
        <is>
          <t>NORRBOTTENS LÄN</t>
        </is>
      </c>
      <c r="E3437" t="inlineStr">
        <is>
          <t>KALIX</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26701-2025</t>
        </is>
      </c>
      <c r="B3438" s="1" t="n">
        <v>45810.4502199074</v>
      </c>
      <c r="C3438" s="1" t="n">
        <v>45895</v>
      </c>
      <c r="D3438" t="inlineStr">
        <is>
          <t>NORRBOTTENS LÄN</t>
        </is>
      </c>
      <c r="E3438" t="inlineStr">
        <is>
          <t>PITEÅ</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44997-2024</t>
        </is>
      </c>
      <c r="B3439" s="1" t="n">
        <v>45575</v>
      </c>
      <c r="C3439" s="1" t="n">
        <v>45895</v>
      </c>
      <c r="D3439" t="inlineStr">
        <is>
          <t>NORRBOTTENS LÄN</t>
        </is>
      </c>
      <c r="E3439" t="inlineStr">
        <is>
          <t>PAJALA</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34639-2024</t>
        </is>
      </c>
      <c r="B3440" s="1" t="n">
        <v>45526.47293981481</v>
      </c>
      <c r="C3440" s="1" t="n">
        <v>45895</v>
      </c>
      <c r="D3440" t="inlineStr">
        <is>
          <t>NORRBOTTENS LÄN</t>
        </is>
      </c>
      <c r="E3440" t="inlineStr">
        <is>
          <t>JOKKMOKK</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36599-2023</t>
        </is>
      </c>
      <c r="B3441" s="1" t="n">
        <v>45152</v>
      </c>
      <c r="C3441" s="1" t="n">
        <v>45895</v>
      </c>
      <c r="D3441" t="inlineStr">
        <is>
          <t>NORRBOTTENS LÄN</t>
        </is>
      </c>
      <c r="E3441" t="inlineStr">
        <is>
          <t>BODEN</t>
        </is>
      </c>
      <c r="G3441" t="n">
        <v>9.699999999999999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55317-2023</t>
        </is>
      </c>
      <c r="B3442" s="1" t="n">
        <v>45237</v>
      </c>
      <c r="C3442" s="1" t="n">
        <v>45895</v>
      </c>
      <c r="D3442" t="inlineStr">
        <is>
          <t>NORRBOTTENS LÄN</t>
        </is>
      </c>
      <c r="E3442" t="inlineStr">
        <is>
          <t>BODEN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47157-2024</t>
        </is>
      </c>
      <c r="B3443" s="1" t="n">
        <v>45586</v>
      </c>
      <c r="C3443" s="1" t="n">
        <v>45895</v>
      </c>
      <c r="D3443" t="inlineStr">
        <is>
          <t>NORRBOTTENS LÄN</t>
        </is>
      </c>
      <c r="E3443" t="inlineStr">
        <is>
          <t>JOKKMOKK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42112-2023</t>
        </is>
      </c>
      <c r="B3444" s="1" t="n">
        <v>45177</v>
      </c>
      <c r="C3444" s="1" t="n">
        <v>45895</v>
      </c>
      <c r="D3444" t="inlineStr">
        <is>
          <t>NORRBOTTENS LÄN</t>
        </is>
      </c>
      <c r="E3444" t="inlineStr">
        <is>
          <t>PITEÅ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3694-2023</t>
        </is>
      </c>
      <c r="B3445" s="1" t="n">
        <v>44950.94677083333</v>
      </c>
      <c r="C3445" s="1" t="n">
        <v>45895</v>
      </c>
      <c r="D3445" t="inlineStr">
        <is>
          <t>NORRBOTTENS LÄN</t>
        </is>
      </c>
      <c r="E3445" t="inlineStr">
        <is>
          <t>ÖVERKALIX</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61679-2022</t>
        </is>
      </c>
      <c r="B3446" s="1" t="n">
        <v>44909</v>
      </c>
      <c r="C3446" s="1" t="n">
        <v>45895</v>
      </c>
      <c r="D3446" t="inlineStr">
        <is>
          <t>NORRBOTTENS LÄN</t>
        </is>
      </c>
      <c r="E3446" t="inlineStr">
        <is>
          <t>GÄLLIVARE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18059-2022</t>
        </is>
      </c>
      <c r="B3447" s="1" t="n">
        <v>44683</v>
      </c>
      <c r="C3447" s="1" t="n">
        <v>45895</v>
      </c>
      <c r="D3447" t="inlineStr">
        <is>
          <t>NORRBOTTENS LÄN</t>
        </is>
      </c>
      <c r="E3447" t="inlineStr">
        <is>
          <t>PITEÅ</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45597-2024</t>
        </is>
      </c>
      <c r="B3448" s="1" t="n">
        <v>45579</v>
      </c>
      <c r="C3448" s="1" t="n">
        <v>45895</v>
      </c>
      <c r="D3448" t="inlineStr">
        <is>
          <t>NORRBOTTENS LÄN</t>
        </is>
      </c>
      <c r="E3448" t="inlineStr">
        <is>
          <t>PAJALA</t>
        </is>
      </c>
      <c r="F3448" t="inlineStr">
        <is>
          <t>Sveaskog</t>
        </is>
      </c>
      <c r="G3448" t="n">
        <v>21.8</v>
      </c>
      <c r="H3448" t="n">
        <v>0</v>
      </c>
      <c r="I3448" t="n">
        <v>0</v>
      </c>
      <c r="J3448" t="n">
        <v>0</v>
      </c>
      <c r="K3448" t="n">
        <v>0</v>
      </c>
      <c r="L3448" t="n">
        <v>0</v>
      </c>
      <c r="M3448" t="n">
        <v>0</v>
      </c>
      <c r="N3448" t="n">
        <v>0</v>
      </c>
      <c r="O3448" t="n">
        <v>0</v>
      </c>
      <c r="P3448" t="n">
        <v>0</v>
      </c>
      <c r="Q3448" t="n">
        <v>0</v>
      </c>
      <c r="R3448" s="2" t="inlineStr"/>
    </row>
    <row r="3449" ht="15" customHeight="1">
      <c r="A3449" t="inlineStr">
        <is>
          <t>A 26638-2025</t>
        </is>
      </c>
      <c r="B3449" s="1" t="n">
        <v>45810</v>
      </c>
      <c r="C3449" s="1" t="n">
        <v>45895</v>
      </c>
      <c r="D3449" t="inlineStr">
        <is>
          <t>NORRBOTTENS LÄN</t>
        </is>
      </c>
      <c r="E3449" t="inlineStr">
        <is>
          <t>GÄLLIVARE</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20698-2022</t>
        </is>
      </c>
      <c r="B3450" s="1" t="n">
        <v>44700</v>
      </c>
      <c r="C3450" s="1" t="n">
        <v>45895</v>
      </c>
      <c r="D3450" t="inlineStr">
        <is>
          <t>NORRBOTTENS LÄN</t>
        </is>
      </c>
      <c r="E3450" t="inlineStr">
        <is>
          <t>ARVIDSJAUR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64262-2023</t>
        </is>
      </c>
      <c r="B3451" s="1" t="n">
        <v>45279</v>
      </c>
      <c r="C3451" s="1" t="n">
        <v>45895</v>
      </c>
      <c r="D3451" t="inlineStr">
        <is>
          <t>NORRBOTTENS LÄN</t>
        </is>
      </c>
      <c r="E3451" t="inlineStr">
        <is>
          <t>GÄLLIVARE</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26450-2025</t>
        </is>
      </c>
      <c r="B3452" s="1" t="n">
        <v>45807</v>
      </c>
      <c r="C3452" s="1" t="n">
        <v>45895</v>
      </c>
      <c r="D3452" t="inlineStr">
        <is>
          <t>NORRBOTTENS LÄN</t>
        </is>
      </c>
      <c r="E3452" t="inlineStr">
        <is>
          <t>ÖVERKALIX</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69537-2021</t>
        </is>
      </c>
      <c r="B3453" s="1" t="n">
        <v>44531.92215277778</v>
      </c>
      <c r="C3453" s="1" t="n">
        <v>45895</v>
      </c>
      <c r="D3453" t="inlineStr">
        <is>
          <t>NORRBOTTENS LÄN</t>
        </is>
      </c>
      <c r="E3453" t="inlineStr">
        <is>
          <t>PITEÅ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18910-2025</t>
        </is>
      </c>
      <c r="B3454" s="1" t="n">
        <v>45764.46482638889</v>
      </c>
      <c r="C3454" s="1" t="n">
        <v>45895</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46296-2024</t>
        </is>
      </c>
      <c r="B3455" s="1" t="n">
        <v>45581</v>
      </c>
      <c r="C3455" s="1" t="n">
        <v>45895</v>
      </c>
      <c r="D3455" t="inlineStr">
        <is>
          <t>NORRBOTTENS LÄN</t>
        </is>
      </c>
      <c r="E3455" t="inlineStr">
        <is>
          <t>HAPARANDA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26482-2025</t>
        </is>
      </c>
      <c r="B3456" s="1" t="n">
        <v>45807.4705787037</v>
      </c>
      <c r="C3456" s="1" t="n">
        <v>45895</v>
      </c>
      <c r="D3456" t="inlineStr">
        <is>
          <t>NORRBOTTENS LÄN</t>
        </is>
      </c>
      <c r="E3456" t="inlineStr">
        <is>
          <t>PITEÅ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26666-2025</t>
        </is>
      </c>
      <c r="B3457" s="1" t="n">
        <v>45810</v>
      </c>
      <c r="C3457" s="1" t="n">
        <v>45895</v>
      </c>
      <c r="D3457" t="inlineStr">
        <is>
          <t>NORRBOTTENS LÄN</t>
        </is>
      </c>
      <c r="E3457" t="inlineStr">
        <is>
          <t>ÖVERKALIX</t>
        </is>
      </c>
      <c r="F3457" t="inlineStr">
        <is>
          <t>SCA</t>
        </is>
      </c>
      <c r="G3457" t="n">
        <v>17.5</v>
      </c>
      <c r="H3457" t="n">
        <v>0</v>
      </c>
      <c r="I3457" t="n">
        <v>0</v>
      </c>
      <c r="J3457" t="n">
        <v>0</v>
      </c>
      <c r="K3457" t="n">
        <v>0</v>
      </c>
      <c r="L3457" t="n">
        <v>0</v>
      </c>
      <c r="M3457" t="n">
        <v>0</v>
      </c>
      <c r="N3457" t="n">
        <v>0</v>
      </c>
      <c r="O3457" t="n">
        <v>0</v>
      </c>
      <c r="P3457" t="n">
        <v>0</v>
      </c>
      <c r="Q3457" t="n">
        <v>0</v>
      </c>
      <c r="R3457" s="2" t="inlineStr"/>
    </row>
    <row r="3458" ht="15" customHeight="1">
      <c r="A3458" t="inlineStr">
        <is>
          <t>A 26514-2025</t>
        </is>
      </c>
      <c r="B3458" s="1" t="n">
        <v>45807.55243055556</v>
      </c>
      <c r="C3458" s="1" t="n">
        <v>45895</v>
      </c>
      <c r="D3458" t="inlineStr">
        <is>
          <t>NORRBOTTENS LÄN</t>
        </is>
      </c>
      <c r="E3458" t="inlineStr">
        <is>
          <t>PAJALA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36246-2023</t>
        </is>
      </c>
      <c r="B3459" s="1" t="n">
        <v>45150</v>
      </c>
      <c r="C3459" s="1" t="n">
        <v>45895</v>
      </c>
      <c r="D3459" t="inlineStr">
        <is>
          <t>NORRBOTTENS LÄN</t>
        </is>
      </c>
      <c r="E3459" t="inlineStr">
        <is>
          <t>GÄLLIVARE</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20848-2023</t>
        </is>
      </c>
      <c r="B3460" s="1" t="n">
        <v>45058</v>
      </c>
      <c r="C3460" s="1" t="n">
        <v>45895</v>
      </c>
      <c r="D3460" t="inlineStr">
        <is>
          <t>NORRBOTTENS LÄN</t>
        </is>
      </c>
      <c r="E3460" t="inlineStr">
        <is>
          <t>PAJALA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48835-2024</t>
        </is>
      </c>
      <c r="B3461" s="1" t="n">
        <v>45593</v>
      </c>
      <c r="C3461" s="1" t="n">
        <v>45895</v>
      </c>
      <c r="D3461" t="inlineStr">
        <is>
          <t>NORRBOTTENS LÄN</t>
        </is>
      </c>
      <c r="E3461" t="inlineStr">
        <is>
          <t>ÄLVSBYN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26599-2025</t>
        </is>
      </c>
      <c r="B3462" s="1" t="n">
        <v>45808</v>
      </c>
      <c r="C3462" s="1" t="n">
        <v>45895</v>
      </c>
      <c r="D3462" t="inlineStr">
        <is>
          <t>NORRBOTTENS LÄN</t>
        </is>
      </c>
      <c r="E3462" t="inlineStr">
        <is>
          <t>ÄLVSBYN</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36881-2023</t>
        </is>
      </c>
      <c r="B3463" s="1" t="n">
        <v>45154</v>
      </c>
      <c r="C3463" s="1" t="n">
        <v>45895</v>
      </c>
      <c r="D3463" t="inlineStr">
        <is>
          <t>NORRBOTTENS LÄN</t>
        </is>
      </c>
      <c r="E3463" t="inlineStr">
        <is>
          <t>GÄLLIVARE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36954-2023</t>
        </is>
      </c>
      <c r="B3464" s="1" t="n">
        <v>45154</v>
      </c>
      <c r="C3464" s="1" t="n">
        <v>45895</v>
      </c>
      <c r="D3464" t="inlineStr">
        <is>
          <t>NORRBOTTENS LÄN</t>
        </is>
      </c>
      <c r="E3464" t="inlineStr">
        <is>
          <t>ARVIDSJAUR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43819-2023</t>
        </is>
      </c>
      <c r="B3465" s="1" t="n">
        <v>45187</v>
      </c>
      <c r="C3465" s="1" t="n">
        <v>45895</v>
      </c>
      <c r="D3465" t="inlineStr">
        <is>
          <t>NORRBOTTENS LÄN</t>
        </is>
      </c>
      <c r="E3465" t="inlineStr">
        <is>
          <t>PAJALA</t>
        </is>
      </c>
      <c r="G3465" t="n">
        <v>25.8</v>
      </c>
      <c r="H3465" t="n">
        <v>0</v>
      </c>
      <c r="I3465" t="n">
        <v>0</v>
      </c>
      <c r="J3465" t="n">
        <v>0</v>
      </c>
      <c r="K3465" t="n">
        <v>0</v>
      </c>
      <c r="L3465" t="n">
        <v>0</v>
      </c>
      <c r="M3465" t="n">
        <v>0</v>
      </c>
      <c r="N3465" t="n">
        <v>0</v>
      </c>
      <c r="O3465" t="n">
        <v>0</v>
      </c>
      <c r="P3465" t="n">
        <v>0</v>
      </c>
      <c r="Q3465" t="n">
        <v>0</v>
      </c>
      <c r="R3465" s="2" t="inlineStr"/>
    </row>
    <row r="3466" ht="15" customHeight="1">
      <c r="A3466" t="inlineStr">
        <is>
          <t>A 49162-2023</t>
        </is>
      </c>
      <c r="B3466" s="1" t="n">
        <v>45210.53141203704</v>
      </c>
      <c r="C3466" s="1" t="n">
        <v>45895</v>
      </c>
      <c r="D3466" t="inlineStr">
        <is>
          <t>NORRBOTTENS LÄN</t>
        </is>
      </c>
      <c r="E3466" t="inlineStr">
        <is>
          <t>BODEN</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27182-2025</t>
        </is>
      </c>
      <c r="B3467" s="1" t="n">
        <v>45812.35888888889</v>
      </c>
      <c r="C3467" s="1" t="n">
        <v>45895</v>
      </c>
      <c r="D3467" t="inlineStr">
        <is>
          <t>NORRBOTTENS LÄN</t>
        </is>
      </c>
      <c r="E3467" t="inlineStr">
        <is>
          <t>GÄLLIVARE</t>
        </is>
      </c>
      <c r="F3467" t="inlineStr">
        <is>
          <t>Sveaskog</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7231-2025</t>
        </is>
      </c>
      <c r="B3468" s="1" t="n">
        <v>45702</v>
      </c>
      <c r="C3468" s="1" t="n">
        <v>45895</v>
      </c>
      <c r="D3468" t="inlineStr">
        <is>
          <t>NORRBOTTENS LÄN</t>
        </is>
      </c>
      <c r="E3468" t="inlineStr">
        <is>
          <t>ÖVERKALIX</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7929-2025</t>
        </is>
      </c>
      <c r="B3469" s="1" t="n">
        <v>45707.37032407407</v>
      </c>
      <c r="C3469" s="1" t="n">
        <v>45895</v>
      </c>
      <c r="D3469" t="inlineStr">
        <is>
          <t>NORRBOTTENS LÄN</t>
        </is>
      </c>
      <c r="E3469" t="inlineStr">
        <is>
          <t>PAJALA</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15815-2025</t>
        </is>
      </c>
      <c r="B3470" s="1" t="n">
        <v>45748.66990740741</v>
      </c>
      <c r="C3470" s="1" t="n">
        <v>45895</v>
      </c>
      <c r="D3470" t="inlineStr">
        <is>
          <t>NORRBOTTENS LÄN</t>
        </is>
      </c>
      <c r="E3470" t="inlineStr">
        <is>
          <t>PITEÅ</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26772-2025</t>
        </is>
      </c>
      <c r="B3471" s="1" t="n">
        <v>45810</v>
      </c>
      <c r="C3471" s="1" t="n">
        <v>45895</v>
      </c>
      <c r="D3471" t="inlineStr">
        <is>
          <t>NORRBOTTENS LÄN</t>
        </is>
      </c>
      <c r="E3471" t="inlineStr">
        <is>
          <t>GÄLLIVARE</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61748-2024</t>
        </is>
      </c>
      <c r="B3472" s="1" t="n">
        <v>45649.38905092593</v>
      </c>
      <c r="C3472" s="1" t="n">
        <v>45895</v>
      </c>
      <c r="D3472" t="inlineStr">
        <is>
          <t>NORRBOTTENS LÄN</t>
        </is>
      </c>
      <c r="E3472" t="inlineStr">
        <is>
          <t>BODEN</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37649-2024</t>
        </is>
      </c>
      <c r="B3473" s="1" t="n">
        <v>45541</v>
      </c>
      <c r="C3473" s="1" t="n">
        <v>45895</v>
      </c>
      <c r="D3473" t="inlineStr">
        <is>
          <t>NORRBOTTENS LÄN</t>
        </is>
      </c>
      <c r="E3473" t="inlineStr">
        <is>
          <t>ARVIDSJAUR</t>
        </is>
      </c>
      <c r="F3473" t="inlineStr">
        <is>
          <t>Allmännings- och besparingsskogar</t>
        </is>
      </c>
      <c r="G3473" t="n">
        <v>6.1</v>
      </c>
      <c r="H3473" t="n">
        <v>0</v>
      </c>
      <c r="I3473" t="n">
        <v>0</v>
      </c>
      <c r="J3473" t="n">
        <v>0</v>
      </c>
      <c r="K3473" t="n">
        <v>0</v>
      </c>
      <c r="L3473" t="n">
        <v>0</v>
      </c>
      <c r="M3473" t="n">
        <v>0</v>
      </c>
      <c r="N3473" t="n">
        <v>0</v>
      </c>
      <c r="O3473" t="n">
        <v>0</v>
      </c>
      <c r="P3473" t="n">
        <v>0</v>
      </c>
      <c r="Q3473" t="n">
        <v>0</v>
      </c>
      <c r="R3473" s="2" t="inlineStr"/>
      <c r="U3473">
        <f>HYPERLINK("https://klasma.github.io/Logging_2505/knärot/A 37649-2024 karta knärot.png", "A 37649-2024")</f>
        <v/>
      </c>
      <c r="V3473">
        <f>HYPERLINK("https://klasma.github.io/Logging_2505/klagomål/A 37649-2024 FSC-klagomål.docx", "A 37649-2024")</f>
        <v/>
      </c>
      <c r="W3473">
        <f>HYPERLINK("https://klasma.github.io/Logging_2505/klagomålsmail/A 37649-2024 FSC-klagomål mail.docx", "A 37649-2024")</f>
        <v/>
      </c>
      <c r="X3473">
        <f>HYPERLINK("https://klasma.github.io/Logging_2505/tillsyn/A 37649-2024 tillsynsbegäran.docx", "A 37649-2024")</f>
        <v/>
      </c>
      <c r="Y3473">
        <f>HYPERLINK("https://klasma.github.io/Logging_2505/tillsynsmail/A 37649-2024 tillsynsbegäran mail.docx", "A 37649-2024")</f>
        <v/>
      </c>
    </row>
    <row r="3474" ht="15" customHeight="1">
      <c r="A3474" t="inlineStr">
        <is>
          <t>A 26825-2025</t>
        </is>
      </c>
      <c r="B3474" s="1" t="n">
        <v>45810.64746527778</v>
      </c>
      <c r="C3474" s="1" t="n">
        <v>45895</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37703-2024</t>
        </is>
      </c>
      <c r="B3475" s="1" t="n">
        <v>45541</v>
      </c>
      <c r="C3475" s="1" t="n">
        <v>45895</v>
      </c>
      <c r="D3475" t="inlineStr">
        <is>
          <t>NORRBOTTENS LÄN</t>
        </is>
      </c>
      <c r="E3475" t="inlineStr">
        <is>
          <t>PITEÅ</t>
        </is>
      </c>
      <c r="G3475" t="n">
        <v>14.1</v>
      </c>
      <c r="H3475" t="n">
        <v>0</v>
      </c>
      <c r="I3475" t="n">
        <v>0</v>
      </c>
      <c r="J3475" t="n">
        <v>0</v>
      </c>
      <c r="K3475" t="n">
        <v>0</v>
      </c>
      <c r="L3475" t="n">
        <v>0</v>
      </c>
      <c r="M3475" t="n">
        <v>0</v>
      </c>
      <c r="N3475" t="n">
        <v>0</v>
      </c>
      <c r="O3475" t="n">
        <v>0</v>
      </c>
      <c r="P3475" t="n">
        <v>0</v>
      </c>
      <c r="Q3475" t="n">
        <v>0</v>
      </c>
      <c r="R3475" s="2" t="inlineStr"/>
    </row>
    <row r="3476" ht="15" customHeight="1">
      <c r="A3476" t="inlineStr">
        <is>
          <t>A 48759-2023</t>
        </is>
      </c>
      <c r="B3476" s="1" t="n">
        <v>45208.92321759259</v>
      </c>
      <c r="C3476" s="1" t="n">
        <v>45895</v>
      </c>
      <c r="D3476" t="inlineStr">
        <is>
          <t>NORRBOTTENS LÄN</t>
        </is>
      </c>
      <c r="E3476" t="inlineStr">
        <is>
          <t>PITEÅ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61757-2024</t>
        </is>
      </c>
      <c r="B3477" s="1" t="n">
        <v>45649.4091550926</v>
      </c>
      <c r="C3477" s="1" t="n">
        <v>45895</v>
      </c>
      <c r="D3477" t="inlineStr">
        <is>
          <t>NORRBOTTENS LÄN</t>
        </is>
      </c>
      <c r="E3477" t="inlineStr">
        <is>
          <t>BODEN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39006-2023</t>
        </is>
      </c>
      <c r="B3478" s="1" t="n">
        <v>45162</v>
      </c>
      <c r="C3478" s="1" t="n">
        <v>45895</v>
      </c>
      <c r="D3478" t="inlineStr">
        <is>
          <t>NORRBOTTENS LÄN</t>
        </is>
      </c>
      <c r="E3478" t="inlineStr">
        <is>
          <t>KIRUNA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44120-2024</t>
        </is>
      </c>
      <c r="B3479" s="1" t="n">
        <v>45572.63810185185</v>
      </c>
      <c r="C3479" s="1" t="n">
        <v>45895</v>
      </c>
      <c r="D3479" t="inlineStr">
        <is>
          <t>NORRBOTTENS LÄN</t>
        </is>
      </c>
      <c r="E3479" t="inlineStr">
        <is>
          <t>PITEÅ</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58764-2023</t>
        </is>
      </c>
      <c r="B3480" s="1" t="n">
        <v>45251</v>
      </c>
      <c r="C3480" s="1" t="n">
        <v>45895</v>
      </c>
      <c r="D3480" t="inlineStr">
        <is>
          <t>NORRBOTTENS LÄN</t>
        </is>
      </c>
      <c r="E3480" t="inlineStr">
        <is>
          <t>ÖVERKALIX</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60275-2023</t>
        </is>
      </c>
      <c r="B3481" s="1" t="n">
        <v>45258.67847222222</v>
      </c>
      <c r="C3481" s="1" t="n">
        <v>45895</v>
      </c>
      <c r="D3481" t="inlineStr">
        <is>
          <t>NORRBOTTENS LÄN</t>
        </is>
      </c>
      <c r="E3481" t="inlineStr">
        <is>
          <t>JOKKMOKK</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26442-2025</t>
        </is>
      </c>
      <c r="B3482" s="1" t="n">
        <v>45807.41231481481</v>
      </c>
      <c r="C3482" s="1" t="n">
        <v>45895</v>
      </c>
      <c r="D3482" t="inlineStr">
        <is>
          <t>NORRBOTTENS LÄN</t>
        </is>
      </c>
      <c r="E3482" t="inlineStr">
        <is>
          <t>ÖVERKALIX</t>
        </is>
      </c>
      <c r="F3482" t="inlineStr">
        <is>
          <t>Sveaskog</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26444-2025</t>
        </is>
      </c>
      <c r="B3483" s="1" t="n">
        <v>45807.41303240741</v>
      </c>
      <c r="C3483" s="1" t="n">
        <v>45895</v>
      </c>
      <c r="D3483" t="inlineStr">
        <is>
          <t>NORRBOTTENS LÄN</t>
        </is>
      </c>
      <c r="E3483" t="inlineStr">
        <is>
          <t>ÖVERKALIX</t>
        </is>
      </c>
      <c r="F3483" t="inlineStr">
        <is>
          <t>Sveaskog</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26445-2025</t>
        </is>
      </c>
      <c r="B3484" s="1" t="n">
        <v>45807.41424768518</v>
      </c>
      <c r="C3484" s="1" t="n">
        <v>45895</v>
      </c>
      <c r="D3484" t="inlineStr">
        <is>
          <t>NORRBOTTENS LÄN</t>
        </is>
      </c>
      <c r="E3484" t="inlineStr">
        <is>
          <t>ÖVERKALIX</t>
        </is>
      </c>
      <c r="F3484" t="inlineStr">
        <is>
          <t>Sveaskog</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26449-2025</t>
        </is>
      </c>
      <c r="B3485" s="1" t="n">
        <v>45807.41793981481</v>
      </c>
      <c r="C3485" s="1" t="n">
        <v>45895</v>
      </c>
      <c r="D3485" t="inlineStr">
        <is>
          <t>NORRBOTTENS LÄN</t>
        </is>
      </c>
      <c r="E3485" t="inlineStr">
        <is>
          <t>ÖVERKALIX</t>
        </is>
      </c>
      <c r="F3485" t="inlineStr">
        <is>
          <t>Sveaskog</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26452-2025</t>
        </is>
      </c>
      <c r="B3486" s="1" t="n">
        <v>45807</v>
      </c>
      <c r="C3486" s="1" t="n">
        <v>45895</v>
      </c>
      <c r="D3486" t="inlineStr">
        <is>
          <t>NORRBOTTENS LÄN</t>
        </is>
      </c>
      <c r="E3486" t="inlineStr">
        <is>
          <t>ÖVERKALIX</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26549-2025</t>
        </is>
      </c>
      <c r="B3487" s="1" t="n">
        <v>45807.59417824074</v>
      </c>
      <c r="C3487" s="1" t="n">
        <v>45895</v>
      </c>
      <c r="D3487" t="inlineStr">
        <is>
          <t>NORRBOTTENS LÄN</t>
        </is>
      </c>
      <c r="E3487" t="inlineStr">
        <is>
          <t>PITEÅ</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45424-2023</t>
        </is>
      </c>
      <c r="B3488" s="1" t="n">
        <v>45194</v>
      </c>
      <c r="C3488" s="1" t="n">
        <v>45895</v>
      </c>
      <c r="D3488" t="inlineStr">
        <is>
          <t>NORRBOTTENS LÄN</t>
        </is>
      </c>
      <c r="E3488" t="inlineStr">
        <is>
          <t>ÄLVSBYN</t>
        </is>
      </c>
      <c r="F3488" t="inlineStr">
        <is>
          <t>Övriga Aktiebolag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64971-2023</t>
        </is>
      </c>
      <c r="B3489" s="1" t="n">
        <v>45285.40332175926</v>
      </c>
      <c r="C3489" s="1" t="n">
        <v>45895</v>
      </c>
      <c r="D3489" t="inlineStr">
        <is>
          <t>NORRBOTTENS LÄN</t>
        </is>
      </c>
      <c r="E3489" t="inlineStr">
        <is>
          <t>PITEÅ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49143-2024</t>
        </is>
      </c>
      <c r="B3490" s="1" t="n">
        <v>45594.71903935185</v>
      </c>
      <c r="C3490" s="1" t="n">
        <v>45895</v>
      </c>
      <c r="D3490" t="inlineStr">
        <is>
          <t>NORRBOTTENS LÄN</t>
        </is>
      </c>
      <c r="E3490" t="inlineStr">
        <is>
          <t>KALIX</t>
        </is>
      </c>
      <c r="F3490" t="inlineStr">
        <is>
          <t>SCA</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45448-2023</t>
        </is>
      </c>
      <c r="B3491" s="1" t="n">
        <v>45194.40741898148</v>
      </c>
      <c r="C3491" s="1" t="n">
        <v>45895</v>
      </c>
      <c r="D3491" t="inlineStr">
        <is>
          <t>NORRBOTTENS LÄN</t>
        </is>
      </c>
      <c r="E3491" t="inlineStr">
        <is>
          <t>BODEN</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19358-2022</t>
        </is>
      </c>
      <c r="B3492" s="1" t="n">
        <v>44692</v>
      </c>
      <c r="C3492" s="1" t="n">
        <v>45895</v>
      </c>
      <c r="D3492" t="inlineStr">
        <is>
          <t>NORRBOTTENS LÄN</t>
        </is>
      </c>
      <c r="E3492" t="inlineStr">
        <is>
          <t>ÖVERTORNEÅ</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57739-2024</t>
        </is>
      </c>
      <c r="B3493" s="1" t="n">
        <v>45630</v>
      </c>
      <c r="C3493" s="1" t="n">
        <v>45895</v>
      </c>
      <c r="D3493" t="inlineStr">
        <is>
          <t>NORRBOTTENS LÄN</t>
        </is>
      </c>
      <c r="E3493" t="inlineStr">
        <is>
          <t>PAJALA</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4185-2023</t>
        </is>
      </c>
      <c r="B3494" s="1" t="n">
        <v>44953</v>
      </c>
      <c r="C3494" s="1" t="n">
        <v>45895</v>
      </c>
      <c r="D3494" t="inlineStr">
        <is>
          <t>NORRBOTTENS LÄN</t>
        </is>
      </c>
      <c r="E3494" t="inlineStr">
        <is>
          <t>GÄLLIVARE</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41659-2024</t>
        </is>
      </c>
      <c r="B3495" s="1" t="n">
        <v>45560</v>
      </c>
      <c r="C3495" s="1" t="n">
        <v>45895</v>
      </c>
      <c r="D3495" t="inlineStr">
        <is>
          <t>NORRBOTTENS LÄN</t>
        </is>
      </c>
      <c r="E3495" t="inlineStr">
        <is>
          <t>ARVIDSJAUR</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51569-2023</t>
        </is>
      </c>
      <c r="B3496" s="1" t="n">
        <v>45215</v>
      </c>
      <c r="C3496" s="1" t="n">
        <v>45895</v>
      </c>
      <c r="D3496" t="inlineStr">
        <is>
          <t>NORRBOTTENS LÄN</t>
        </is>
      </c>
      <c r="E3496" t="inlineStr">
        <is>
          <t>PITEÅ</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41713-2024</t>
        </is>
      </c>
      <c r="B3497" s="1" t="n">
        <v>45560.71907407408</v>
      </c>
      <c r="C3497" s="1" t="n">
        <v>45895</v>
      </c>
      <c r="D3497" t="inlineStr">
        <is>
          <t>NORRBOTTENS LÄN</t>
        </is>
      </c>
      <c r="E3497" t="inlineStr">
        <is>
          <t>GÄLLIVARE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55584-2023</t>
        </is>
      </c>
      <c r="B3498" s="1" t="n">
        <v>45238</v>
      </c>
      <c r="C3498" s="1" t="n">
        <v>45895</v>
      </c>
      <c r="D3498" t="inlineStr">
        <is>
          <t>NORRBOTTENS LÄN</t>
        </is>
      </c>
      <c r="E3498" t="inlineStr">
        <is>
          <t>GÄLLIVARE</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26441-2025</t>
        </is>
      </c>
      <c r="B3499" s="1" t="n">
        <v>45807.41030092593</v>
      </c>
      <c r="C3499" s="1" t="n">
        <v>45895</v>
      </c>
      <c r="D3499" t="inlineStr">
        <is>
          <t>NORRBOTTENS LÄN</t>
        </is>
      </c>
      <c r="E3499" t="inlineStr">
        <is>
          <t>ÖVERKALIX</t>
        </is>
      </c>
      <c r="F3499" t="inlineStr">
        <is>
          <t>Sveaskog</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10269-2025</t>
        </is>
      </c>
      <c r="B3500" s="1" t="n">
        <v>45720</v>
      </c>
      <c r="C3500" s="1" t="n">
        <v>45895</v>
      </c>
      <c r="D3500" t="inlineStr">
        <is>
          <t>NORRBOTTENS LÄN</t>
        </is>
      </c>
      <c r="E3500" t="inlineStr">
        <is>
          <t>ÄLVSBYN</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35158-2024</t>
        </is>
      </c>
      <c r="B3501" s="1" t="n">
        <v>45530.39005787037</v>
      </c>
      <c r="C3501" s="1" t="n">
        <v>45895</v>
      </c>
      <c r="D3501" t="inlineStr">
        <is>
          <t>NORRBOTTENS LÄN</t>
        </is>
      </c>
      <c r="E3501" t="inlineStr">
        <is>
          <t>LULEÅ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17994-2024</t>
        </is>
      </c>
      <c r="B3502" s="1" t="n">
        <v>45419.92640046297</v>
      </c>
      <c r="C3502" s="1" t="n">
        <v>45895</v>
      </c>
      <c r="D3502" t="inlineStr">
        <is>
          <t>NORRBOTTENS LÄN</t>
        </is>
      </c>
      <c r="E3502" t="inlineStr">
        <is>
          <t>PITEÅ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60403-2023</t>
        </is>
      </c>
      <c r="B3503" s="1" t="n">
        <v>45259.46042824074</v>
      </c>
      <c r="C3503" s="1" t="n">
        <v>45895</v>
      </c>
      <c r="D3503" t="inlineStr">
        <is>
          <t>NORRBOTTENS LÄN</t>
        </is>
      </c>
      <c r="E3503" t="inlineStr">
        <is>
          <t>KALIX</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3804-2025</t>
        </is>
      </c>
      <c r="B3504" s="1" t="n">
        <v>45681.67023148148</v>
      </c>
      <c r="C3504" s="1" t="n">
        <v>45895</v>
      </c>
      <c r="D3504" t="inlineStr">
        <is>
          <t>NORRBOTTENS LÄN</t>
        </is>
      </c>
      <c r="E3504" t="inlineStr">
        <is>
          <t>KALIX</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11135-2025</t>
        </is>
      </c>
      <c r="B3505" s="1" t="n">
        <v>45723.65663194445</v>
      </c>
      <c r="C3505" s="1" t="n">
        <v>45895</v>
      </c>
      <c r="D3505" t="inlineStr">
        <is>
          <t>NORRBOTTENS LÄN</t>
        </is>
      </c>
      <c r="E3505" t="inlineStr">
        <is>
          <t>LULEÅ</t>
        </is>
      </c>
      <c r="G3505" t="n">
        <v>16.7</v>
      </c>
      <c r="H3505" t="n">
        <v>0</v>
      </c>
      <c r="I3505" t="n">
        <v>0</v>
      </c>
      <c r="J3505" t="n">
        <v>0</v>
      </c>
      <c r="K3505" t="n">
        <v>0</v>
      </c>
      <c r="L3505" t="n">
        <v>0</v>
      </c>
      <c r="M3505" t="n">
        <v>0</v>
      </c>
      <c r="N3505" t="n">
        <v>0</v>
      </c>
      <c r="O3505" t="n">
        <v>0</v>
      </c>
      <c r="P3505" t="n">
        <v>0</v>
      </c>
      <c r="Q3505" t="n">
        <v>0</v>
      </c>
      <c r="R3505" s="2" t="inlineStr"/>
    </row>
    <row r="3506" ht="15" customHeight="1">
      <c r="A3506" t="inlineStr">
        <is>
          <t>A 44869-2024</t>
        </is>
      </c>
      <c r="B3506" s="1" t="n">
        <v>45575.33265046297</v>
      </c>
      <c r="C3506" s="1" t="n">
        <v>45895</v>
      </c>
      <c r="D3506" t="inlineStr">
        <is>
          <t>NORRBOTTENS LÄN</t>
        </is>
      </c>
      <c r="E3506" t="inlineStr">
        <is>
          <t>ÖVERTORNEÅ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11329-2024</t>
        </is>
      </c>
      <c r="B3507" s="1" t="n">
        <v>45371.97140046296</v>
      </c>
      <c r="C3507" s="1" t="n">
        <v>45895</v>
      </c>
      <c r="D3507" t="inlineStr">
        <is>
          <t>NORRBOTTENS LÄN</t>
        </is>
      </c>
      <c r="E3507" t="inlineStr">
        <is>
          <t>ÖVERKALIX</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11845-2025</t>
        </is>
      </c>
      <c r="B3508" s="1" t="n">
        <v>45727</v>
      </c>
      <c r="C3508" s="1" t="n">
        <v>45895</v>
      </c>
      <c r="D3508" t="inlineStr">
        <is>
          <t>NORRBOTTENS LÄN</t>
        </is>
      </c>
      <c r="E3508" t="inlineStr">
        <is>
          <t>LULEÅ</t>
        </is>
      </c>
      <c r="G3508" t="n">
        <v>9.6</v>
      </c>
      <c r="H3508" t="n">
        <v>0</v>
      </c>
      <c r="I3508" t="n">
        <v>0</v>
      </c>
      <c r="J3508" t="n">
        <v>0</v>
      </c>
      <c r="K3508" t="n">
        <v>0</v>
      </c>
      <c r="L3508" t="n">
        <v>0</v>
      </c>
      <c r="M3508" t="n">
        <v>0</v>
      </c>
      <c r="N3508" t="n">
        <v>0</v>
      </c>
      <c r="O3508" t="n">
        <v>0</v>
      </c>
      <c r="P3508" t="n">
        <v>0</v>
      </c>
      <c r="Q3508" t="n">
        <v>0</v>
      </c>
      <c r="R3508" s="2" t="inlineStr"/>
    </row>
    <row r="3509" ht="15" customHeight="1">
      <c r="A3509" t="inlineStr">
        <is>
          <t>A 10600-2025</t>
        </is>
      </c>
      <c r="B3509" s="1" t="n">
        <v>45721</v>
      </c>
      <c r="C3509" s="1" t="n">
        <v>45895</v>
      </c>
      <c r="D3509" t="inlineStr">
        <is>
          <t>NORRBOTTENS LÄN</t>
        </is>
      </c>
      <c r="E3509" t="inlineStr">
        <is>
          <t>KALIX</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36511-2024</t>
        </is>
      </c>
      <c r="B3510" s="1" t="n">
        <v>45537</v>
      </c>
      <c r="C3510" s="1" t="n">
        <v>45895</v>
      </c>
      <c r="D3510" t="inlineStr">
        <is>
          <t>NORRBOTTENS LÄN</t>
        </is>
      </c>
      <c r="E3510" t="inlineStr">
        <is>
          <t>GÄLLIVARE</t>
        </is>
      </c>
      <c r="F3510" t="inlineStr">
        <is>
          <t>Sveaskog</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4695-2025</t>
        </is>
      </c>
      <c r="B3511" s="1" t="n">
        <v>45688.35956018518</v>
      </c>
      <c r="C3511" s="1" t="n">
        <v>45895</v>
      </c>
      <c r="D3511" t="inlineStr">
        <is>
          <t>NORRBOTTENS LÄN</t>
        </is>
      </c>
      <c r="E3511" t="inlineStr">
        <is>
          <t>PITEÅ</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38652-2024</t>
        </is>
      </c>
      <c r="B3512" s="1" t="n">
        <v>45546</v>
      </c>
      <c r="C3512" s="1" t="n">
        <v>45895</v>
      </c>
      <c r="D3512" t="inlineStr">
        <is>
          <t>NORRBOTTENS LÄN</t>
        </is>
      </c>
      <c r="E3512" t="inlineStr">
        <is>
          <t>BODEN</t>
        </is>
      </c>
      <c r="F3512" t="inlineStr">
        <is>
          <t>Sveaskog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34398-2023</t>
        </is>
      </c>
      <c r="B3513" s="1" t="n">
        <v>45139.53371527778</v>
      </c>
      <c r="C3513" s="1" t="n">
        <v>45895</v>
      </c>
      <c r="D3513" t="inlineStr">
        <is>
          <t>NORRBOTTENS LÄN</t>
        </is>
      </c>
      <c r="E3513" t="inlineStr">
        <is>
          <t>ÖVERTORNEÅ</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8008-2025</t>
        </is>
      </c>
      <c r="B3514" s="1" t="n">
        <v>45707.53890046296</v>
      </c>
      <c r="C3514" s="1" t="n">
        <v>45895</v>
      </c>
      <c r="D3514" t="inlineStr">
        <is>
          <t>NORRBOTTENS LÄN</t>
        </is>
      </c>
      <c r="E3514" t="inlineStr">
        <is>
          <t>BODEN</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47735-2024</t>
        </is>
      </c>
      <c r="B3515" s="1" t="n">
        <v>45588.51137731481</v>
      </c>
      <c r="C3515" s="1" t="n">
        <v>45895</v>
      </c>
      <c r="D3515" t="inlineStr">
        <is>
          <t>NORRBOTTENS LÄN</t>
        </is>
      </c>
      <c r="E3515" t="inlineStr">
        <is>
          <t>ÖVERKALIX</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34074-2022</t>
        </is>
      </c>
      <c r="B3516" s="1" t="n">
        <v>44791</v>
      </c>
      <c r="C3516" s="1" t="n">
        <v>45895</v>
      </c>
      <c r="D3516" t="inlineStr">
        <is>
          <t>NORRBOTTENS LÄN</t>
        </is>
      </c>
      <c r="E3516" t="inlineStr">
        <is>
          <t>PAJALA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25735-2024</t>
        </is>
      </c>
      <c r="B3517" s="1" t="n">
        <v>45464</v>
      </c>
      <c r="C3517" s="1" t="n">
        <v>45895</v>
      </c>
      <c r="D3517" t="inlineStr">
        <is>
          <t>NORRBOTTENS LÄN</t>
        </is>
      </c>
      <c r="E3517" t="inlineStr">
        <is>
          <t>BODEN</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18915-2025</t>
        </is>
      </c>
      <c r="B3518" s="1" t="n">
        <v>45764</v>
      </c>
      <c r="C3518" s="1" t="n">
        <v>45895</v>
      </c>
      <c r="D3518" t="inlineStr">
        <is>
          <t>NORRBOTTENS LÄN</t>
        </is>
      </c>
      <c r="E3518" t="inlineStr">
        <is>
          <t>BODEN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43045-2022</t>
        </is>
      </c>
      <c r="B3519" s="1" t="n">
        <v>44833</v>
      </c>
      <c r="C3519" s="1" t="n">
        <v>45895</v>
      </c>
      <c r="D3519" t="inlineStr">
        <is>
          <t>NORRBOTTENS LÄN</t>
        </is>
      </c>
      <c r="E3519" t="inlineStr">
        <is>
          <t>ARJEPLOG</t>
        </is>
      </c>
      <c r="G3519" t="n">
        <v>24.6</v>
      </c>
      <c r="H3519" t="n">
        <v>0</v>
      </c>
      <c r="I3519" t="n">
        <v>0</v>
      </c>
      <c r="J3519" t="n">
        <v>0</v>
      </c>
      <c r="K3519" t="n">
        <v>0</v>
      </c>
      <c r="L3519" t="n">
        <v>0</v>
      </c>
      <c r="M3519" t="n">
        <v>0</v>
      </c>
      <c r="N3519" t="n">
        <v>0</v>
      </c>
      <c r="O3519" t="n">
        <v>0</v>
      </c>
      <c r="P3519" t="n">
        <v>0</v>
      </c>
      <c r="Q3519" t="n">
        <v>0</v>
      </c>
      <c r="R3519" s="2" t="inlineStr"/>
    </row>
    <row r="3520" ht="15" customHeight="1">
      <c r="A3520" t="inlineStr">
        <is>
          <t>A 29797-2022</t>
        </is>
      </c>
      <c r="B3520" s="1" t="n">
        <v>44755</v>
      </c>
      <c r="C3520" s="1" t="n">
        <v>45895</v>
      </c>
      <c r="D3520" t="inlineStr">
        <is>
          <t>NORRBOTTENS LÄN</t>
        </is>
      </c>
      <c r="E3520" t="inlineStr">
        <is>
          <t>BODEN</t>
        </is>
      </c>
      <c r="F3520" t="inlineStr">
        <is>
          <t>Kyrkan</t>
        </is>
      </c>
      <c r="G3520" t="n">
        <v>29.2</v>
      </c>
      <c r="H3520" t="n">
        <v>0</v>
      </c>
      <c r="I3520" t="n">
        <v>0</v>
      </c>
      <c r="J3520" t="n">
        <v>0</v>
      </c>
      <c r="K3520" t="n">
        <v>0</v>
      </c>
      <c r="L3520" t="n">
        <v>0</v>
      </c>
      <c r="M3520" t="n">
        <v>0</v>
      </c>
      <c r="N3520" t="n">
        <v>0</v>
      </c>
      <c r="O3520" t="n">
        <v>0</v>
      </c>
      <c r="P3520" t="n">
        <v>0</v>
      </c>
      <c r="Q3520" t="n">
        <v>0</v>
      </c>
      <c r="R3520" s="2" t="inlineStr"/>
    </row>
    <row r="3521" ht="15" customHeight="1">
      <c r="A3521" t="inlineStr">
        <is>
          <t>A 25506-2024</t>
        </is>
      </c>
      <c r="B3521" s="1" t="n">
        <v>45463</v>
      </c>
      <c r="C3521" s="1" t="n">
        <v>45895</v>
      </c>
      <c r="D3521" t="inlineStr">
        <is>
          <t>NORRBOTTENS LÄN</t>
        </is>
      </c>
      <c r="E3521" t="inlineStr">
        <is>
          <t>ÖVERKALIX</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26535-2025</t>
        </is>
      </c>
      <c r="B3522" s="1" t="n">
        <v>45807.57351851852</v>
      </c>
      <c r="C3522" s="1" t="n">
        <v>45895</v>
      </c>
      <c r="D3522" t="inlineStr">
        <is>
          <t>NORRBOTTENS LÄN</t>
        </is>
      </c>
      <c r="E3522" t="inlineStr">
        <is>
          <t>ÖVERKALIX</t>
        </is>
      </c>
      <c r="F3522" t="inlineStr">
        <is>
          <t>Sveaskog</t>
        </is>
      </c>
      <c r="G3522" t="n">
        <v>37.4</v>
      </c>
      <c r="H3522" t="n">
        <v>0</v>
      </c>
      <c r="I3522" t="n">
        <v>0</v>
      </c>
      <c r="J3522" t="n">
        <v>0</v>
      </c>
      <c r="K3522" t="n">
        <v>0</v>
      </c>
      <c r="L3522" t="n">
        <v>0</v>
      </c>
      <c r="M3522" t="n">
        <v>0</v>
      </c>
      <c r="N3522" t="n">
        <v>0</v>
      </c>
      <c r="O3522" t="n">
        <v>0</v>
      </c>
      <c r="P3522" t="n">
        <v>0</v>
      </c>
      <c r="Q3522" t="n">
        <v>0</v>
      </c>
      <c r="R3522" s="2" t="inlineStr"/>
    </row>
    <row r="3523" ht="15" customHeight="1">
      <c r="A3523" t="inlineStr">
        <is>
          <t>A 24513-2024</t>
        </is>
      </c>
      <c r="B3523" s="1" t="n">
        <v>45460.34864583334</v>
      </c>
      <c r="C3523" s="1" t="n">
        <v>45895</v>
      </c>
      <c r="D3523" t="inlineStr">
        <is>
          <t>NORRBOTTENS LÄN</t>
        </is>
      </c>
      <c r="E3523" t="inlineStr">
        <is>
          <t>PITEÅ</t>
        </is>
      </c>
      <c r="F3523" t="inlineStr">
        <is>
          <t>Sveaskog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5709-2023</t>
        </is>
      </c>
      <c r="B3524" s="1" t="n">
        <v>44960</v>
      </c>
      <c r="C3524" s="1" t="n">
        <v>45895</v>
      </c>
      <c r="D3524" t="inlineStr">
        <is>
          <t>NORRBOTTENS LÄN</t>
        </is>
      </c>
      <c r="E3524" t="inlineStr">
        <is>
          <t>GÄLLIVARE</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18740-2022</t>
        </is>
      </c>
      <c r="B3525" s="1" t="n">
        <v>44687</v>
      </c>
      <c r="C3525" s="1" t="n">
        <v>45895</v>
      </c>
      <c r="D3525" t="inlineStr">
        <is>
          <t>NORRBOTTENS LÄN</t>
        </is>
      </c>
      <c r="E3525" t="inlineStr">
        <is>
          <t>PITEÅ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56474-2023</t>
        </is>
      </c>
      <c r="B3526" s="1" t="n">
        <v>45243.48854166667</v>
      </c>
      <c r="C3526" s="1" t="n">
        <v>45895</v>
      </c>
      <c r="D3526" t="inlineStr">
        <is>
          <t>NORRBOTTENS LÄN</t>
        </is>
      </c>
      <c r="E3526" t="inlineStr">
        <is>
          <t>BODEN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49877-2023</t>
        </is>
      </c>
      <c r="B3527" s="1" t="n">
        <v>45212.95590277778</v>
      </c>
      <c r="C3527" s="1" t="n">
        <v>45895</v>
      </c>
      <c r="D3527" t="inlineStr">
        <is>
          <t>NORRBOTTENS LÄN</t>
        </is>
      </c>
      <c r="E3527" t="inlineStr">
        <is>
          <t>GÄLLIVARE</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53624-2023</t>
        </is>
      </c>
      <c r="B3528" s="1" t="n">
        <v>45224</v>
      </c>
      <c r="C3528" s="1" t="n">
        <v>45895</v>
      </c>
      <c r="D3528" t="inlineStr">
        <is>
          <t>NORRBOTTENS LÄN</t>
        </is>
      </c>
      <c r="E3528" t="inlineStr">
        <is>
          <t>LULEÅ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40771-2023</t>
        </is>
      </c>
      <c r="B3529" s="1" t="n">
        <v>45170.95657407407</v>
      </c>
      <c r="C3529" s="1" t="n">
        <v>45895</v>
      </c>
      <c r="D3529" t="inlineStr">
        <is>
          <t>NORRBOTTENS LÄN</t>
        </is>
      </c>
      <c r="E3529" t="inlineStr">
        <is>
          <t>JOKKMOKK</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10851-2025</t>
        </is>
      </c>
      <c r="B3530" s="1" t="n">
        <v>45722</v>
      </c>
      <c r="C3530" s="1" t="n">
        <v>45895</v>
      </c>
      <c r="D3530" t="inlineStr">
        <is>
          <t>NORRBOTTENS LÄN</t>
        </is>
      </c>
      <c r="E3530" t="inlineStr">
        <is>
          <t>ARVIDSJAUR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48642-2023</t>
        </is>
      </c>
      <c r="B3531" s="1" t="n">
        <v>45208</v>
      </c>
      <c r="C3531" s="1" t="n">
        <v>45895</v>
      </c>
      <c r="D3531" t="inlineStr">
        <is>
          <t>NORRBOTTENS LÄN</t>
        </is>
      </c>
      <c r="E3531" t="inlineStr">
        <is>
          <t>LULEÅ</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24564-2022</t>
        </is>
      </c>
      <c r="B3532" s="1" t="n">
        <v>44726</v>
      </c>
      <c r="C3532" s="1" t="n">
        <v>45895</v>
      </c>
      <c r="D3532" t="inlineStr">
        <is>
          <t>NORRBOTTENS LÄN</t>
        </is>
      </c>
      <c r="E3532" t="inlineStr">
        <is>
          <t>GÄLLIVARE</t>
        </is>
      </c>
      <c r="G3532" t="n">
        <v>12.9</v>
      </c>
      <c r="H3532" t="n">
        <v>0</v>
      </c>
      <c r="I3532" t="n">
        <v>0</v>
      </c>
      <c r="J3532" t="n">
        <v>0</v>
      </c>
      <c r="K3532" t="n">
        <v>0</v>
      </c>
      <c r="L3532" t="n">
        <v>0</v>
      </c>
      <c r="M3532" t="n">
        <v>0</v>
      </c>
      <c r="N3532" t="n">
        <v>0</v>
      </c>
      <c r="O3532" t="n">
        <v>0</v>
      </c>
      <c r="P3532" t="n">
        <v>0</v>
      </c>
      <c r="Q3532" t="n">
        <v>0</v>
      </c>
      <c r="R3532" s="2" t="inlineStr"/>
    </row>
    <row r="3533" ht="15" customHeight="1">
      <c r="A3533" t="inlineStr">
        <is>
          <t>A 48688-2023</t>
        </is>
      </c>
      <c r="B3533" s="1" t="n">
        <v>45202</v>
      </c>
      <c r="C3533" s="1" t="n">
        <v>45895</v>
      </c>
      <c r="D3533" t="inlineStr">
        <is>
          <t>NORRBOTTENS LÄN</t>
        </is>
      </c>
      <c r="E3533" t="inlineStr">
        <is>
          <t>PITEÅ</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38874-2023</t>
        </is>
      </c>
      <c r="B3534" s="1" t="n">
        <v>45161</v>
      </c>
      <c r="C3534" s="1" t="n">
        <v>45895</v>
      </c>
      <c r="D3534" t="inlineStr">
        <is>
          <t>NORRBOTTENS LÄN</t>
        </is>
      </c>
      <c r="E3534" t="inlineStr">
        <is>
          <t>BODEN</t>
        </is>
      </c>
      <c r="G3534" t="n">
        <v>15.5</v>
      </c>
      <c r="H3534" t="n">
        <v>0</v>
      </c>
      <c r="I3534" t="n">
        <v>0</v>
      </c>
      <c r="J3534" t="n">
        <v>0</v>
      </c>
      <c r="K3534" t="n">
        <v>0</v>
      </c>
      <c r="L3534" t="n">
        <v>0</v>
      </c>
      <c r="M3534" t="n">
        <v>0</v>
      </c>
      <c r="N3534" t="n">
        <v>0</v>
      </c>
      <c r="O3534" t="n">
        <v>0</v>
      </c>
      <c r="P3534" t="n">
        <v>0</v>
      </c>
      <c r="Q3534" t="n">
        <v>0</v>
      </c>
      <c r="R3534" s="2" t="inlineStr"/>
    </row>
    <row r="3535" ht="15" customHeight="1">
      <c r="A3535" t="inlineStr">
        <is>
          <t>A 24400-2022</t>
        </is>
      </c>
      <c r="B3535" s="1" t="n">
        <v>44726.48164351852</v>
      </c>
      <c r="C3535" s="1" t="n">
        <v>45895</v>
      </c>
      <c r="D3535" t="inlineStr">
        <is>
          <t>NORRBOTTENS LÄN</t>
        </is>
      </c>
      <c r="E3535" t="inlineStr">
        <is>
          <t>BODEN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9488-2024</t>
        </is>
      </c>
      <c r="B3536" s="1" t="n">
        <v>45359.58478009259</v>
      </c>
      <c r="C3536" s="1" t="n">
        <v>45895</v>
      </c>
      <c r="D3536" t="inlineStr">
        <is>
          <t>NORRBOTTENS LÄN</t>
        </is>
      </c>
      <c r="E3536" t="inlineStr">
        <is>
          <t>HAPARANDA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6822-2025</t>
        </is>
      </c>
      <c r="B3537" s="1" t="n">
        <v>45700.71971064815</v>
      </c>
      <c r="C3537" s="1" t="n">
        <v>45895</v>
      </c>
      <c r="D3537" t="inlineStr">
        <is>
          <t>NORRBOTTENS LÄN</t>
        </is>
      </c>
      <c r="E3537" t="inlineStr">
        <is>
          <t>KALIX</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5209-2025</t>
        </is>
      </c>
      <c r="B3538" s="1" t="n">
        <v>45691.67776620371</v>
      </c>
      <c r="C3538" s="1" t="n">
        <v>45895</v>
      </c>
      <c r="D3538" t="inlineStr">
        <is>
          <t>NORRBOTTENS LÄN</t>
        </is>
      </c>
      <c r="E3538" t="inlineStr">
        <is>
          <t>ÖVERKALIX</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25149-2022</t>
        </is>
      </c>
      <c r="B3539" s="1" t="n">
        <v>44729</v>
      </c>
      <c r="C3539" s="1" t="n">
        <v>45895</v>
      </c>
      <c r="D3539" t="inlineStr">
        <is>
          <t>NORRBOTTENS LÄN</t>
        </is>
      </c>
      <c r="E3539" t="inlineStr">
        <is>
          <t>ÖVERTORNEÅ</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5526-2025</t>
        </is>
      </c>
      <c r="B3540" s="1" t="n">
        <v>45693.42834490741</v>
      </c>
      <c r="C3540" s="1" t="n">
        <v>45895</v>
      </c>
      <c r="D3540" t="inlineStr">
        <is>
          <t>NORRBOTTENS LÄN</t>
        </is>
      </c>
      <c r="E3540" t="inlineStr">
        <is>
          <t>ÖVERKALIX</t>
        </is>
      </c>
      <c r="F3540" t="inlineStr">
        <is>
          <t>SCA</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5535-2025</t>
        </is>
      </c>
      <c r="B3541" s="1" t="n">
        <v>45693.44825231482</v>
      </c>
      <c r="C3541" s="1" t="n">
        <v>45895</v>
      </c>
      <c r="D3541" t="inlineStr">
        <is>
          <t>NORRBOTTENS LÄN</t>
        </is>
      </c>
      <c r="E3541" t="inlineStr">
        <is>
          <t>PAJALA</t>
        </is>
      </c>
      <c r="F3541" t="inlineStr">
        <is>
          <t>SCA</t>
        </is>
      </c>
      <c r="G3541" t="n">
        <v>20.4</v>
      </c>
      <c r="H3541" t="n">
        <v>0</v>
      </c>
      <c r="I3541" t="n">
        <v>0</v>
      </c>
      <c r="J3541" t="n">
        <v>0</v>
      </c>
      <c r="K3541" t="n">
        <v>0</v>
      </c>
      <c r="L3541" t="n">
        <v>0</v>
      </c>
      <c r="M3541" t="n">
        <v>0</v>
      </c>
      <c r="N3541" t="n">
        <v>0</v>
      </c>
      <c r="O3541" t="n">
        <v>0</v>
      </c>
      <c r="P3541" t="n">
        <v>0</v>
      </c>
      <c r="Q3541" t="n">
        <v>0</v>
      </c>
      <c r="R3541" s="2" t="inlineStr"/>
    </row>
    <row r="3542" ht="15" customHeight="1">
      <c r="A3542" t="inlineStr">
        <is>
          <t>A 47239-2023</t>
        </is>
      </c>
      <c r="B3542" s="1" t="n">
        <v>45196</v>
      </c>
      <c r="C3542" s="1" t="n">
        <v>45895</v>
      </c>
      <c r="D3542" t="inlineStr">
        <is>
          <t>NORRBOTTENS LÄN</t>
        </is>
      </c>
      <c r="E3542" t="inlineStr">
        <is>
          <t>GÄLLIVARE</t>
        </is>
      </c>
      <c r="F3542" t="inlineStr">
        <is>
          <t>Övriga statliga verk och myndigheter</t>
        </is>
      </c>
      <c r="G3542" t="n">
        <v>28.1</v>
      </c>
      <c r="H3542" t="n">
        <v>0</v>
      </c>
      <c r="I3542" t="n">
        <v>0</v>
      </c>
      <c r="J3542" t="n">
        <v>0</v>
      </c>
      <c r="K3542" t="n">
        <v>0</v>
      </c>
      <c r="L3542" t="n">
        <v>0</v>
      </c>
      <c r="M3542" t="n">
        <v>0</v>
      </c>
      <c r="N3542" t="n">
        <v>0</v>
      </c>
      <c r="O3542" t="n">
        <v>0</v>
      </c>
      <c r="P3542" t="n">
        <v>0</v>
      </c>
      <c r="Q3542" t="n">
        <v>0</v>
      </c>
      <c r="R3542" s="2" t="inlineStr"/>
    </row>
    <row r="3543" ht="15" customHeight="1">
      <c r="A3543" t="inlineStr">
        <is>
          <t>A 60214-2024</t>
        </is>
      </c>
      <c r="B3543" s="1" t="n">
        <v>45642.68184027778</v>
      </c>
      <c r="C3543" s="1" t="n">
        <v>45895</v>
      </c>
      <c r="D3543" t="inlineStr">
        <is>
          <t>NORRBOTTENS LÄN</t>
        </is>
      </c>
      <c r="E3543" t="inlineStr">
        <is>
          <t>HAPARANDA</t>
        </is>
      </c>
      <c r="G3543" t="n">
        <v>11.7</v>
      </c>
      <c r="H3543" t="n">
        <v>0</v>
      </c>
      <c r="I3543" t="n">
        <v>0</v>
      </c>
      <c r="J3543" t="n">
        <v>0</v>
      </c>
      <c r="K3543" t="n">
        <v>0</v>
      </c>
      <c r="L3543" t="n">
        <v>0</v>
      </c>
      <c r="M3543" t="n">
        <v>0</v>
      </c>
      <c r="N3543" t="n">
        <v>0</v>
      </c>
      <c r="O3543" t="n">
        <v>0</v>
      </c>
      <c r="P3543" t="n">
        <v>0</v>
      </c>
      <c r="Q3543" t="n">
        <v>0</v>
      </c>
      <c r="R3543" s="2" t="inlineStr"/>
    </row>
    <row r="3544" ht="15" customHeight="1">
      <c r="A3544" t="inlineStr">
        <is>
          <t>A 60219-2024</t>
        </is>
      </c>
      <c r="B3544" s="1" t="n">
        <v>45642.6925</v>
      </c>
      <c r="C3544" s="1" t="n">
        <v>45895</v>
      </c>
      <c r="D3544" t="inlineStr">
        <is>
          <t>NORRBOTTENS LÄN</t>
        </is>
      </c>
      <c r="E3544" t="inlineStr">
        <is>
          <t>HAPARANDA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39060-2024</t>
        </is>
      </c>
      <c r="B3545" s="1" t="n">
        <v>45548</v>
      </c>
      <c r="C3545" s="1" t="n">
        <v>45895</v>
      </c>
      <c r="D3545" t="inlineStr">
        <is>
          <t>NORRBOTTENS LÄN</t>
        </is>
      </c>
      <c r="E3545" t="inlineStr">
        <is>
          <t>GÄLLIVARE</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55422-2021</t>
        </is>
      </c>
      <c r="B3546" s="1" t="n">
        <v>44475</v>
      </c>
      <c r="C3546" s="1" t="n">
        <v>45895</v>
      </c>
      <c r="D3546" t="inlineStr">
        <is>
          <t>NORRBOTTENS LÄN</t>
        </is>
      </c>
      <c r="E3546" t="inlineStr">
        <is>
          <t>ARJEPLOG</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40910-2024</t>
        </is>
      </c>
      <c r="B3547" s="1" t="n">
        <v>45558</v>
      </c>
      <c r="C3547" s="1" t="n">
        <v>45895</v>
      </c>
      <c r="D3547" t="inlineStr">
        <is>
          <t>NORRBOTTENS LÄN</t>
        </is>
      </c>
      <c r="E3547" t="inlineStr">
        <is>
          <t>PAJALA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40952-2024</t>
        </is>
      </c>
      <c r="B3548" s="1" t="n">
        <v>45558</v>
      </c>
      <c r="C3548" s="1" t="n">
        <v>45895</v>
      </c>
      <c r="D3548" t="inlineStr">
        <is>
          <t>NORRBOTTENS LÄN</t>
        </is>
      </c>
      <c r="E3548" t="inlineStr">
        <is>
          <t>KALIX</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43045-2022</t>
        </is>
      </c>
      <c r="B3549" s="1" t="n">
        <v>44833</v>
      </c>
      <c r="C3549" s="1" t="n">
        <v>45895</v>
      </c>
      <c r="D3549" t="inlineStr">
        <is>
          <t>NORRBOTTENS LÄN</t>
        </is>
      </c>
      <c r="E3549" t="inlineStr">
        <is>
          <t>ARJEPLOG</t>
        </is>
      </c>
      <c r="G3549" t="n">
        <v>23.2</v>
      </c>
      <c r="H3549" t="n">
        <v>0</v>
      </c>
      <c r="I3549" t="n">
        <v>0</v>
      </c>
      <c r="J3549" t="n">
        <v>0</v>
      </c>
      <c r="K3549" t="n">
        <v>0</v>
      </c>
      <c r="L3549" t="n">
        <v>0</v>
      </c>
      <c r="M3549" t="n">
        <v>0</v>
      </c>
      <c r="N3549" t="n">
        <v>0</v>
      </c>
      <c r="O3549" t="n">
        <v>0</v>
      </c>
      <c r="P3549" t="n">
        <v>0</v>
      </c>
      <c r="Q3549" t="n">
        <v>0</v>
      </c>
      <c r="R3549" s="2" t="inlineStr"/>
    </row>
    <row r="3550" ht="15" customHeight="1">
      <c r="A3550" t="inlineStr">
        <is>
          <t>A 58315-2024</t>
        </is>
      </c>
      <c r="B3550" s="1" t="n">
        <v>45632</v>
      </c>
      <c r="C3550" s="1" t="n">
        <v>45895</v>
      </c>
      <c r="D3550" t="inlineStr">
        <is>
          <t>NORRBOTTENS LÄN</t>
        </is>
      </c>
      <c r="E3550" t="inlineStr">
        <is>
          <t>ÄLVSBYN</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3747-2024</t>
        </is>
      </c>
      <c r="B3551" s="1" t="n">
        <v>45321</v>
      </c>
      <c r="C3551" s="1" t="n">
        <v>45895</v>
      </c>
      <c r="D3551" t="inlineStr">
        <is>
          <t>NORRBOTTENS LÄN</t>
        </is>
      </c>
      <c r="E3551" t="inlineStr">
        <is>
          <t>KALIX</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10353-2022</t>
        </is>
      </c>
      <c r="B3552" s="1" t="n">
        <v>44622</v>
      </c>
      <c r="C3552" s="1" t="n">
        <v>45895</v>
      </c>
      <c r="D3552" t="inlineStr">
        <is>
          <t>NORRBOTTENS LÄN</t>
        </is>
      </c>
      <c r="E3552" t="inlineStr">
        <is>
          <t>PITEÅ</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52397-2023</t>
        </is>
      </c>
      <c r="B3553" s="1" t="n">
        <v>45224</v>
      </c>
      <c r="C3553" s="1" t="n">
        <v>45895</v>
      </c>
      <c r="D3553" t="inlineStr">
        <is>
          <t>NORRBOTTENS LÄN</t>
        </is>
      </c>
      <c r="E3553" t="inlineStr">
        <is>
          <t>ÄLVSBYN</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24192-2024</t>
        </is>
      </c>
      <c r="B3554" s="1" t="n">
        <v>45456</v>
      </c>
      <c r="C3554" s="1" t="n">
        <v>45895</v>
      </c>
      <c r="D3554" t="inlineStr">
        <is>
          <t>NORRBOTTENS LÄN</t>
        </is>
      </c>
      <c r="E3554" t="inlineStr">
        <is>
          <t>BODEN</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5398-2025</t>
        </is>
      </c>
      <c r="B3555" s="1" t="n">
        <v>45692.63893518518</v>
      </c>
      <c r="C3555" s="1" t="n">
        <v>45895</v>
      </c>
      <c r="D3555" t="inlineStr">
        <is>
          <t>NORRBOTTENS LÄN</t>
        </is>
      </c>
      <c r="E3555" t="inlineStr">
        <is>
          <t>KALIX</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61031-2024</t>
        </is>
      </c>
      <c r="B3556" s="1" t="n">
        <v>45645.46262731482</v>
      </c>
      <c r="C3556" s="1" t="n">
        <v>45895</v>
      </c>
      <c r="D3556" t="inlineStr">
        <is>
          <t>NORRBOTTENS LÄN</t>
        </is>
      </c>
      <c r="E3556" t="inlineStr">
        <is>
          <t>BODEN</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19564-2024</t>
        </is>
      </c>
      <c r="B3557" s="1" t="n">
        <v>45429</v>
      </c>
      <c r="C3557" s="1" t="n">
        <v>45895</v>
      </c>
      <c r="D3557" t="inlineStr">
        <is>
          <t>NORRBOTTENS LÄN</t>
        </is>
      </c>
      <c r="E3557" t="inlineStr">
        <is>
          <t>BODEN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2175-2022</t>
        </is>
      </c>
      <c r="B3558" s="1" t="n">
        <v>44578</v>
      </c>
      <c r="C3558" s="1" t="n">
        <v>45895</v>
      </c>
      <c r="D3558" t="inlineStr">
        <is>
          <t>NORRBOTTENS LÄN</t>
        </is>
      </c>
      <c r="E3558" t="inlineStr">
        <is>
          <t>PAJALA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26502-2025</t>
        </is>
      </c>
      <c r="B3559" s="1" t="n">
        <v>45807.51821759259</v>
      </c>
      <c r="C3559" s="1" t="n">
        <v>45895</v>
      </c>
      <c r="D3559" t="inlineStr">
        <is>
          <t>NORRBOTTENS LÄN</t>
        </is>
      </c>
      <c r="E3559" t="inlineStr">
        <is>
          <t>ÖVERTORNEÅ</t>
        </is>
      </c>
      <c r="F3559" t="inlineStr">
        <is>
          <t>Sveaskog</t>
        </is>
      </c>
      <c r="G3559" t="n">
        <v>39.8</v>
      </c>
      <c r="H3559" t="n">
        <v>0</v>
      </c>
      <c r="I3559" t="n">
        <v>0</v>
      </c>
      <c r="J3559" t="n">
        <v>0</v>
      </c>
      <c r="K3559" t="n">
        <v>0</v>
      </c>
      <c r="L3559" t="n">
        <v>0</v>
      </c>
      <c r="M3559" t="n">
        <v>0</v>
      </c>
      <c r="N3559" t="n">
        <v>0</v>
      </c>
      <c r="O3559" t="n">
        <v>0</v>
      </c>
      <c r="P3559" t="n">
        <v>0</v>
      </c>
      <c r="Q3559" t="n">
        <v>0</v>
      </c>
      <c r="R3559" s="2" t="inlineStr"/>
    </row>
    <row r="3560" ht="15" customHeight="1">
      <c r="A3560" t="inlineStr">
        <is>
          <t>A 51456-2023</t>
        </is>
      </c>
      <c r="B3560" s="1" t="n">
        <v>45220</v>
      </c>
      <c r="C3560" s="1" t="n">
        <v>45895</v>
      </c>
      <c r="D3560" t="inlineStr">
        <is>
          <t>NORRBOTTENS LÄN</t>
        </is>
      </c>
      <c r="E3560" t="inlineStr">
        <is>
          <t>ÄLVSBYN</t>
        </is>
      </c>
      <c r="F3560" t="inlineStr">
        <is>
          <t>SCA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63264-2020</t>
        </is>
      </c>
      <c r="B3561" s="1" t="n">
        <v>44164</v>
      </c>
      <c r="C3561" s="1" t="n">
        <v>45895</v>
      </c>
      <c r="D3561" t="inlineStr">
        <is>
          <t>NORRBOTTENS LÄN</t>
        </is>
      </c>
      <c r="E3561" t="inlineStr">
        <is>
          <t>BODEN</t>
        </is>
      </c>
      <c r="F3561" t="inlineStr">
        <is>
          <t>Kommuner</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46944-2024</t>
        </is>
      </c>
      <c r="B3562" s="1" t="n">
        <v>45585.7653587963</v>
      </c>
      <c r="C3562" s="1" t="n">
        <v>45895</v>
      </c>
      <c r="D3562" t="inlineStr">
        <is>
          <t>NORRBOTTENS LÄN</t>
        </is>
      </c>
      <c r="E3562" t="inlineStr">
        <is>
          <t>PITEÅ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17899-2025</t>
        </is>
      </c>
      <c r="B3563" s="1" t="n">
        <v>45758.69832175926</v>
      </c>
      <c r="C3563" s="1" t="n">
        <v>45895</v>
      </c>
      <c r="D3563" t="inlineStr">
        <is>
          <t>NORRBOTTENS LÄN</t>
        </is>
      </c>
      <c r="E3563" t="inlineStr">
        <is>
          <t>LULEÅ</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6423-2025</t>
        </is>
      </c>
      <c r="B3564" s="1" t="n">
        <v>45699</v>
      </c>
      <c r="C3564" s="1" t="n">
        <v>45895</v>
      </c>
      <c r="D3564" t="inlineStr">
        <is>
          <t>NORRBOTTENS LÄN</t>
        </is>
      </c>
      <c r="E3564" t="inlineStr">
        <is>
          <t>ÖVERTORNEÅ</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6187-2025</t>
        </is>
      </c>
      <c r="B3565" s="1" t="n">
        <v>45698.45962962963</v>
      </c>
      <c r="C3565" s="1" t="n">
        <v>45895</v>
      </c>
      <c r="D3565" t="inlineStr">
        <is>
          <t>NORRBOTTENS LÄN</t>
        </is>
      </c>
      <c r="E3565" t="inlineStr">
        <is>
          <t>KALIX</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26811-2022</t>
        </is>
      </c>
      <c r="B3566" s="1" t="n">
        <v>44735</v>
      </c>
      <c r="C3566" s="1" t="n">
        <v>45895</v>
      </c>
      <c r="D3566" t="inlineStr">
        <is>
          <t>NORRBOTTENS LÄN</t>
        </is>
      </c>
      <c r="E3566" t="inlineStr">
        <is>
          <t>ARJEPLOG</t>
        </is>
      </c>
      <c r="F3566" t="inlineStr">
        <is>
          <t>Övriga statliga verk och myndigheter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32754-2022</t>
        </is>
      </c>
      <c r="B3567" s="1" t="n">
        <v>44783.85420138889</v>
      </c>
      <c r="C3567" s="1" t="n">
        <v>45895</v>
      </c>
      <c r="D3567" t="inlineStr">
        <is>
          <t>NORRBOTTENS LÄN</t>
        </is>
      </c>
      <c r="E3567" t="inlineStr">
        <is>
          <t>BODEN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26596-2025</t>
        </is>
      </c>
      <c r="B3568" s="1" t="n">
        <v>45808</v>
      </c>
      <c r="C3568" s="1" t="n">
        <v>45895</v>
      </c>
      <c r="D3568" t="inlineStr">
        <is>
          <t>NORRBOTTENS LÄN</t>
        </is>
      </c>
      <c r="E3568" t="inlineStr">
        <is>
          <t>ÄLVSBYN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34337-2022</t>
        </is>
      </c>
      <c r="B3569" s="1" t="n">
        <v>44792</v>
      </c>
      <c r="C3569" s="1" t="n">
        <v>45895</v>
      </c>
      <c r="D3569" t="inlineStr">
        <is>
          <t>NORRBOTTENS LÄN</t>
        </is>
      </c>
      <c r="E3569" t="inlineStr">
        <is>
          <t>PITEÅ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16471-2022</t>
        </is>
      </c>
      <c r="B3570" s="1" t="n">
        <v>44671</v>
      </c>
      <c r="C3570" s="1" t="n">
        <v>45895</v>
      </c>
      <c r="D3570" t="inlineStr">
        <is>
          <t>NORRBOTTENS LÄN</t>
        </is>
      </c>
      <c r="E3570" t="inlineStr">
        <is>
          <t>ÖVERTORNEÅ</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16702-2025</t>
        </is>
      </c>
      <c r="B3571" s="1" t="n">
        <v>45754.46898148148</v>
      </c>
      <c r="C3571" s="1" t="n">
        <v>45895</v>
      </c>
      <c r="D3571" t="inlineStr">
        <is>
          <t>NORRBOTTENS LÄN</t>
        </is>
      </c>
      <c r="E3571" t="inlineStr">
        <is>
          <t>PITEÅ</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16566-2022</t>
        </is>
      </c>
      <c r="B3572" s="1" t="n">
        <v>44672</v>
      </c>
      <c r="C3572" s="1" t="n">
        <v>45895</v>
      </c>
      <c r="D3572" t="inlineStr">
        <is>
          <t>NORRBOTTENS LÄN</t>
        </is>
      </c>
      <c r="E3572" t="inlineStr">
        <is>
          <t>ÖVERTORNEÅ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62298-2022</t>
        </is>
      </c>
      <c r="B3573" s="1" t="n">
        <v>44923</v>
      </c>
      <c r="C3573" s="1" t="n">
        <v>45895</v>
      </c>
      <c r="D3573" t="inlineStr">
        <is>
          <t>NORRBOTTENS LÄN</t>
        </is>
      </c>
      <c r="E3573" t="inlineStr">
        <is>
          <t>PAJALA</t>
        </is>
      </c>
      <c r="G3573" t="n">
        <v>38.8</v>
      </c>
      <c r="H3573" t="n">
        <v>0</v>
      </c>
      <c r="I3573" t="n">
        <v>0</v>
      </c>
      <c r="J3573" t="n">
        <v>0</v>
      </c>
      <c r="K3573" t="n">
        <v>0</v>
      </c>
      <c r="L3573" t="n">
        <v>0</v>
      </c>
      <c r="M3573" t="n">
        <v>0</v>
      </c>
      <c r="N3573" t="n">
        <v>0</v>
      </c>
      <c r="O3573" t="n">
        <v>0</v>
      </c>
      <c r="P3573" t="n">
        <v>0</v>
      </c>
      <c r="Q3573" t="n">
        <v>0</v>
      </c>
      <c r="R3573" s="2" t="inlineStr"/>
    </row>
    <row r="3574" ht="15" customHeight="1">
      <c r="A3574" t="inlineStr">
        <is>
          <t>A 22996-2024</t>
        </is>
      </c>
      <c r="B3574" s="1" t="n">
        <v>45450</v>
      </c>
      <c r="C3574" s="1" t="n">
        <v>45895</v>
      </c>
      <c r="D3574" t="inlineStr">
        <is>
          <t>NORRBOTTENS LÄN</t>
        </is>
      </c>
      <c r="E3574" t="inlineStr">
        <is>
          <t>ARVIDSJAUR</t>
        </is>
      </c>
      <c r="F3574" t="inlineStr">
        <is>
          <t>Sveaskog</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8283-2025</t>
        </is>
      </c>
      <c r="B3575" s="1" t="n">
        <v>45708.56344907408</v>
      </c>
      <c r="C3575" s="1" t="n">
        <v>45895</v>
      </c>
      <c r="D3575" t="inlineStr">
        <is>
          <t>NORRBOTTENS LÄN</t>
        </is>
      </c>
      <c r="E3575" t="inlineStr">
        <is>
          <t>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8292-2025</t>
        </is>
      </c>
      <c r="B3576" s="1" t="n">
        <v>45708.57732638889</v>
      </c>
      <c r="C3576" s="1" t="n">
        <v>45895</v>
      </c>
      <c r="D3576" t="inlineStr">
        <is>
          <t>NORRBOTTENS LÄN</t>
        </is>
      </c>
      <c r="E3576" t="inlineStr">
        <is>
          <t>KALIX</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60888-2021</t>
        </is>
      </c>
      <c r="B3577" s="1" t="n">
        <v>44497</v>
      </c>
      <c r="C3577" s="1" t="n">
        <v>45895</v>
      </c>
      <c r="D3577" t="inlineStr">
        <is>
          <t>NORRBOTTENS LÄN</t>
        </is>
      </c>
      <c r="E3577" t="inlineStr">
        <is>
          <t>ARVIDSJAUR</t>
        </is>
      </c>
      <c r="F3577" t="inlineStr">
        <is>
          <t>Sveaskog</t>
        </is>
      </c>
      <c r="G3577" t="n">
        <v>12.1</v>
      </c>
      <c r="H3577" t="n">
        <v>0</v>
      </c>
      <c r="I3577" t="n">
        <v>0</v>
      </c>
      <c r="J3577" t="n">
        <v>0</v>
      </c>
      <c r="K3577" t="n">
        <v>0</v>
      </c>
      <c r="L3577" t="n">
        <v>0</v>
      </c>
      <c r="M3577" t="n">
        <v>0</v>
      </c>
      <c r="N3577" t="n">
        <v>0</v>
      </c>
      <c r="O3577" t="n">
        <v>0</v>
      </c>
      <c r="P3577" t="n">
        <v>0</v>
      </c>
      <c r="Q3577" t="n">
        <v>0</v>
      </c>
      <c r="R3577" s="2" t="inlineStr"/>
    </row>
    <row r="3578" ht="15" customHeight="1">
      <c r="A3578" t="inlineStr">
        <is>
          <t>A 40274-2024</t>
        </is>
      </c>
      <c r="B3578" s="1" t="n">
        <v>45554</v>
      </c>
      <c r="C3578" s="1" t="n">
        <v>45895</v>
      </c>
      <c r="D3578" t="inlineStr">
        <is>
          <t>NORRBOTTENS LÄN</t>
        </is>
      </c>
      <c r="E3578" t="inlineStr">
        <is>
          <t>ÖVERTORNEÅ</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13212-2023</t>
        </is>
      </c>
      <c r="B3579" s="1" t="n">
        <v>45002</v>
      </c>
      <c r="C3579" s="1" t="n">
        <v>45895</v>
      </c>
      <c r="D3579" t="inlineStr">
        <is>
          <t>NORRBOTTENS LÄN</t>
        </is>
      </c>
      <c r="E3579" t="inlineStr">
        <is>
          <t>PAJALA</t>
        </is>
      </c>
      <c r="F3579" t="inlineStr">
        <is>
          <t>Allmännings- och besparingsskogar</t>
        </is>
      </c>
      <c r="G3579" t="n">
        <v>46.9</v>
      </c>
      <c r="H3579" t="n">
        <v>0</v>
      </c>
      <c r="I3579" t="n">
        <v>0</v>
      </c>
      <c r="J3579" t="n">
        <v>0</v>
      </c>
      <c r="K3579" t="n">
        <v>0</v>
      </c>
      <c r="L3579" t="n">
        <v>0</v>
      </c>
      <c r="M3579" t="n">
        <v>0</v>
      </c>
      <c r="N3579" t="n">
        <v>0</v>
      </c>
      <c r="O3579" t="n">
        <v>0</v>
      </c>
      <c r="P3579" t="n">
        <v>0</v>
      </c>
      <c r="Q3579" t="n">
        <v>0</v>
      </c>
      <c r="R3579" s="2" t="inlineStr"/>
    </row>
    <row r="3580" ht="15" customHeight="1">
      <c r="A3580" t="inlineStr">
        <is>
          <t>A 26945-2025</t>
        </is>
      </c>
      <c r="B3580" s="1" t="n">
        <v>45811.42734953704</v>
      </c>
      <c r="C3580" s="1" t="n">
        <v>45895</v>
      </c>
      <c r="D3580" t="inlineStr">
        <is>
          <t>NORRBOTTENS LÄN</t>
        </is>
      </c>
      <c r="E3580" t="inlineStr">
        <is>
          <t>ÖVERKALIX</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48760-2023</t>
        </is>
      </c>
      <c r="B3581" s="1" t="n">
        <v>45208.92326388889</v>
      </c>
      <c r="C3581" s="1" t="n">
        <v>45895</v>
      </c>
      <c r="D3581" t="inlineStr">
        <is>
          <t>NORRBOTTENS LÄN</t>
        </is>
      </c>
      <c r="E3581" t="inlineStr">
        <is>
          <t>GÄLLIVARE</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42721-2023</t>
        </is>
      </c>
      <c r="B3582" s="1" t="n">
        <v>45181</v>
      </c>
      <c r="C3582" s="1" t="n">
        <v>45895</v>
      </c>
      <c r="D3582" t="inlineStr">
        <is>
          <t>NORRBOTTENS LÄN</t>
        </is>
      </c>
      <c r="E3582" t="inlineStr">
        <is>
          <t>ÖVERKALIX</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48940-2023</t>
        </is>
      </c>
      <c r="B3583" s="1" t="n">
        <v>45205</v>
      </c>
      <c r="C3583" s="1" t="n">
        <v>45895</v>
      </c>
      <c r="D3583" t="inlineStr">
        <is>
          <t>NORRBOTTENS LÄN</t>
        </is>
      </c>
      <c r="E3583" t="inlineStr">
        <is>
          <t>ARJEPLOG</t>
        </is>
      </c>
      <c r="G3583" t="n">
        <v>13.5</v>
      </c>
      <c r="H3583" t="n">
        <v>0</v>
      </c>
      <c r="I3583" t="n">
        <v>0</v>
      </c>
      <c r="J3583" t="n">
        <v>0</v>
      </c>
      <c r="K3583" t="n">
        <v>0</v>
      </c>
      <c r="L3583" t="n">
        <v>0</v>
      </c>
      <c r="M3583" t="n">
        <v>0</v>
      </c>
      <c r="N3583" t="n">
        <v>0</v>
      </c>
      <c r="O3583" t="n">
        <v>0</v>
      </c>
      <c r="P3583" t="n">
        <v>0</v>
      </c>
      <c r="Q3583" t="n">
        <v>0</v>
      </c>
      <c r="R3583" s="2" t="inlineStr"/>
    </row>
    <row r="3584" ht="15" customHeight="1">
      <c r="A3584" t="inlineStr">
        <is>
          <t>A 7266-2024</t>
        </is>
      </c>
      <c r="B3584" s="1" t="n">
        <v>45344.82890046296</v>
      </c>
      <c r="C3584" s="1" t="n">
        <v>45895</v>
      </c>
      <c r="D3584" t="inlineStr">
        <is>
          <t>NORRBOTTENS LÄN</t>
        </is>
      </c>
      <c r="E3584" t="inlineStr">
        <is>
          <t>ÄLVSBYN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41291-2024</t>
        </is>
      </c>
      <c r="B3585" s="1" t="n">
        <v>45559</v>
      </c>
      <c r="C3585" s="1" t="n">
        <v>45895</v>
      </c>
      <c r="D3585" t="inlineStr">
        <is>
          <t>NORRBOTTENS LÄN</t>
        </is>
      </c>
      <c r="E3585" t="inlineStr">
        <is>
          <t>ÖVERKALIX</t>
        </is>
      </c>
      <c r="F3585" t="inlineStr">
        <is>
          <t>Sveaskog</t>
        </is>
      </c>
      <c r="G3585" t="n">
        <v>15.3</v>
      </c>
      <c r="H3585" t="n">
        <v>0</v>
      </c>
      <c r="I3585" t="n">
        <v>0</v>
      </c>
      <c r="J3585" t="n">
        <v>0</v>
      </c>
      <c r="K3585" t="n">
        <v>0</v>
      </c>
      <c r="L3585" t="n">
        <v>0</v>
      </c>
      <c r="M3585" t="n">
        <v>0</v>
      </c>
      <c r="N3585" t="n">
        <v>0</v>
      </c>
      <c r="O3585" t="n">
        <v>0</v>
      </c>
      <c r="P3585" t="n">
        <v>0</v>
      </c>
      <c r="Q3585" t="n">
        <v>0</v>
      </c>
      <c r="R3585" s="2" t="inlineStr"/>
    </row>
    <row r="3586" ht="15" customHeight="1">
      <c r="A3586" t="inlineStr">
        <is>
          <t>A 12893-2022</t>
        </is>
      </c>
      <c r="B3586" s="1" t="n">
        <v>44642</v>
      </c>
      <c r="C3586" s="1" t="n">
        <v>45895</v>
      </c>
      <c r="D3586" t="inlineStr">
        <is>
          <t>NORRBOTTENS LÄN</t>
        </is>
      </c>
      <c r="E3586" t="inlineStr">
        <is>
          <t>BODEN</t>
        </is>
      </c>
      <c r="F3586" t="inlineStr">
        <is>
          <t>Övriga statliga verk och myndigheter</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3656-2025</t>
        </is>
      </c>
      <c r="B3587" s="1" t="n">
        <v>45681</v>
      </c>
      <c r="C3587" s="1" t="n">
        <v>45895</v>
      </c>
      <c r="D3587" t="inlineStr">
        <is>
          <t>NORRBOTTENS LÄN</t>
        </is>
      </c>
      <c r="E3587" t="inlineStr">
        <is>
          <t>PITEÅ</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47097-2023</t>
        </is>
      </c>
      <c r="B3588" s="1" t="n">
        <v>45201.64971064815</v>
      </c>
      <c r="C3588" s="1" t="n">
        <v>45895</v>
      </c>
      <c r="D3588" t="inlineStr">
        <is>
          <t>NORRBOTTENS LÄN</t>
        </is>
      </c>
      <c r="E3588" t="inlineStr">
        <is>
          <t>BODEN</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8483-2021</t>
        </is>
      </c>
      <c r="B3589" s="1" t="n">
        <v>44244</v>
      </c>
      <c r="C3589" s="1" t="n">
        <v>45895</v>
      </c>
      <c r="D3589" t="inlineStr">
        <is>
          <t>NORRBOTTENS LÄN</t>
        </is>
      </c>
      <c r="E3589" t="inlineStr">
        <is>
          <t>ARVIDSJAUR</t>
        </is>
      </c>
      <c r="G3589" t="n">
        <v>33.1</v>
      </c>
      <c r="H3589" t="n">
        <v>0</v>
      </c>
      <c r="I3589" t="n">
        <v>0</v>
      </c>
      <c r="J3589" t="n">
        <v>0</v>
      </c>
      <c r="K3589" t="n">
        <v>0</v>
      </c>
      <c r="L3589" t="n">
        <v>0</v>
      </c>
      <c r="M3589" t="n">
        <v>0</v>
      </c>
      <c r="N3589" t="n">
        <v>0</v>
      </c>
      <c r="O3589" t="n">
        <v>0</v>
      </c>
      <c r="P3589" t="n">
        <v>0</v>
      </c>
      <c r="Q3589" t="n">
        <v>0</v>
      </c>
      <c r="R3589" s="2" t="inlineStr"/>
    </row>
    <row r="3590" ht="15" customHeight="1">
      <c r="A3590" t="inlineStr">
        <is>
          <t>A 43487-2021</t>
        </is>
      </c>
      <c r="B3590" s="1" t="n">
        <v>44432.92236111111</v>
      </c>
      <c r="C3590" s="1" t="n">
        <v>45895</v>
      </c>
      <c r="D3590" t="inlineStr">
        <is>
          <t>NORRBOTTENS LÄN</t>
        </is>
      </c>
      <c r="E3590" t="inlineStr">
        <is>
          <t>ÖVERTORNEÅ</t>
        </is>
      </c>
      <c r="G3590" t="n">
        <v>22.5</v>
      </c>
      <c r="H3590" t="n">
        <v>0</v>
      </c>
      <c r="I3590" t="n">
        <v>0</v>
      </c>
      <c r="J3590" t="n">
        <v>0</v>
      </c>
      <c r="K3590" t="n">
        <v>0</v>
      </c>
      <c r="L3590" t="n">
        <v>0</v>
      </c>
      <c r="M3590" t="n">
        <v>0</v>
      </c>
      <c r="N3590" t="n">
        <v>0</v>
      </c>
      <c r="O3590" t="n">
        <v>0</v>
      </c>
      <c r="P3590" t="n">
        <v>0</v>
      </c>
      <c r="Q3590" t="n">
        <v>0</v>
      </c>
      <c r="R3590" s="2" t="inlineStr"/>
    </row>
    <row r="3591" ht="15" customHeight="1">
      <c r="A3591" t="inlineStr">
        <is>
          <t>A 27336-2025</t>
        </is>
      </c>
      <c r="B3591" s="1" t="n">
        <v>45812.61493055556</v>
      </c>
      <c r="C3591" s="1" t="n">
        <v>45895</v>
      </c>
      <c r="D3591" t="inlineStr">
        <is>
          <t>NORRBOTTENS LÄN</t>
        </is>
      </c>
      <c r="E3591" t="inlineStr">
        <is>
          <t>ÖVERKALIX</t>
        </is>
      </c>
      <c r="F3591" t="inlineStr">
        <is>
          <t>SCA</t>
        </is>
      </c>
      <c r="G3591" t="n">
        <v>18.7</v>
      </c>
      <c r="H3591" t="n">
        <v>0</v>
      </c>
      <c r="I3591" t="n">
        <v>0</v>
      </c>
      <c r="J3591" t="n">
        <v>0</v>
      </c>
      <c r="K3591" t="n">
        <v>0</v>
      </c>
      <c r="L3591" t="n">
        <v>0</v>
      </c>
      <c r="M3591" t="n">
        <v>0</v>
      </c>
      <c r="N3591" t="n">
        <v>0</v>
      </c>
      <c r="O3591" t="n">
        <v>0</v>
      </c>
      <c r="P3591" t="n">
        <v>0</v>
      </c>
      <c r="Q3591" t="n">
        <v>0</v>
      </c>
      <c r="R3591" s="2" t="inlineStr"/>
    </row>
    <row r="3592" ht="15" customHeight="1">
      <c r="A3592" t="inlineStr">
        <is>
          <t>A 38938-2024</t>
        </is>
      </c>
      <c r="B3592" s="1" t="n">
        <v>45548.34413194445</v>
      </c>
      <c r="C3592" s="1" t="n">
        <v>45895</v>
      </c>
      <c r="D3592" t="inlineStr">
        <is>
          <t>NORRBOTTENS LÄN</t>
        </is>
      </c>
      <c r="E3592" t="inlineStr">
        <is>
          <t>PITEÅ</t>
        </is>
      </c>
      <c r="F3592" t="inlineStr">
        <is>
          <t>SCA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4237-2025</t>
        </is>
      </c>
      <c r="B3593" s="1" t="n">
        <v>45685</v>
      </c>
      <c r="C3593" s="1" t="n">
        <v>45895</v>
      </c>
      <c r="D3593" t="inlineStr">
        <is>
          <t>NORRBOTTENS LÄN</t>
        </is>
      </c>
      <c r="E3593" t="inlineStr">
        <is>
          <t>LULEÅ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38940-2024</t>
        </is>
      </c>
      <c r="B3594" s="1" t="n">
        <v>45548</v>
      </c>
      <c r="C3594" s="1" t="n">
        <v>45895</v>
      </c>
      <c r="D3594" t="inlineStr">
        <is>
          <t>NORRBOTTENS LÄN</t>
        </is>
      </c>
      <c r="E3594" t="inlineStr">
        <is>
          <t>ÖVERKALIX</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38994-2024</t>
        </is>
      </c>
      <c r="B3595" s="1" t="n">
        <v>45548.41165509259</v>
      </c>
      <c r="C3595" s="1" t="n">
        <v>45895</v>
      </c>
      <c r="D3595" t="inlineStr">
        <is>
          <t>NORRBOTTENS LÄN</t>
        </is>
      </c>
      <c r="E3595" t="inlineStr">
        <is>
          <t>BODEN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51794-2023</t>
        </is>
      </c>
      <c r="B3596" s="1" t="n">
        <v>45222.92427083333</v>
      </c>
      <c r="C3596" s="1" t="n">
        <v>45895</v>
      </c>
      <c r="D3596" t="inlineStr">
        <is>
          <t>NORRBOTTENS LÄN</t>
        </is>
      </c>
      <c r="E3596" t="inlineStr">
        <is>
          <t>ÄLVSBYN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59331-2021</t>
        </is>
      </c>
      <c r="B3597" s="1" t="n">
        <v>44490</v>
      </c>
      <c r="C3597" s="1" t="n">
        <v>45895</v>
      </c>
      <c r="D3597" t="inlineStr">
        <is>
          <t>NORRBOTTENS LÄN</t>
        </is>
      </c>
      <c r="E3597" t="inlineStr">
        <is>
          <t>BODEN</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822-2025</t>
        </is>
      </c>
      <c r="B3598" s="1" t="n">
        <v>45664</v>
      </c>
      <c r="C3598" s="1" t="n">
        <v>45895</v>
      </c>
      <c r="D3598" t="inlineStr">
        <is>
          <t>NORRBOTTENS LÄN</t>
        </is>
      </c>
      <c r="E3598" t="inlineStr">
        <is>
          <t>LULEÅ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63954-2023</t>
        </is>
      </c>
      <c r="B3599" s="1" t="n">
        <v>45278</v>
      </c>
      <c r="C3599" s="1" t="n">
        <v>45895</v>
      </c>
      <c r="D3599" t="inlineStr">
        <is>
          <t>NORRBOTTENS LÄN</t>
        </is>
      </c>
      <c r="E3599" t="inlineStr">
        <is>
          <t>ÄLVSBYN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20505-2023</t>
        </is>
      </c>
      <c r="B3600" s="1" t="n">
        <v>45054</v>
      </c>
      <c r="C3600" s="1" t="n">
        <v>45895</v>
      </c>
      <c r="D3600" t="inlineStr">
        <is>
          <t>NORRBOTTENS LÄN</t>
        </is>
      </c>
      <c r="E3600" t="inlineStr">
        <is>
          <t>BODEN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46305-2023</t>
        </is>
      </c>
      <c r="B3601" s="1" t="n">
        <v>45191</v>
      </c>
      <c r="C3601" s="1" t="n">
        <v>45895</v>
      </c>
      <c r="D3601" t="inlineStr">
        <is>
          <t>NORRBOTTENS LÄN</t>
        </is>
      </c>
      <c r="E3601" t="inlineStr">
        <is>
          <t>HAPARANDA</t>
        </is>
      </c>
      <c r="G3601" t="n">
        <v>14.9</v>
      </c>
      <c r="H3601" t="n">
        <v>0</v>
      </c>
      <c r="I3601" t="n">
        <v>0</v>
      </c>
      <c r="J3601" t="n">
        <v>0</v>
      </c>
      <c r="K3601" t="n">
        <v>0</v>
      </c>
      <c r="L3601" t="n">
        <v>0</v>
      </c>
      <c r="M3601" t="n">
        <v>0</v>
      </c>
      <c r="N3601" t="n">
        <v>0</v>
      </c>
      <c r="O3601" t="n">
        <v>0</v>
      </c>
      <c r="P3601" t="n">
        <v>0</v>
      </c>
      <c r="Q3601" t="n">
        <v>0</v>
      </c>
      <c r="R3601" s="2" t="inlineStr"/>
    </row>
    <row r="3602" ht="15" customHeight="1">
      <c r="A3602" t="inlineStr">
        <is>
          <t>A 33435-2023</t>
        </is>
      </c>
      <c r="B3602" s="1" t="n">
        <v>45129.43409722222</v>
      </c>
      <c r="C3602" s="1" t="n">
        <v>45895</v>
      </c>
      <c r="D3602" t="inlineStr">
        <is>
          <t>NORRBOTTENS LÄN</t>
        </is>
      </c>
      <c r="E3602" t="inlineStr">
        <is>
          <t>PITEÅ</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27280-2025</t>
        </is>
      </c>
      <c r="B3603" s="1" t="n">
        <v>45812</v>
      </c>
      <c r="C3603" s="1" t="n">
        <v>45895</v>
      </c>
      <c r="D3603" t="inlineStr">
        <is>
          <t>NORRBOTTENS LÄN</t>
        </is>
      </c>
      <c r="E3603" t="inlineStr">
        <is>
          <t>ÄLVSBYN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35173-2025</t>
        </is>
      </c>
      <c r="B3604" s="1" t="n">
        <v>45852.89065972222</v>
      </c>
      <c r="C3604" s="1" t="n">
        <v>45895</v>
      </c>
      <c r="D3604" t="inlineStr">
        <is>
          <t>NORRBOTTENS LÄN</t>
        </is>
      </c>
      <c r="E3604" t="inlineStr">
        <is>
          <t>PAJALA</t>
        </is>
      </c>
      <c r="F3604" t="inlineStr">
        <is>
          <t>Sveaskog</t>
        </is>
      </c>
      <c r="G3604" t="n">
        <v>39.6</v>
      </c>
      <c r="H3604" t="n">
        <v>0</v>
      </c>
      <c r="I3604" t="n">
        <v>0</v>
      </c>
      <c r="J3604" t="n">
        <v>0</v>
      </c>
      <c r="K3604" t="n">
        <v>0</v>
      </c>
      <c r="L3604" t="n">
        <v>0</v>
      </c>
      <c r="M3604" t="n">
        <v>0</v>
      </c>
      <c r="N3604" t="n">
        <v>0</v>
      </c>
      <c r="O3604" t="n">
        <v>0</v>
      </c>
      <c r="P3604" t="n">
        <v>0</v>
      </c>
      <c r="Q3604" t="n">
        <v>0</v>
      </c>
      <c r="R3604" s="2" t="inlineStr"/>
    </row>
    <row r="3605" ht="15" customHeight="1">
      <c r="A3605" t="inlineStr">
        <is>
          <t>A 17318-2024</t>
        </is>
      </c>
      <c r="B3605" s="1" t="n">
        <v>45414</v>
      </c>
      <c r="C3605" s="1" t="n">
        <v>45895</v>
      </c>
      <c r="D3605" t="inlineStr">
        <is>
          <t>NORRBOTTENS LÄN</t>
        </is>
      </c>
      <c r="E3605" t="inlineStr">
        <is>
          <t>PITEÅ</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8583-2023</t>
        </is>
      </c>
      <c r="B3606" s="1" t="n">
        <v>44977.66061342593</v>
      </c>
      <c r="C3606" s="1" t="n">
        <v>45895</v>
      </c>
      <c r="D3606" t="inlineStr">
        <is>
          <t>NORRBOTTENS LÄN</t>
        </is>
      </c>
      <c r="E3606" t="inlineStr">
        <is>
          <t>PITEÅ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38500-2021</t>
        </is>
      </c>
      <c r="B3607" s="1" t="n">
        <v>44406</v>
      </c>
      <c r="C3607" s="1" t="n">
        <v>45895</v>
      </c>
      <c r="D3607" t="inlineStr">
        <is>
          <t>NORRBOTTENS LÄN</t>
        </is>
      </c>
      <c r="E3607" t="inlineStr">
        <is>
          <t>ÖVERTORNEÅ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41923-2021</t>
        </is>
      </c>
      <c r="B3608" s="1" t="n">
        <v>44425</v>
      </c>
      <c r="C3608" s="1" t="n">
        <v>45895</v>
      </c>
      <c r="D3608" t="inlineStr">
        <is>
          <t>NORRBOTTENS LÄN</t>
        </is>
      </c>
      <c r="E3608" t="inlineStr">
        <is>
          <t>JOKKMOKK</t>
        </is>
      </c>
      <c r="F3608" t="inlineStr">
        <is>
          <t>Övriga statliga verk och myndigheter</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22696-2024</t>
        </is>
      </c>
      <c r="B3609" s="1" t="n">
        <v>45448</v>
      </c>
      <c r="C3609" s="1" t="n">
        <v>45895</v>
      </c>
      <c r="D3609" t="inlineStr">
        <is>
          <t>NORRBOTTENS LÄN</t>
        </is>
      </c>
      <c r="E3609" t="inlineStr">
        <is>
          <t>ARVIDSJAUR</t>
        </is>
      </c>
      <c r="F3609" t="inlineStr">
        <is>
          <t>Sveaskog</t>
        </is>
      </c>
      <c r="G3609" t="n">
        <v>23.1</v>
      </c>
      <c r="H3609" t="n">
        <v>0</v>
      </c>
      <c r="I3609" t="n">
        <v>0</v>
      </c>
      <c r="J3609" t="n">
        <v>0</v>
      </c>
      <c r="K3609" t="n">
        <v>0</v>
      </c>
      <c r="L3609" t="n">
        <v>0</v>
      </c>
      <c r="M3609" t="n">
        <v>0</v>
      </c>
      <c r="N3609" t="n">
        <v>0</v>
      </c>
      <c r="O3609" t="n">
        <v>0</v>
      </c>
      <c r="P3609" t="n">
        <v>0</v>
      </c>
      <c r="Q3609" t="n">
        <v>0</v>
      </c>
      <c r="R3609" s="2" t="inlineStr"/>
    </row>
    <row r="3610" ht="15" customHeight="1">
      <c r="A3610" t="inlineStr">
        <is>
          <t>A 36244-2023</t>
        </is>
      </c>
      <c r="B3610" s="1" t="n">
        <v>45150</v>
      </c>
      <c r="C3610" s="1" t="n">
        <v>45895</v>
      </c>
      <c r="D3610" t="inlineStr">
        <is>
          <t>NORRBOTTENS LÄN</t>
        </is>
      </c>
      <c r="E3610" t="inlineStr">
        <is>
          <t>GÄLLIVARE</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1049-2024</t>
        </is>
      </c>
      <c r="B3611" s="1" t="n">
        <v>45301</v>
      </c>
      <c r="C3611" s="1" t="n">
        <v>45895</v>
      </c>
      <c r="D3611" t="inlineStr">
        <is>
          <t>NORRBOTTENS LÄN</t>
        </is>
      </c>
      <c r="E3611" t="inlineStr">
        <is>
          <t>BODEN</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22893-2024</t>
        </is>
      </c>
      <c r="B3612" s="1" t="n">
        <v>45448</v>
      </c>
      <c r="C3612" s="1" t="n">
        <v>45895</v>
      </c>
      <c r="D3612" t="inlineStr">
        <is>
          <t>NORRBOTTENS LÄN</t>
        </is>
      </c>
      <c r="E3612" t="inlineStr">
        <is>
          <t>BODEN</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6693-2023</t>
        </is>
      </c>
      <c r="B3613" s="1" t="n">
        <v>44963</v>
      </c>
      <c r="C3613" s="1" t="n">
        <v>45895</v>
      </c>
      <c r="D3613" t="inlineStr">
        <is>
          <t>NORRBOTTENS LÄN</t>
        </is>
      </c>
      <c r="E3613" t="inlineStr">
        <is>
          <t>BODEN</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27339-2025</t>
        </is>
      </c>
      <c r="B3614" s="1" t="n">
        <v>45812.61517361111</v>
      </c>
      <c r="C3614" s="1" t="n">
        <v>45895</v>
      </c>
      <c r="D3614" t="inlineStr">
        <is>
          <t>NORRBOTTENS LÄN</t>
        </is>
      </c>
      <c r="E3614" t="inlineStr">
        <is>
          <t>ÖVERKALIX</t>
        </is>
      </c>
      <c r="F3614" t="inlineStr">
        <is>
          <t>SCA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34910-2023</t>
        </is>
      </c>
      <c r="B3615" s="1" t="n">
        <v>45142.4560300926</v>
      </c>
      <c r="C3615" s="1" t="n">
        <v>45895</v>
      </c>
      <c r="D3615" t="inlineStr">
        <is>
          <t>NORRBOTTENS LÄN</t>
        </is>
      </c>
      <c r="E3615" t="inlineStr">
        <is>
          <t>LULEÅ</t>
        </is>
      </c>
      <c r="G3615" t="n">
        <v>18.9</v>
      </c>
      <c r="H3615" t="n">
        <v>0</v>
      </c>
      <c r="I3615" t="n">
        <v>0</v>
      </c>
      <c r="J3615" t="n">
        <v>0</v>
      </c>
      <c r="K3615" t="n">
        <v>0</v>
      </c>
      <c r="L3615" t="n">
        <v>0</v>
      </c>
      <c r="M3615" t="n">
        <v>0</v>
      </c>
      <c r="N3615" t="n">
        <v>0</v>
      </c>
      <c r="O3615" t="n">
        <v>0</v>
      </c>
      <c r="P3615" t="n">
        <v>0</v>
      </c>
      <c r="Q3615" t="n">
        <v>0</v>
      </c>
      <c r="R3615" s="2" t="inlineStr"/>
    </row>
    <row r="3616" ht="15" customHeight="1">
      <c r="A3616" t="inlineStr">
        <is>
          <t>A 34992-2023</t>
        </is>
      </c>
      <c r="B3616" s="1" t="n">
        <v>45142.92356481482</v>
      </c>
      <c r="C3616" s="1" t="n">
        <v>45895</v>
      </c>
      <c r="D3616" t="inlineStr">
        <is>
          <t>NORRBOTTENS LÄN</t>
        </is>
      </c>
      <c r="E3616" t="inlineStr">
        <is>
          <t>ÖVERTORNEÅ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34998-2023</t>
        </is>
      </c>
      <c r="B3617" s="1" t="n">
        <v>45142</v>
      </c>
      <c r="C3617" s="1" t="n">
        <v>45895</v>
      </c>
      <c r="D3617" t="inlineStr">
        <is>
          <t>NORRBOTTENS LÄN</t>
        </is>
      </c>
      <c r="E3617" t="inlineStr">
        <is>
          <t>ARVIDSJAUR</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48630-2023</t>
        </is>
      </c>
      <c r="B3618" s="1" t="n">
        <v>45208.57646990741</v>
      </c>
      <c r="C3618" s="1" t="n">
        <v>45895</v>
      </c>
      <c r="D3618" t="inlineStr">
        <is>
          <t>NORRBOTTENS LÄN</t>
        </is>
      </c>
      <c r="E3618" t="inlineStr">
        <is>
          <t>HAPARANDA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15124-2024</t>
        </is>
      </c>
      <c r="B3619" s="1" t="n">
        <v>45399.75060185185</v>
      </c>
      <c r="C3619" s="1" t="n">
        <v>45895</v>
      </c>
      <c r="D3619" t="inlineStr">
        <is>
          <t>NORRBOTTENS LÄN</t>
        </is>
      </c>
      <c r="E3619" t="inlineStr">
        <is>
          <t>PAJALA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26887-2025</t>
        </is>
      </c>
      <c r="B3620" s="1" t="n">
        <v>45810.94730324074</v>
      </c>
      <c r="C3620" s="1" t="n">
        <v>45895</v>
      </c>
      <c r="D3620" t="inlineStr">
        <is>
          <t>NORRBOTTENS LÄN</t>
        </is>
      </c>
      <c r="E3620" t="inlineStr">
        <is>
          <t>ÖVERTORNEÅ</t>
        </is>
      </c>
      <c r="F3620" t="inlineStr">
        <is>
          <t>Sveaskog</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55628-2023</t>
        </is>
      </c>
      <c r="B3621" s="1" t="n">
        <v>45238.9265625</v>
      </c>
      <c r="C3621" s="1" t="n">
        <v>45895</v>
      </c>
      <c r="D3621" t="inlineStr">
        <is>
          <t>NORRBOTTENS LÄN</t>
        </is>
      </c>
      <c r="E3621" t="inlineStr">
        <is>
          <t>BODEN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39271-2023</t>
        </is>
      </c>
      <c r="B3622" s="1" t="n">
        <v>45162</v>
      </c>
      <c r="C3622" s="1" t="n">
        <v>45895</v>
      </c>
      <c r="D3622" t="inlineStr">
        <is>
          <t>NORRBOTTENS LÄN</t>
        </is>
      </c>
      <c r="E3622" t="inlineStr">
        <is>
          <t>KIRUNA</t>
        </is>
      </c>
      <c r="G3622" t="n">
        <v>51.9</v>
      </c>
      <c r="H3622" t="n">
        <v>0</v>
      </c>
      <c r="I3622" t="n">
        <v>0</v>
      </c>
      <c r="J3622" t="n">
        <v>0</v>
      </c>
      <c r="K3622" t="n">
        <v>0</v>
      </c>
      <c r="L3622" t="n">
        <v>0</v>
      </c>
      <c r="M3622" t="n">
        <v>0</v>
      </c>
      <c r="N3622" t="n">
        <v>0</v>
      </c>
      <c r="O3622" t="n">
        <v>0</v>
      </c>
      <c r="P3622" t="n">
        <v>0</v>
      </c>
      <c r="Q3622" t="n">
        <v>0</v>
      </c>
      <c r="R3622" s="2" t="inlineStr"/>
    </row>
    <row r="3623" ht="15" customHeight="1">
      <c r="A3623" t="inlineStr">
        <is>
          <t>A 22977-2022</t>
        </is>
      </c>
      <c r="B3623" s="1" t="n">
        <v>44717</v>
      </c>
      <c r="C3623" s="1" t="n">
        <v>45895</v>
      </c>
      <c r="D3623" t="inlineStr">
        <is>
          <t>NORRBOTTENS LÄN</t>
        </is>
      </c>
      <c r="E3623" t="inlineStr">
        <is>
          <t>ÖVERKALIX</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47208-2022</t>
        </is>
      </c>
      <c r="B3624" s="1" t="n">
        <v>44851</v>
      </c>
      <c r="C3624" s="1" t="n">
        <v>45895</v>
      </c>
      <c r="D3624" t="inlineStr">
        <is>
          <t>NORRBOTTENS LÄN</t>
        </is>
      </c>
      <c r="E3624" t="inlineStr">
        <is>
          <t>JOKKMOKK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18784-2025</t>
        </is>
      </c>
      <c r="B3625" s="1" t="n">
        <v>45764.33820601852</v>
      </c>
      <c r="C3625" s="1" t="n">
        <v>45895</v>
      </c>
      <c r="D3625" t="inlineStr">
        <is>
          <t>NORRBOTTENS LÄN</t>
        </is>
      </c>
      <c r="E3625" t="inlineStr">
        <is>
          <t>PAJALA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29881-2022</t>
        </is>
      </c>
      <c r="B3626" s="1" t="n">
        <v>44755</v>
      </c>
      <c r="C3626" s="1" t="n">
        <v>45895</v>
      </c>
      <c r="D3626" t="inlineStr">
        <is>
          <t>NORRBOTTENS LÄN</t>
        </is>
      </c>
      <c r="E3626" t="inlineStr">
        <is>
          <t>PAJALA</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47246-2022</t>
        </is>
      </c>
      <c r="B3627" s="1" t="n">
        <v>44852</v>
      </c>
      <c r="C3627" s="1" t="n">
        <v>45895</v>
      </c>
      <c r="D3627" t="inlineStr">
        <is>
          <t>NORRBOTTENS LÄN</t>
        </is>
      </c>
      <c r="E3627" t="inlineStr">
        <is>
          <t>LULEÅ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60481-2023</t>
        </is>
      </c>
      <c r="B3628" s="1" t="n">
        <v>45259.60369212963</v>
      </c>
      <c r="C3628" s="1" t="n">
        <v>45895</v>
      </c>
      <c r="D3628" t="inlineStr">
        <is>
          <t>NORRBOTTENS LÄN</t>
        </is>
      </c>
      <c r="E3628" t="inlineStr">
        <is>
          <t>KALIX</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60482-2023</t>
        </is>
      </c>
      <c r="B3629" s="1" t="n">
        <v>45259</v>
      </c>
      <c r="C3629" s="1" t="n">
        <v>45895</v>
      </c>
      <c r="D3629" t="inlineStr">
        <is>
          <t>NORRBOTTENS LÄN</t>
        </is>
      </c>
      <c r="E3629" t="inlineStr">
        <is>
          <t>KALIX</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60516-2023</t>
        </is>
      </c>
      <c r="B3630" s="1" t="n">
        <v>45259.65206018519</v>
      </c>
      <c r="C3630" s="1" t="n">
        <v>45895</v>
      </c>
      <c r="D3630" t="inlineStr">
        <is>
          <t>NORRBOTTENS LÄN</t>
        </is>
      </c>
      <c r="E3630" t="inlineStr">
        <is>
          <t>KALIX</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39908-2021</t>
        </is>
      </c>
      <c r="B3631" s="1" t="n">
        <v>44417</v>
      </c>
      <c r="C3631" s="1" t="n">
        <v>45895</v>
      </c>
      <c r="D3631" t="inlineStr">
        <is>
          <t>NORRBOTTENS LÄN</t>
        </is>
      </c>
      <c r="E3631" t="inlineStr">
        <is>
          <t>PAJALA</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8806-2025</t>
        </is>
      </c>
      <c r="B3632" s="1" t="n">
        <v>45712.66653935185</v>
      </c>
      <c r="C3632" s="1" t="n">
        <v>45895</v>
      </c>
      <c r="D3632" t="inlineStr">
        <is>
          <t>NORRBOTTENS LÄN</t>
        </is>
      </c>
      <c r="E3632" t="inlineStr">
        <is>
          <t>PAJALA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27107-2025</t>
        </is>
      </c>
      <c r="B3633" s="1" t="n">
        <v>45811</v>
      </c>
      <c r="C3633" s="1" t="n">
        <v>45895</v>
      </c>
      <c r="D3633" t="inlineStr">
        <is>
          <t>NORRBOTTENS LÄN</t>
        </is>
      </c>
      <c r="E3633" t="inlineStr">
        <is>
          <t>LULEÅ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45156-2023</t>
        </is>
      </c>
      <c r="B3634" s="1" t="n">
        <v>45191</v>
      </c>
      <c r="C3634" s="1" t="n">
        <v>45895</v>
      </c>
      <c r="D3634" t="inlineStr">
        <is>
          <t>NORRBOTTENS LÄN</t>
        </is>
      </c>
      <c r="E3634" t="inlineStr">
        <is>
          <t>PAJALA</t>
        </is>
      </c>
      <c r="F3634" t="inlineStr">
        <is>
          <t>Sveaskog</t>
        </is>
      </c>
      <c r="G3634" t="n">
        <v>12.3</v>
      </c>
      <c r="H3634" t="n">
        <v>0</v>
      </c>
      <c r="I3634" t="n">
        <v>0</v>
      </c>
      <c r="J3634" t="n">
        <v>0</v>
      </c>
      <c r="K3634" t="n">
        <v>0</v>
      </c>
      <c r="L3634" t="n">
        <v>0</v>
      </c>
      <c r="M3634" t="n">
        <v>0</v>
      </c>
      <c r="N3634" t="n">
        <v>0</v>
      </c>
      <c r="O3634" t="n">
        <v>0</v>
      </c>
      <c r="P3634" t="n">
        <v>0</v>
      </c>
      <c r="Q3634" t="n">
        <v>0</v>
      </c>
      <c r="R3634" s="2" t="inlineStr"/>
    </row>
    <row r="3635" ht="15" customHeight="1">
      <c r="A3635" t="inlineStr">
        <is>
          <t>A 40974-2023</t>
        </is>
      </c>
      <c r="B3635" s="1" t="n">
        <v>45173</v>
      </c>
      <c r="C3635" s="1" t="n">
        <v>45895</v>
      </c>
      <c r="D3635" t="inlineStr">
        <is>
          <t>NORRBOTTENS LÄN</t>
        </is>
      </c>
      <c r="E3635" t="inlineStr">
        <is>
          <t>GÄLLIVARE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27305-2022</t>
        </is>
      </c>
      <c r="B3636" s="1" t="n">
        <v>44741</v>
      </c>
      <c r="C3636" s="1" t="n">
        <v>45895</v>
      </c>
      <c r="D3636" t="inlineStr">
        <is>
          <t>NORRBOTTENS LÄN</t>
        </is>
      </c>
      <c r="E3636" t="inlineStr">
        <is>
          <t>LULEÅ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62384-2023</t>
        </is>
      </c>
      <c r="B3637" s="1" t="n">
        <v>45266</v>
      </c>
      <c r="C3637" s="1" t="n">
        <v>45895</v>
      </c>
      <c r="D3637" t="inlineStr">
        <is>
          <t>NORRBOTTENS LÄN</t>
        </is>
      </c>
      <c r="E3637" t="inlineStr">
        <is>
          <t>ÖVERKALIX</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60926-2023</t>
        </is>
      </c>
      <c r="B3638" s="1" t="n">
        <v>45261.41116898148</v>
      </c>
      <c r="C3638" s="1" t="n">
        <v>45895</v>
      </c>
      <c r="D3638" t="inlineStr">
        <is>
          <t>NORRBOTTENS LÄN</t>
        </is>
      </c>
      <c r="E3638" t="inlineStr">
        <is>
          <t>KALIX</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43562-2020</t>
        </is>
      </c>
      <c r="B3639" s="1" t="n">
        <v>44077</v>
      </c>
      <c r="C3639" s="1" t="n">
        <v>45895</v>
      </c>
      <c r="D3639" t="inlineStr">
        <is>
          <t>NORRBOTTENS LÄN</t>
        </is>
      </c>
      <c r="E3639" t="inlineStr">
        <is>
          <t>ÖVERTORNEÅ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39423-2024</t>
        </is>
      </c>
      <c r="B3640" s="1" t="n">
        <v>45551</v>
      </c>
      <c r="C3640" s="1" t="n">
        <v>45895</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39436-2024</t>
        </is>
      </c>
      <c r="B3641" s="1" t="n">
        <v>45551</v>
      </c>
      <c r="C3641" s="1" t="n">
        <v>45895</v>
      </c>
      <c r="D3641" t="inlineStr">
        <is>
          <t>NORRBOTTENS LÄN</t>
        </is>
      </c>
      <c r="E3641" t="inlineStr">
        <is>
          <t>ARVIDSJAUR</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28282-2021</t>
        </is>
      </c>
      <c r="B3642" s="1" t="n">
        <v>44355</v>
      </c>
      <c r="C3642" s="1" t="n">
        <v>45895</v>
      </c>
      <c r="D3642" t="inlineStr">
        <is>
          <t>NORRBOTTENS LÄN</t>
        </is>
      </c>
      <c r="E3642" t="inlineStr">
        <is>
          <t>PITEÅ</t>
        </is>
      </c>
      <c r="F3642" t="inlineStr">
        <is>
          <t>SCA</t>
        </is>
      </c>
      <c r="G3642" t="n">
        <v>13.6</v>
      </c>
      <c r="H3642" t="n">
        <v>0</v>
      </c>
      <c r="I3642" t="n">
        <v>0</v>
      </c>
      <c r="J3642" t="n">
        <v>0</v>
      </c>
      <c r="K3642" t="n">
        <v>0</v>
      </c>
      <c r="L3642" t="n">
        <v>0</v>
      </c>
      <c r="M3642" t="n">
        <v>0</v>
      </c>
      <c r="N3642" t="n">
        <v>0</v>
      </c>
      <c r="O3642" t="n">
        <v>0</v>
      </c>
      <c r="P3642" t="n">
        <v>0</v>
      </c>
      <c r="Q3642" t="n">
        <v>0</v>
      </c>
      <c r="R3642" s="2" t="inlineStr"/>
    </row>
    <row r="3643" ht="15" customHeight="1">
      <c r="A3643" t="inlineStr">
        <is>
          <t>A 55034-2023</t>
        </is>
      </c>
      <c r="B3643" s="1" t="n">
        <v>45237</v>
      </c>
      <c r="C3643" s="1" t="n">
        <v>45895</v>
      </c>
      <c r="D3643" t="inlineStr">
        <is>
          <t>NORRBOTTENS LÄN</t>
        </is>
      </c>
      <c r="E3643" t="inlineStr">
        <is>
          <t>GÄLLIVARE</t>
        </is>
      </c>
      <c r="F3643" t="inlineStr">
        <is>
          <t>Sveaskog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26944-2025</t>
        </is>
      </c>
      <c r="B3644" s="1" t="n">
        <v>45811.42734953704</v>
      </c>
      <c r="C3644" s="1" t="n">
        <v>45895</v>
      </c>
      <c r="D3644" t="inlineStr">
        <is>
          <t>NORRBOTTENS LÄN</t>
        </is>
      </c>
      <c r="E3644" t="inlineStr">
        <is>
          <t>ÖVERKALIX</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6348-2025</t>
        </is>
      </c>
      <c r="B3645" s="1" t="n">
        <v>45699.34594907407</v>
      </c>
      <c r="C3645" s="1" t="n">
        <v>45895</v>
      </c>
      <c r="D3645" t="inlineStr">
        <is>
          <t>NORRBOTTENS LÄN</t>
        </is>
      </c>
      <c r="E3645" t="inlineStr">
        <is>
          <t>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25121-2024</t>
        </is>
      </c>
      <c r="B3646" s="1" t="n">
        <v>45462</v>
      </c>
      <c r="C3646" s="1" t="n">
        <v>45895</v>
      </c>
      <c r="D3646" t="inlineStr">
        <is>
          <t>NORRBOTTENS LÄN</t>
        </is>
      </c>
      <c r="E3646" t="inlineStr">
        <is>
          <t>ARVIDSJAUR</t>
        </is>
      </c>
      <c r="F3646" t="inlineStr">
        <is>
          <t>Sveaskog</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16473-2025</t>
        </is>
      </c>
      <c r="B3647" s="1" t="n">
        <v>45751.55675925926</v>
      </c>
      <c r="C3647" s="1" t="n">
        <v>45895</v>
      </c>
      <c r="D3647" t="inlineStr">
        <is>
          <t>NORRBOTTENS LÄN</t>
        </is>
      </c>
      <c r="E3647" t="inlineStr">
        <is>
          <t>ÄLVSBYN</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42849-2023</t>
        </is>
      </c>
      <c r="B3648" s="1" t="n">
        <v>45177</v>
      </c>
      <c r="C3648" s="1" t="n">
        <v>45895</v>
      </c>
      <c r="D3648" t="inlineStr">
        <is>
          <t>NORRBOTTENS LÄN</t>
        </is>
      </c>
      <c r="E3648" t="inlineStr">
        <is>
          <t>PAJALA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10417-2025</t>
        </is>
      </c>
      <c r="B3649" s="1" t="n">
        <v>45720.6356712963</v>
      </c>
      <c r="C3649" s="1" t="n">
        <v>45895</v>
      </c>
      <c r="D3649" t="inlineStr">
        <is>
          <t>NORRBOTTENS LÄN</t>
        </is>
      </c>
      <c r="E3649" t="inlineStr">
        <is>
          <t>PITEÅ</t>
        </is>
      </c>
      <c r="G3649" t="n">
        <v>21.9</v>
      </c>
      <c r="H3649" t="n">
        <v>0</v>
      </c>
      <c r="I3649" t="n">
        <v>0</v>
      </c>
      <c r="J3649" t="n">
        <v>0</v>
      </c>
      <c r="K3649" t="n">
        <v>0</v>
      </c>
      <c r="L3649" t="n">
        <v>0</v>
      </c>
      <c r="M3649" t="n">
        <v>0</v>
      </c>
      <c r="N3649" t="n">
        <v>0</v>
      </c>
      <c r="O3649" t="n">
        <v>0</v>
      </c>
      <c r="P3649" t="n">
        <v>0</v>
      </c>
      <c r="Q3649" t="n">
        <v>0</v>
      </c>
      <c r="R3649" s="2" t="inlineStr"/>
    </row>
    <row r="3650" ht="15" customHeight="1">
      <c r="A3650" t="inlineStr">
        <is>
          <t>A 18721-2024</t>
        </is>
      </c>
      <c r="B3650" s="1" t="n">
        <v>45426</v>
      </c>
      <c r="C3650" s="1" t="n">
        <v>45895</v>
      </c>
      <c r="D3650" t="inlineStr">
        <is>
          <t>NORRBOTTENS LÄN</t>
        </is>
      </c>
      <c r="E3650" t="inlineStr">
        <is>
          <t>KIRUNA</t>
        </is>
      </c>
      <c r="G3650" t="n">
        <v>62.1</v>
      </c>
      <c r="H3650" t="n">
        <v>0</v>
      </c>
      <c r="I3650" t="n">
        <v>0</v>
      </c>
      <c r="J3650" t="n">
        <v>0</v>
      </c>
      <c r="K3650" t="n">
        <v>0</v>
      </c>
      <c r="L3650" t="n">
        <v>0</v>
      </c>
      <c r="M3650" t="n">
        <v>0</v>
      </c>
      <c r="N3650" t="n">
        <v>0</v>
      </c>
      <c r="O3650" t="n">
        <v>0</v>
      </c>
      <c r="P3650" t="n">
        <v>0</v>
      </c>
      <c r="Q3650" t="n">
        <v>0</v>
      </c>
      <c r="R3650" s="2" t="inlineStr"/>
    </row>
    <row r="3651" ht="15" customHeight="1">
      <c r="A3651" t="inlineStr">
        <is>
          <t>A 50015-2021</t>
        </is>
      </c>
      <c r="B3651" s="1" t="n">
        <v>44454</v>
      </c>
      <c r="C3651" s="1" t="n">
        <v>45895</v>
      </c>
      <c r="D3651" t="inlineStr">
        <is>
          <t>NORRBOTTENS LÄN</t>
        </is>
      </c>
      <c r="E3651" t="inlineStr">
        <is>
          <t>PITEÅ</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48409-2023</t>
        </is>
      </c>
      <c r="B3652" s="1" t="n">
        <v>45205</v>
      </c>
      <c r="C3652" s="1" t="n">
        <v>45895</v>
      </c>
      <c r="D3652" t="inlineStr">
        <is>
          <t>NORRBOTTENS LÄN</t>
        </is>
      </c>
      <c r="E3652" t="inlineStr">
        <is>
          <t>LULEÅ</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48410-2023</t>
        </is>
      </c>
      <c r="B3653" s="1" t="n">
        <v>45205</v>
      </c>
      <c r="C3653" s="1" t="n">
        <v>45895</v>
      </c>
      <c r="D3653" t="inlineStr">
        <is>
          <t>NORRBOTTENS LÄN</t>
        </is>
      </c>
      <c r="E3653" t="inlineStr">
        <is>
          <t>LULEÅ</t>
        </is>
      </c>
      <c r="G3653" t="n">
        <v>6.7</v>
      </c>
      <c r="H3653" t="n">
        <v>0</v>
      </c>
      <c r="I3653" t="n">
        <v>0</v>
      </c>
      <c r="J3653" t="n">
        <v>0</v>
      </c>
      <c r="K3653" t="n">
        <v>0</v>
      </c>
      <c r="L3653" t="n">
        <v>0</v>
      </c>
      <c r="M3653" t="n">
        <v>0</v>
      </c>
      <c r="N3653" t="n">
        <v>0</v>
      </c>
      <c r="O3653" t="n">
        <v>0</v>
      </c>
      <c r="P3653" t="n">
        <v>0</v>
      </c>
      <c r="Q3653" t="n">
        <v>0</v>
      </c>
      <c r="R3653" s="2" t="inlineStr"/>
    </row>
    <row r="3654" ht="15" customHeight="1">
      <c r="A3654" t="inlineStr">
        <is>
          <t>A 27198-2025</t>
        </is>
      </c>
      <c r="B3654" s="1" t="n">
        <v>45812.38606481482</v>
      </c>
      <c r="C3654" s="1" t="n">
        <v>45895</v>
      </c>
      <c r="D3654" t="inlineStr">
        <is>
          <t>NORRBOTTENS LÄN</t>
        </is>
      </c>
      <c r="E3654" t="inlineStr">
        <is>
          <t>KALIX</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9206-2025</t>
        </is>
      </c>
      <c r="B3655" s="1" t="n">
        <v>45714.49189814815</v>
      </c>
      <c r="C3655" s="1" t="n">
        <v>45895</v>
      </c>
      <c r="D3655" t="inlineStr">
        <is>
          <t>NORRBOTTENS LÄN</t>
        </is>
      </c>
      <c r="E3655" t="inlineStr">
        <is>
          <t>KALIX</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9250-2025</t>
        </is>
      </c>
      <c r="B3656" s="1" t="n">
        <v>45714</v>
      </c>
      <c r="C3656" s="1" t="n">
        <v>45895</v>
      </c>
      <c r="D3656" t="inlineStr">
        <is>
          <t>NORRBOTTENS LÄN</t>
        </is>
      </c>
      <c r="E3656" t="inlineStr">
        <is>
          <t>LULEÅ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43383-2024</t>
        </is>
      </c>
      <c r="B3657" s="1" t="n">
        <v>45568.59442129629</v>
      </c>
      <c r="C3657" s="1" t="n">
        <v>45895</v>
      </c>
      <c r="D3657" t="inlineStr">
        <is>
          <t>NORRBOTTENS LÄN</t>
        </is>
      </c>
      <c r="E3657" t="inlineStr">
        <is>
          <t>PITEÅ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27067-2025</t>
        </is>
      </c>
      <c r="B3658" s="1" t="n">
        <v>45811.63658564815</v>
      </c>
      <c r="C3658" s="1" t="n">
        <v>45895</v>
      </c>
      <c r="D3658" t="inlineStr">
        <is>
          <t>NORRBOTTENS LÄN</t>
        </is>
      </c>
      <c r="E3658" t="inlineStr">
        <is>
          <t>KALIX</t>
        </is>
      </c>
      <c r="F3658" t="inlineStr">
        <is>
          <t>SCA</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27069-2025</t>
        </is>
      </c>
      <c r="B3659" s="1" t="n">
        <v>45811.63673611111</v>
      </c>
      <c r="C3659" s="1" t="n">
        <v>45895</v>
      </c>
      <c r="D3659" t="inlineStr">
        <is>
          <t>NORRBOTTENS LÄN</t>
        </is>
      </c>
      <c r="E3659" t="inlineStr">
        <is>
          <t>PITEÅ</t>
        </is>
      </c>
      <c r="F3659" t="inlineStr">
        <is>
          <t>SCA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10183-2025</t>
        </is>
      </c>
      <c r="B3660" s="1" t="n">
        <v>45719</v>
      </c>
      <c r="C3660" s="1" t="n">
        <v>45895</v>
      </c>
      <c r="D3660" t="inlineStr">
        <is>
          <t>NORRBOTTENS LÄN</t>
        </is>
      </c>
      <c r="E3660" t="inlineStr">
        <is>
          <t>LULEÅ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26253-2023</t>
        </is>
      </c>
      <c r="B3661" s="1" t="n">
        <v>45091</v>
      </c>
      <c r="C3661" s="1" t="n">
        <v>45895</v>
      </c>
      <c r="D3661" t="inlineStr">
        <is>
          <t>NORRBOTTENS LÄN</t>
        </is>
      </c>
      <c r="E3661" t="inlineStr">
        <is>
          <t>LULEÅ</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27101-2025</t>
        </is>
      </c>
      <c r="B3662" s="1" t="n">
        <v>45811.69857638889</v>
      </c>
      <c r="C3662" s="1" t="n">
        <v>45895</v>
      </c>
      <c r="D3662" t="inlineStr">
        <is>
          <t>NORRBOTTENS LÄN</t>
        </is>
      </c>
      <c r="E3662" t="inlineStr">
        <is>
          <t>KALIX</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27102-2025</t>
        </is>
      </c>
      <c r="B3663" s="1" t="n">
        <v>45811.69862268519</v>
      </c>
      <c r="C3663" s="1" t="n">
        <v>45895</v>
      </c>
      <c r="D3663" t="inlineStr">
        <is>
          <t>NORRBOTTENS LÄN</t>
        </is>
      </c>
      <c r="E3663" t="inlineStr">
        <is>
          <t>KALIX</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40899-2024</t>
        </is>
      </c>
      <c r="B3664" s="1" t="n">
        <v>45558.62070601852</v>
      </c>
      <c r="C3664" s="1" t="n">
        <v>45895</v>
      </c>
      <c r="D3664" t="inlineStr">
        <is>
          <t>NORRBOTTENS LÄN</t>
        </is>
      </c>
      <c r="E3664" t="inlineStr">
        <is>
          <t>LULEÅ</t>
        </is>
      </c>
      <c r="F3664" t="inlineStr">
        <is>
          <t>Övriga Aktiebolag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24656-2024</t>
        </is>
      </c>
      <c r="B3665" s="1" t="n">
        <v>45460</v>
      </c>
      <c r="C3665" s="1" t="n">
        <v>45895</v>
      </c>
      <c r="D3665" t="inlineStr">
        <is>
          <t>NORRBOTTENS LÄN</t>
        </is>
      </c>
      <c r="E3665" t="inlineStr">
        <is>
          <t>ÖVERTORNEÅ</t>
        </is>
      </c>
      <c r="F3665" t="inlineStr">
        <is>
          <t>Sveaskog</t>
        </is>
      </c>
      <c r="G3665" t="n">
        <v>16.9</v>
      </c>
      <c r="H3665" t="n">
        <v>0</v>
      </c>
      <c r="I3665" t="n">
        <v>0</v>
      </c>
      <c r="J3665" t="n">
        <v>0</v>
      </c>
      <c r="K3665" t="n">
        <v>0</v>
      </c>
      <c r="L3665" t="n">
        <v>0</v>
      </c>
      <c r="M3665" t="n">
        <v>0</v>
      </c>
      <c r="N3665" t="n">
        <v>0</v>
      </c>
      <c r="O3665" t="n">
        <v>0</v>
      </c>
      <c r="P3665" t="n">
        <v>0</v>
      </c>
      <c r="Q3665" t="n">
        <v>0</v>
      </c>
      <c r="R3665" s="2" t="inlineStr"/>
    </row>
    <row r="3666" ht="15" customHeight="1">
      <c r="A3666" t="inlineStr">
        <is>
          <t>A 44772-2022</t>
        </is>
      </c>
      <c r="B3666" s="1" t="n">
        <v>44841.2909375</v>
      </c>
      <c r="C3666" s="1" t="n">
        <v>45895</v>
      </c>
      <c r="D3666" t="inlineStr">
        <is>
          <t>NORRBOTTENS LÄN</t>
        </is>
      </c>
      <c r="E3666" t="inlineStr">
        <is>
          <t>PAJALA</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19529-2024</t>
        </is>
      </c>
      <c r="B3667" s="1" t="n">
        <v>45429.64071759259</v>
      </c>
      <c r="C3667" s="1" t="n">
        <v>45895</v>
      </c>
      <c r="D3667" t="inlineStr">
        <is>
          <t>NORRBOTTENS LÄN</t>
        </is>
      </c>
      <c r="E3667" t="inlineStr">
        <is>
          <t>ÖVERKALIX</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19536-2024</t>
        </is>
      </c>
      <c r="B3668" s="1" t="n">
        <v>45429</v>
      </c>
      <c r="C3668" s="1" t="n">
        <v>45895</v>
      </c>
      <c r="D3668" t="inlineStr">
        <is>
          <t>NORRBOTTENS LÄN</t>
        </is>
      </c>
      <c r="E3668" t="inlineStr">
        <is>
          <t>KALIX</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8907-2023</t>
        </is>
      </c>
      <c r="B3669" s="1" t="n">
        <v>44973</v>
      </c>
      <c r="C3669" s="1" t="n">
        <v>45895</v>
      </c>
      <c r="D3669" t="inlineStr">
        <is>
          <t>NORRBOTTENS LÄN</t>
        </is>
      </c>
      <c r="E3669" t="inlineStr">
        <is>
          <t>PAJALA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39141-2024</t>
        </is>
      </c>
      <c r="B3670" s="1" t="n">
        <v>45548.61486111111</v>
      </c>
      <c r="C3670" s="1" t="n">
        <v>45895</v>
      </c>
      <c r="D3670" t="inlineStr">
        <is>
          <t>NORRBOTTENS LÄN</t>
        </is>
      </c>
      <c r="E3670" t="inlineStr">
        <is>
          <t>ÖVERTORNEÅ</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47634-2024</t>
        </is>
      </c>
      <c r="B3671" s="1" t="n">
        <v>45588.345625</v>
      </c>
      <c r="C3671" s="1" t="n">
        <v>45895</v>
      </c>
      <c r="D3671" t="inlineStr">
        <is>
          <t>NORRBOTTENS LÄN</t>
        </is>
      </c>
      <c r="E3671" t="inlineStr">
        <is>
          <t>KALIX</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47162-2023</t>
        </is>
      </c>
      <c r="B3672" s="1" t="n">
        <v>45201</v>
      </c>
      <c r="C3672" s="1" t="n">
        <v>45895</v>
      </c>
      <c r="D3672" t="inlineStr">
        <is>
          <t>NORRBOTTENS LÄN</t>
        </is>
      </c>
      <c r="E3672" t="inlineStr">
        <is>
          <t>GÄLLIVARE</t>
        </is>
      </c>
      <c r="F3672" t="inlineStr">
        <is>
          <t>SCA</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51578-2023</t>
        </is>
      </c>
      <c r="B3673" s="1" t="n">
        <v>45215</v>
      </c>
      <c r="C3673" s="1" t="n">
        <v>45895</v>
      </c>
      <c r="D3673" t="inlineStr">
        <is>
          <t>NORRBOTTENS LÄN</t>
        </is>
      </c>
      <c r="E3673" t="inlineStr">
        <is>
          <t>PITEÅ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28658-2022</t>
        </is>
      </c>
      <c r="B3674" s="1" t="n">
        <v>44748</v>
      </c>
      <c r="C3674" s="1" t="n">
        <v>45895</v>
      </c>
      <c r="D3674" t="inlineStr">
        <is>
          <t>NORRBOTTENS LÄN</t>
        </is>
      </c>
      <c r="E3674" t="inlineStr">
        <is>
          <t>ÖVERTORNEÅ</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63475-2023</t>
        </is>
      </c>
      <c r="B3675" s="1" t="n">
        <v>45274</v>
      </c>
      <c r="C3675" s="1" t="n">
        <v>45895</v>
      </c>
      <c r="D3675" t="inlineStr">
        <is>
          <t>NORRBOTTENS LÄN</t>
        </is>
      </c>
      <c r="E3675" t="inlineStr">
        <is>
          <t>ÖVERTORNEÅ</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26886-2025</t>
        </is>
      </c>
      <c r="B3676" s="1" t="n">
        <v>45810.94515046296</v>
      </c>
      <c r="C3676" s="1" t="n">
        <v>45895</v>
      </c>
      <c r="D3676" t="inlineStr">
        <is>
          <t>NORRBOTTENS LÄN</t>
        </is>
      </c>
      <c r="E3676" t="inlineStr">
        <is>
          <t>PAJALA</t>
        </is>
      </c>
      <c r="F3676" t="inlineStr">
        <is>
          <t>Sveaskog</t>
        </is>
      </c>
      <c r="G3676" t="n">
        <v>23.7</v>
      </c>
      <c r="H3676" t="n">
        <v>0</v>
      </c>
      <c r="I3676" t="n">
        <v>0</v>
      </c>
      <c r="J3676" t="n">
        <v>0</v>
      </c>
      <c r="K3676" t="n">
        <v>0</v>
      </c>
      <c r="L3676" t="n">
        <v>0</v>
      </c>
      <c r="M3676" t="n">
        <v>0</v>
      </c>
      <c r="N3676" t="n">
        <v>0</v>
      </c>
      <c r="O3676" t="n">
        <v>0</v>
      </c>
      <c r="P3676" t="n">
        <v>0</v>
      </c>
      <c r="Q3676" t="n">
        <v>0</v>
      </c>
      <c r="R3676" s="2" t="inlineStr"/>
    </row>
    <row r="3677" ht="15" customHeight="1">
      <c r="A3677" t="inlineStr">
        <is>
          <t>A 27389-2025</t>
        </is>
      </c>
      <c r="B3677" s="1" t="n">
        <v>45812.67748842593</v>
      </c>
      <c r="C3677" s="1" t="n">
        <v>45895</v>
      </c>
      <c r="D3677" t="inlineStr">
        <is>
          <t>NORRBOTTENS LÄN</t>
        </is>
      </c>
      <c r="E3677" t="inlineStr">
        <is>
          <t>PITEÅ</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17944-2025</t>
        </is>
      </c>
      <c r="B3678" s="1" t="n">
        <v>45760.61570601852</v>
      </c>
      <c r="C3678" s="1" t="n">
        <v>45895</v>
      </c>
      <c r="D3678" t="inlineStr">
        <is>
          <t>NORRBOTTENS LÄN</t>
        </is>
      </c>
      <c r="E3678" t="inlineStr">
        <is>
          <t>PITEÅ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14826-2024</t>
        </is>
      </c>
      <c r="B3679" s="1" t="n">
        <v>45398.34453703704</v>
      </c>
      <c r="C3679" s="1" t="n">
        <v>45895</v>
      </c>
      <c r="D3679" t="inlineStr">
        <is>
          <t>NORRBOTTENS LÄN</t>
        </is>
      </c>
      <c r="E3679" t="inlineStr">
        <is>
          <t>ÖVERTORNEÅ</t>
        </is>
      </c>
      <c r="F3679" t="inlineStr">
        <is>
          <t>Sveaskog</t>
        </is>
      </c>
      <c r="G3679" t="n">
        <v>32.7</v>
      </c>
      <c r="H3679" t="n">
        <v>0</v>
      </c>
      <c r="I3679" t="n">
        <v>0</v>
      </c>
      <c r="J3679" t="n">
        <v>0</v>
      </c>
      <c r="K3679" t="n">
        <v>0</v>
      </c>
      <c r="L3679" t="n">
        <v>0</v>
      </c>
      <c r="M3679" t="n">
        <v>0</v>
      </c>
      <c r="N3679" t="n">
        <v>0</v>
      </c>
      <c r="O3679" t="n">
        <v>0</v>
      </c>
      <c r="P3679" t="n">
        <v>0</v>
      </c>
      <c r="Q3679" t="n">
        <v>0</v>
      </c>
      <c r="R3679" s="2" t="inlineStr"/>
    </row>
    <row r="3680" ht="15" customHeight="1">
      <c r="A3680" t="inlineStr">
        <is>
          <t>A 24738-2024</t>
        </is>
      </c>
      <c r="B3680" s="1" t="n">
        <v>45460</v>
      </c>
      <c r="C3680" s="1" t="n">
        <v>45895</v>
      </c>
      <c r="D3680" t="inlineStr">
        <is>
          <t>NORRBOTTENS LÄN</t>
        </is>
      </c>
      <c r="E3680" t="inlineStr">
        <is>
          <t>ÖVERKALIX</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11865-2025</t>
        </is>
      </c>
      <c r="B3681" s="1" t="n">
        <v>45728.4180324074</v>
      </c>
      <c r="C3681" s="1" t="n">
        <v>45895</v>
      </c>
      <c r="D3681" t="inlineStr">
        <is>
          <t>NORRBOTTENS LÄN</t>
        </is>
      </c>
      <c r="E3681" t="inlineStr">
        <is>
          <t>BODEN</t>
        </is>
      </c>
      <c r="F3681" t="inlineStr">
        <is>
          <t>Övriga Aktiebolag</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39756-2024</t>
        </is>
      </c>
      <c r="B3682" s="1" t="n">
        <v>45552</v>
      </c>
      <c r="C3682" s="1" t="n">
        <v>45895</v>
      </c>
      <c r="D3682" t="inlineStr">
        <is>
          <t>NORRBOTTENS LÄN</t>
        </is>
      </c>
      <c r="E3682" t="inlineStr">
        <is>
          <t>GÄLLIVARE</t>
        </is>
      </c>
      <c r="F3682" t="inlineStr">
        <is>
          <t>Allmännings- och besparingsskogar</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53878-2024</t>
        </is>
      </c>
      <c r="B3683" s="1" t="n">
        <v>45614</v>
      </c>
      <c r="C3683" s="1" t="n">
        <v>45895</v>
      </c>
      <c r="D3683" t="inlineStr">
        <is>
          <t>NORRBOTTENS LÄN</t>
        </is>
      </c>
      <c r="E3683" t="inlineStr">
        <is>
          <t>ARVIDSJAUR</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40515-2023</t>
        </is>
      </c>
      <c r="B3684" s="1" t="n">
        <v>45170</v>
      </c>
      <c r="C3684" s="1" t="n">
        <v>45895</v>
      </c>
      <c r="D3684" t="inlineStr">
        <is>
          <t>NORRBOTTENS LÄN</t>
        </is>
      </c>
      <c r="E3684" t="inlineStr">
        <is>
          <t>KALIX</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49483-2021</t>
        </is>
      </c>
      <c r="B3685" s="1" t="n">
        <v>44454</v>
      </c>
      <c r="C3685" s="1" t="n">
        <v>45895</v>
      </c>
      <c r="D3685" t="inlineStr">
        <is>
          <t>NORRBOTTENS LÄN</t>
        </is>
      </c>
      <c r="E3685" t="inlineStr">
        <is>
          <t>JOKKMOKK</t>
        </is>
      </c>
      <c r="F3685" t="inlineStr">
        <is>
          <t>SCA</t>
        </is>
      </c>
      <c r="G3685" t="n">
        <v>24.2</v>
      </c>
      <c r="H3685" t="n">
        <v>0</v>
      </c>
      <c r="I3685" t="n">
        <v>0</v>
      </c>
      <c r="J3685" t="n">
        <v>0</v>
      </c>
      <c r="K3685" t="n">
        <v>0</v>
      </c>
      <c r="L3685" t="n">
        <v>0</v>
      </c>
      <c r="M3685" t="n">
        <v>0</v>
      </c>
      <c r="N3685" t="n">
        <v>0</v>
      </c>
      <c r="O3685" t="n">
        <v>0</v>
      </c>
      <c r="P3685" t="n">
        <v>0</v>
      </c>
      <c r="Q3685" t="n">
        <v>0</v>
      </c>
      <c r="R3685" s="2" t="inlineStr"/>
    </row>
    <row r="3686" ht="15" customHeight="1">
      <c r="A3686" t="inlineStr">
        <is>
          <t>A 27103-2025</t>
        </is>
      </c>
      <c r="B3686" s="1" t="n">
        <v>45811.69864583333</v>
      </c>
      <c r="C3686" s="1" t="n">
        <v>45895</v>
      </c>
      <c r="D3686" t="inlineStr">
        <is>
          <t>NORRBOTTENS LÄN</t>
        </is>
      </c>
      <c r="E3686" t="inlineStr">
        <is>
          <t>KALIX</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5336-2023</t>
        </is>
      </c>
      <c r="B3687" s="1" t="n">
        <v>44959</v>
      </c>
      <c r="C3687" s="1" t="n">
        <v>45895</v>
      </c>
      <c r="D3687" t="inlineStr">
        <is>
          <t>NORRBOTTENS LÄN</t>
        </is>
      </c>
      <c r="E3687" t="inlineStr">
        <is>
          <t>PAJALA</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15796-2025</t>
        </is>
      </c>
      <c r="B3688" s="1" t="n">
        <v>45748.64383101852</v>
      </c>
      <c r="C3688" s="1" t="n">
        <v>45895</v>
      </c>
      <c r="D3688" t="inlineStr">
        <is>
          <t>NORRBOTTENS LÄN</t>
        </is>
      </c>
      <c r="E3688" t="inlineStr">
        <is>
          <t>KALIX</t>
        </is>
      </c>
      <c r="F3688" t="inlineStr">
        <is>
          <t>SCA</t>
        </is>
      </c>
      <c r="G3688" t="n">
        <v>14.1</v>
      </c>
      <c r="H3688" t="n">
        <v>0</v>
      </c>
      <c r="I3688" t="n">
        <v>0</v>
      </c>
      <c r="J3688" t="n">
        <v>0</v>
      </c>
      <c r="K3688" t="n">
        <v>0</v>
      </c>
      <c r="L3688" t="n">
        <v>0</v>
      </c>
      <c r="M3688" t="n">
        <v>0</v>
      </c>
      <c r="N3688" t="n">
        <v>0</v>
      </c>
      <c r="O3688" t="n">
        <v>0</v>
      </c>
      <c r="P3688" t="n">
        <v>0</v>
      </c>
      <c r="Q3688" t="n">
        <v>0</v>
      </c>
      <c r="R3688" s="2" t="inlineStr"/>
    </row>
    <row r="3689" ht="15" customHeight="1">
      <c r="A3689" t="inlineStr">
        <is>
          <t>A 27002-2025</t>
        </is>
      </c>
      <c r="B3689" s="1" t="n">
        <v>45811.54701388889</v>
      </c>
      <c r="C3689" s="1" t="n">
        <v>45895</v>
      </c>
      <c r="D3689" t="inlineStr">
        <is>
          <t>NORRBOTTENS LÄN</t>
        </is>
      </c>
      <c r="E3689" t="inlineStr">
        <is>
          <t>ÖVERTORNEÅ</t>
        </is>
      </c>
      <c r="G3689" t="n">
        <v>16.3</v>
      </c>
      <c r="H3689" t="n">
        <v>0</v>
      </c>
      <c r="I3689" t="n">
        <v>0</v>
      </c>
      <c r="J3689" t="n">
        <v>0</v>
      </c>
      <c r="K3689" t="n">
        <v>0</v>
      </c>
      <c r="L3689" t="n">
        <v>0</v>
      </c>
      <c r="M3689" t="n">
        <v>0</v>
      </c>
      <c r="N3689" t="n">
        <v>0</v>
      </c>
      <c r="O3689" t="n">
        <v>0</v>
      </c>
      <c r="P3689" t="n">
        <v>0</v>
      </c>
      <c r="Q3689" t="n">
        <v>0</v>
      </c>
      <c r="R3689" s="2" t="inlineStr"/>
    </row>
    <row r="3690" ht="15" customHeight="1">
      <c r="A3690" t="inlineStr">
        <is>
          <t>A 27543-2025</t>
        </is>
      </c>
      <c r="B3690" s="1" t="n">
        <v>45813.46928240741</v>
      </c>
      <c r="C3690" s="1" t="n">
        <v>45895</v>
      </c>
      <c r="D3690" t="inlineStr">
        <is>
          <t>NORRBOTTENS LÄN</t>
        </is>
      </c>
      <c r="E3690" t="inlineStr">
        <is>
          <t>BODEN</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48210-2024</t>
        </is>
      </c>
      <c r="B3691" s="1" t="n">
        <v>45590</v>
      </c>
      <c r="C3691" s="1" t="n">
        <v>45895</v>
      </c>
      <c r="D3691" t="inlineStr">
        <is>
          <t>NORRBOTTENS LÄN</t>
        </is>
      </c>
      <c r="E3691" t="inlineStr">
        <is>
          <t>JOKKMOKK</t>
        </is>
      </c>
      <c r="F3691" t="inlineStr">
        <is>
          <t>SCA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20578-2025</t>
        </is>
      </c>
      <c r="B3692" s="1" t="n">
        <v>45775</v>
      </c>
      <c r="C3692" s="1" t="n">
        <v>45895</v>
      </c>
      <c r="D3692" t="inlineStr">
        <is>
          <t>NORRBOTTENS LÄN</t>
        </is>
      </c>
      <c r="E3692" t="inlineStr">
        <is>
          <t>KIRUNA</t>
        </is>
      </c>
      <c r="F3692" t="inlineStr">
        <is>
          <t>Sveaskog</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27567-2025</t>
        </is>
      </c>
      <c r="B3693" s="1" t="n">
        <v>45813.48991898148</v>
      </c>
      <c r="C3693" s="1" t="n">
        <v>45895</v>
      </c>
      <c r="D3693" t="inlineStr">
        <is>
          <t>NORRBOTTENS LÄN</t>
        </is>
      </c>
      <c r="E3693" t="inlineStr">
        <is>
          <t>GÄLLIVARE</t>
        </is>
      </c>
      <c r="F3693" t="inlineStr">
        <is>
          <t>SCA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27605-2025</t>
        </is>
      </c>
      <c r="B3694" s="1" t="n">
        <v>45813</v>
      </c>
      <c r="C3694" s="1" t="n">
        <v>45895</v>
      </c>
      <c r="D3694" t="inlineStr">
        <is>
          <t>NORRBOTTENS LÄN</t>
        </is>
      </c>
      <c r="E3694" t="inlineStr">
        <is>
          <t>BODEN</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27454-2025</t>
        </is>
      </c>
      <c r="B3695" s="1" t="n">
        <v>45813.34469907408</v>
      </c>
      <c r="C3695" s="1" t="n">
        <v>45895</v>
      </c>
      <c r="D3695" t="inlineStr">
        <is>
          <t>NORRBOTTENS LÄN</t>
        </is>
      </c>
      <c r="E3695" t="inlineStr">
        <is>
          <t>ÖVERKALIX</t>
        </is>
      </c>
      <c r="F3695" t="inlineStr">
        <is>
          <t>SCA</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4868-2025</t>
        </is>
      </c>
      <c r="B3696" s="1" t="n">
        <v>45688</v>
      </c>
      <c r="C3696" s="1" t="n">
        <v>45895</v>
      </c>
      <c r="D3696" t="inlineStr">
        <is>
          <t>NORRBOTTENS LÄN</t>
        </is>
      </c>
      <c r="E3696" t="inlineStr">
        <is>
          <t>PITEÅ</t>
        </is>
      </c>
      <c r="F3696" t="inlineStr">
        <is>
          <t>SCA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54521-2023</t>
        </is>
      </c>
      <c r="B3697" s="1" t="n">
        <v>45226</v>
      </c>
      <c r="C3697" s="1" t="n">
        <v>45895</v>
      </c>
      <c r="D3697" t="inlineStr">
        <is>
          <t>NORRBOTTENS LÄN</t>
        </is>
      </c>
      <c r="E3697" t="inlineStr">
        <is>
          <t>ARVIDSJAUR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2705-2024</t>
        </is>
      </c>
      <c r="B3698" s="1" t="n">
        <v>45314</v>
      </c>
      <c r="C3698" s="1" t="n">
        <v>45895</v>
      </c>
      <c r="D3698" t="inlineStr">
        <is>
          <t>NORRBOTTENS LÄN</t>
        </is>
      </c>
      <c r="E3698" t="inlineStr">
        <is>
          <t>KALIX</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3206-2024</t>
        </is>
      </c>
      <c r="B3699" s="1" t="n">
        <v>45316</v>
      </c>
      <c r="C3699" s="1" t="n">
        <v>45895</v>
      </c>
      <c r="D3699" t="inlineStr">
        <is>
          <t>NORRBOTTENS LÄN</t>
        </is>
      </c>
      <c r="E3699" t="inlineStr">
        <is>
          <t>ARVIDSJAUR</t>
        </is>
      </c>
      <c r="F3699" t="inlineStr">
        <is>
          <t>Allmännings- och besparingsskogar</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57052-2023</t>
        </is>
      </c>
      <c r="B3700" s="1" t="n">
        <v>45244</v>
      </c>
      <c r="C3700" s="1" t="n">
        <v>45895</v>
      </c>
      <c r="D3700" t="inlineStr">
        <is>
          <t>NORRBOTTENS LÄN</t>
        </is>
      </c>
      <c r="E3700" t="inlineStr">
        <is>
          <t>PITEÅ</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57054-2023</t>
        </is>
      </c>
      <c r="B3701" s="1" t="n">
        <v>45244</v>
      </c>
      <c r="C3701" s="1" t="n">
        <v>45895</v>
      </c>
      <c r="D3701" t="inlineStr">
        <is>
          <t>NORRBOTTENS LÄN</t>
        </is>
      </c>
      <c r="E3701" t="inlineStr">
        <is>
          <t>PITEÅ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57195-2023</t>
        </is>
      </c>
      <c r="B3702" s="1" t="n">
        <v>45245</v>
      </c>
      <c r="C3702" s="1" t="n">
        <v>45895</v>
      </c>
      <c r="D3702" t="inlineStr">
        <is>
          <t>NORRBOTTENS LÄN</t>
        </is>
      </c>
      <c r="E3702" t="inlineStr">
        <is>
          <t>PITEÅ</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26267-2022</t>
        </is>
      </c>
      <c r="B3703" s="1" t="n">
        <v>44735.5158912037</v>
      </c>
      <c r="C3703" s="1" t="n">
        <v>45895</v>
      </c>
      <c r="D3703" t="inlineStr">
        <is>
          <t>NORRBOTTENS LÄN</t>
        </is>
      </c>
      <c r="E3703" t="inlineStr">
        <is>
          <t>LULEÅ</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19051-2025</t>
        </is>
      </c>
      <c r="B3704" s="1" t="n">
        <v>45764</v>
      </c>
      <c r="C3704" s="1" t="n">
        <v>45895</v>
      </c>
      <c r="D3704" t="inlineStr">
        <is>
          <t>NORRBOTTENS LÄN</t>
        </is>
      </c>
      <c r="E3704" t="inlineStr">
        <is>
          <t>BODEN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15546-2024</t>
        </is>
      </c>
      <c r="B3705" s="1" t="n">
        <v>45401.62734953704</v>
      </c>
      <c r="C3705" s="1" t="n">
        <v>45895</v>
      </c>
      <c r="D3705" t="inlineStr">
        <is>
          <t>NORRBOTTENS LÄN</t>
        </is>
      </c>
      <c r="E3705" t="inlineStr">
        <is>
          <t>ÖVERKALIX</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50080-2024</t>
        </is>
      </c>
      <c r="B3706" s="1" t="n">
        <v>45600</v>
      </c>
      <c r="C3706" s="1" t="n">
        <v>45895</v>
      </c>
      <c r="D3706" t="inlineStr">
        <is>
          <t>NORRBOTTENS LÄN</t>
        </is>
      </c>
      <c r="E3706" t="inlineStr">
        <is>
          <t>PITEÅ</t>
        </is>
      </c>
      <c r="F3706" t="inlineStr">
        <is>
          <t>Sveaskog</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41009-2022</t>
        </is>
      </c>
      <c r="B3707" s="1" t="n">
        <v>44817</v>
      </c>
      <c r="C3707" s="1" t="n">
        <v>45895</v>
      </c>
      <c r="D3707" t="inlineStr">
        <is>
          <t>NORRBOTTENS LÄN</t>
        </is>
      </c>
      <c r="E3707" t="inlineStr">
        <is>
          <t>HAPARANDA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50095-2024</t>
        </is>
      </c>
      <c r="B3708" s="1" t="n">
        <v>45600</v>
      </c>
      <c r="C3708" s="1" t="n">
        <v>45895</v>
      </c>
      <c r="D3708" t="inlineStr">
        <is>
          <t>NORRBOTTENS LÄN</t>
        </is>
      </c>
      <c r="E3708" t="inlineStr">
        <is>
          <t>GÄLLIVARE</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46622-2021</t>
        </is>
      </c>
      <c r="B3709" s="1" t="n">
        <v>44445.56966435185</v>
      </c>
      <c r="C3709" s="1" t="n">
        <v>45895</v>
      </c>
      <c r="D3709" t="inlineStr">
        <is>
          <t>NORRBOTTENS LÄN</t>
        </is>
      </c>
      <c r="E3709" t="inlineStr">
        <is>
          <t>KALIX</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27508-2025</t>
        </is>
      </c>
      <c r="B3710" s="1" t="n">
        <v>45813.42777777778</v>
      </c>
      <c r="C3710" s="1" t="n">
        <v>45895</v>
      </c>
      <c r="D3710" t="inlineStr">
        <is>
          <t>NORRBOTTENS LÄN</t>
        </is>
      </c>
      <c r="E3710" t="inlineStr">
        <is>
          <t>BODEN</t>
        </is>
      </c>
      <c r="F3710" t="inlineStr">
        <is>
          <t>SCA</t>
        </is>
      </c>
      <c r="G3710" t="n">
        <v>13.9</v>
      </c>
      <c r="H3710" t="n">
        <v>0</v>
      </c>
      <c r="I3710" t="n">
        <v>0</v>
      </c>
      <c r="J3710" t="n">
        <v>0</v>
      </c>
      <c r="K3710" t="n">
        <v>0</v>
      </c>
      <c r="L3710" t="n">
        <v>0</v>
      </c>
      <c r="M3710" t="n">
        <v>0</v>
      </c>
      <c r="N3710" t="n">
        <v>0</v>
      </c>
      <c r="O3710" t="n">
        <v>0</v>
      </c>
      <c r="P3710" t="n">
        <v>0</v>
      </c>
      <c r="Q3710" t="n">
        <v>0</v>
      </c>
      <c r="R3710" s="2" t="inlineStr"/>
    </row>
    <row r="3711" ht="15" customHeight="1">
      <c r="A3711" t="inlineStr">
        <is>
          <t>A 27576-2025</t>
        </is>
      </c>
      <c r="B3711" s="1" t="n">
        <v>45813.49092592593</v>
      </c>
      <c r="C3711" s="1" t="n">
        <v>45895</v>
      </c>
      <c r="D3711" t="inlineStr">
        <is>
          <t>NORRBOTTENS LÄN</t>
        </is>
      </c>
      <c r="E3711" t="inlineStr">
        <is>
          <t>BODEN</t>
        </is>
      </c>
      <c r="F3711" t="inlineStr">
        <is>
          <t>SCA</t>
        </is>
      </c>
      <c r="G3711" t="n">
        <v>17.7</v>
      </c>
      <c r="H3711" t="n">
        <v>0</v>
      </c>
      <c r="I3711" t="n">
        <v>0</v>
      </c>
      <c r="J3711" t="n">
        <v>0</v>
      </c>
      <c r="K3711" t="n">
        <v>0</v>
      </c>
      <c r="L3711" t="n">
        <v>0</v>
      </c>
      <c r="M3711" t="n">
        <v>0</v>
      </c>
      <c r="N3711" t="n">
        <v>0</v>
      </c>
      <c r="O3711" t="n">
        <v>0</v>
      </c>
      <c r="P3711" t="n">
        <v>0</v>
      </c>
      <c r="Q3711" t="n">
        <v>0</v>
      </c>
      <c r="R3711" s="2" t="inlineStr"/>
    </row>
    <row r="3712" ht="15" customHeight="1">
      <c r="A3712" t="inlineStr">
        <is>
          <t>A 50119-2024</t>
        </is>
      </c>
      <c r="B3712" s="1" t="n">
        <v>45600.41550925926</v>
      </c>
      <c r="C3712" s="1" t="n">
        <v>45895</v>
      </c>
      <c r="D3712" t="inlineStr">
        <is>
          <t>NORRBOTTENS LÄN</t>
        </is>
      </c>
      <c r="E3712" t="inlineStr">
        <is>
          <t>ARVIDSJAUR</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49478-2024</t>
        </is>
      </c>
      <c r="B3713" s="1" t="n">
        <v>45596.34599537037</v>
      </c>
      <c r="C3713" s="1" t="n">
        <v>45895</v>
      </c>
      <c r="D3713" t="inlineStr">
        <is>
          <t>NORRBOTTENS LÄN</t>
        </is>
      </c>
      <c r="E3713" t="inlineStr">
        <is>
          <t>JOKKMOKK</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49728-2024</t>
        </is>
      </c>
      <c r="B3714" s="1" t="n">
        <v>45596.7612962963</v>
      </c>
      <c r="C3714" s="1" t="n">
        <v>45895</v>
      </c>
      <c r="D3714" t="inlineStr">
        <is>
          <t>NORRBOTTENS LÄN</t>
        </is>
      </c>
      <c r="E3714" t="inlineStr">
        <is>
          <t>BODEN</t>
        </is>
      </c>
      <c r="G3714" t="n">
        <v>22.7</v>
      </c>
      <c r="H3714" t="n">
        <v>0</v>
      </c>
      <c r="I3714" t="n">
        <v>0</v>
      </c>
      <c r="J3714" t="n">
        <v>0</v>
      </c>
      <c r="K3714" t="n">
        <v>0</v>
      </c>
      <c r="L3714" t="n">
        <v>0</v>
      </c>
      <c r="M3714" t="n">
        <v>0</v>
      </c>
      <c r="N3714" t="n">
        <v>0</v>
      </c>
      <c r="O3714" t="n">
        <v>0</v>
      </c>
      <c r="P3714" t="n">
        <v>0</v>
      </c>
      <c r="Q3714" t="n">
        <v>0</v>
      </c>
      <c r="R3714" s="2" t="inlineStr"/>
    </row>
    <row r="3715" ht="15" customHeight="1">
      <c r="A3715" t="inlineStr">
        <is>
          <t>A 27685-2025</t>
        </is>
      </c>
      <c r="B3715" s="1" t="n">
        <v>45813.65023148148</v>
      </c>
      <c r="C3715" s="1" t="n">
        <v>45895</v>
      </c>
      <c r="D3715" t="inlineStr">
        <is>
          <t>NORRBOTTENS LÄN</t>
        </is>
      </c>
      <c r="E3715" t="inlineStr">
        <is>
          <t>JOKKMOKK</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63801-2023</t>
        </is>
      </c>
      <c r="B3716" s="1" t="n">
        <v>45278.42126157408</v>
      </c>
      <c r="C3716" s="1" t="n">
        <v>45895</v>
      </c>
      <c r="D3716" t="inlineStr">
        <is>
          <t>NORRBOTTENS LÄN</t>
        </is>
      </c>
      <c r="E3716" t="inlineStr">
        <is>
          <t>LULEÅ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35471-2025</t>
        </is>
      </c>
      <c r="B3717" s="1" t="n">
        <v>45855</v>
      </c>
      <c r="C3717" s="1" t="n">
        <v>45895</v>
      </c>
      <c r="D3717" t="inlineStr">
        <is>
          <t>NORRBOTTENS LÄN</t>
        </is>
      </c>
      <c r="E3717" t="inlineStr">
        <is>
          <t>GÄLLIVARE</t>
        </is>
      </c>
      <c r="F3717" t="inlineStr">
        <is>
          <t>Allmännings- och besparingsskogar</t>
        </is>
      </c>
      <c r="G3717" t="n">
        <v>9.699999999999999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27613-2025</t>
        </is>
      </c>
      <c r="B3718" s="1" t="n">
        <v>45813.54103009259</v>
      </c>
      <c r="C3718" s="1" t="n">
        <v>45895</v>
      </c>
      <c r="D3718" t="inlineStr">
        <is>
          <t>NORRBOTTENS LÄN</t>
        </is>
      </c>
      <c r="E3718" t="inlineStr">
        <is>
          <t>ÖVERKALIX</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27686-2025</t>
        </is>
      </c>
      <c r="B3719" s="1" t="n">
        <v>45813.65408564815</v>
      </c>
      <c r="C3719" s="1" t="n">
        <v>45895</v>
      </c>
      <c r="D3719" t="inlineStr">
        <is>
          <t>NORRBOTTENS LÄN</t>
        </is>
      </c>
      <c r="E3719" t="inlineStr">
        <is>
          <t>PITEÅ</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27684-2025</t>
        </is>
      </c>
      <c r="B3720" s="1" t="n">
        <v>45813</v>
      </c>
      <c r="C3720" s="1" t="n">
        <v>45895</v>
      </c>
      <c r="D3720" t="inlineStr">
        <is>
          <t>NORRBOTTENS LÄN</t>
        </is>
      </c>
      <c r="E3720" t="inlineStr">
        <is>
          <t>PITEÅ</t>
        </is>
      </c>
      <c r="G3720" t="n">
        <v>23.5</v>
      </c>
      <c r="H3720" t="n">
        <v>0</v>
      </c>
      <c r="I3720" t="n">
        <v>0</v>
      </c>
      <c r="J3720" t="n">
        <v>0</v>
      </c>
      <c r="K3720" t="n">
        <v>0</v>
      </c>
      <c r="L3720" t="n">
        <v>0</v>
      </c>
      <c r="M3720" t="n">
        <v>0</v>
      </c>
      <c r="N3720" t="n">
        <v>0</v>
      </c>
      <c r="O3720" t="n">
        <v>0</v>
      </c>
      <c r="P3720" t="n">
        <v>0</v>
      </c>
      <c r="Q3720" t="n">
        <v>0</v>
      </c>
      <c r="R3720" s="2" t="inlineStr"/>
    </row>
    <row r="3721" ht="15" customHeight="1">
      <c r="A3721" t="inlineStr">
        <is>
          <t>A 27452-2025</t>
        </is>
      </c>
      <c r="B3721" s="1" t="n">
        <v>45813.34443287037</v>
      </c>
      <c r="C3721" s="1" t="n">
        <v>45895</v>
      </c>
      <c r="D3721" t="inlineStr">
        <is>
          <t>NORRBOTTENS LÄN</t>
        </is>
      </c>
      <c r="E3721" t="inlineStr">
        <is>
          <t>ÖVERKALIX</t>
        </is>
      </c>
      <c r="F3721" t="inlineStr">
        <is>
          <t>SCA</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24644-2024</t>
        </is>
      </c>
      <c r="B3722" s="1" t="n">
        <v>45460</v>
      </c>
      <c r="C3722" s="1" t="n">
        <v>45895</v>
      </c>
      <c r="D3722" t="inlineStr">
        <is>
          <t>NORRBOTTENS LÄN</t>
        </is>
      </c>
      <c r="E3722" t="inlineStr">
        <is>
          <t>ÖVERTORNEÅ</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27050-2022</t>
        </is>
      </c>
      <c r="B3723" s="1" t="n">
        <v>44741</v>
      </c>
      <c r="C3723" s="1" t="n">
        <v>45895</v>
      </c>
      <c r="D3723" t="inlineStr">
        <is>
          <t>NORRBOTTENS LÄN</t>
        </is>
      </c>
      <c r="E3723" t="inlineStr">
        <is>
          <t>GÄLLIVARE</t>
        </is>
      </c>
      <c r="F3723" t="inlineStr">
        <is>
          <t>Övriga Aktiebolag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50807-2023</t>
        </is>
      </c>
      <c r="B3724" s="1" t="n">
        <v>45217</v>
      </c>
      <c r="C3724" s="1" t="n">
        <v>45895</v>
      </c>
      <c r="D3724" t="inlineStr">
        <is>
          <t>NORRBOTTENS LÄN</t>
        </is>
      </c>
      <c r="E3724" t="inlineStr">
        <is>
          <t>ÖVERTORNEÅ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7429-2021</t>
        </is>
      </c>
      <c r="B3725" s="1" t="n">
        <v>44239</v>
      </c>
      <c r="C3725" s="1" t="n">
        <v>45895</v>
      </c>
      <c r="D3725" t="inlineStr">
        <is>
          <t>NORRBOTTENS LÄN</t>
        </is>
      </c>
      <c r="E3725" t="inlineStr">
        <is>
          <t>LULEÅ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27602-2025</t>
        </is>
      </c>
      <c r="B3726" s="1" t="n">
        <v>45813</v>
      </c>
      <c r="C3726" s="1" t="n">
        <v>45895</v>
      </c>
      <c r="D3726" t="inlineStr">
        <is>
          <t>NORRBOTTENS LÄN</t>
        </is>
      </c>
      <c r="E3726" t="inlineStr">
        <is>
          <t>BODEN</t>
        </is>
      </c>
      <c r="F3726" t="inlineStr">
        <is>
          <t>SCA</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57579-2023</t>
        </is>
      </c>
      <c r="B3727" s="1" t="n">
        <v>45246</v>
      </c>
      <c r="C3727" s="1" t="n">
        <v>45895</v>
      </c>
      <c r="D3727" t="inlineStr">
        <is>
          <t>NORRBOTTENS LÄN</t>
        </is>
      </c>
      <c r="E3727" t="inlineStr">
        <is>
          <t>BODEN</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57602-2023</t>
        </is>
      </c>
      <c r="B3728" s="1" t="n">
        <v>45246</v>
      </c>
      <c r="C3728" s="1" t="n">
        <v>45895</v>
      </c>
      <c r="D3728" t="inlineStr">
        <is>
          <t>NORRBOTTENS LÄN</t>
        </is>
      </c>
      <c r="E3728" t="inlineStr">
        <is>
          <t>PAJALA</t>
        </is>
      </c>
      <c r="F3728" t="inlineStr">
        <is>
          <t>Sveaskog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17412-2024</t>
        </is>
      </c>
      <c r="B3729" s="1" t="n">
        <v>45414</v>
      </c>
      <c r="C3729" s="1" t="n">
        <v>45895</v>
      </c>
      <c r="D3729" t="inlineStr">
        <is>
          <t>NORRBOTTENS LÄN</t>
        </is>
      </c>
      <c r="E3729" t="inlineStr">
        <is>
          <t>BODEN</t>
        </is>
      </c>
      <c r="G3729" t="n">
        <v>14.6</v>
      </c>
      <c r="H3729" t="n">
        <v>0</v>
      </c>
      <c r="I3729" t="n">
        <v>0</v>
      </c>
      <c r="J3729" t="n">
        <v>0</v>
      </c>
      <c r="K3729" t="n">
        <v>0</v>
      </c>
      <c r="L3729" t="n">
        <v>0</v>
      </c>
      <c r="M3729" t="n">
        <v>0</v>
      </c>
      <c r="N3729" t="n">
        <v>0</v>
      </c>
      <c r="O3729" t="n">
        <v>0</v>
      </c>
      <c r="P3729" t="n">
        <v>0</v>
      </c>
      <c r="Q3729" t="n">
        <v>0</v>
      </c>
      <c r="R3729" s="2" t="inlineStr"/>
    </row>
    <row r="3730" ht="15" customHeight="1">
      <c r="A3730" t="inlineStr">
        <is>
          <t>A 17413-2024</t>
        </is>
      </c>
      <c r="B3730" s="1" t="n">
        <v>45414.95038194444</v>
      </c>
      <c r="C3730" s="1" t="n">
        <v>45895</v>
      </c>
      <c r="D3730" t="inlineStr">
        <is>
          <t>NORRBOTTENS LÄN</t>
        </is>
      </c>
      <c r="E3730" t="inlineStr">
        <is>
          <t>BODEN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18866-2025</t>
        </is>
      </c>
      <c r="B3731" s="1" t="n">
        <v>45764</v>
      </c>
      <c r="C3731" s="1" t="n">
        <v>45895</v>
      </c>
      <c r="D3731" t="inlineStr">
        <is>
          <t>NORRBOTTENS LÄN</t>
        </is>
      </c>
      <c r="E3731" t="inlineStr">
        <is>
          <t>BODEN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18890-2025</t>
        </is>
      </c>
      <c r="B3732" s="1" t="n">
        <v>45764.44585648148</v>
      </c>
      <c r="C3732" s="1" t="n">
        <v>45895</v>
      </c>
      <c r="D3732" t="inlineStr">
        <is>
          <t>NORRBOTTENS LÄN</t>
        </is>
      </c>
      <c r="E3732" t="inlineStr">
        <is>
          <t>BODEN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18958-2025</t>
        </is>
      </c>
      <c r="B3733" s="1" t="n">
        <v>45764</v>
      </c>
      <c r="C3733" s="1" t="n">
        <v>45895</v>
      </c>
      <c r="D3733" t="inlineStr">
        <is>
          <t>NORRBOTTENS LÄN</t>
        </is>
      </c>
      <c r="E3733" t="inlineStr">
        <is>
          <t>ÄLVSBYN</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18428-2025</t>
        </is>
      </c>
      <c r="B3734" s="1" t="n">
        <v>45762</v>
      </c>
      <c r="C3734" s="1" t="n">
        <v>45895</v>
      </c>
      <c r="D3734" t="inlineStr">
        <is>
          <t>NORRBOTTENS LÄN</t>
        </is>
      </c>
      <c r="E3734" t="inlineStr">
        <is>
          <t>BODEN</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27593-2025</t>
        </is>
      </c>
      <c r="B3735" s="1" t="n">
        <v>45813</v>
      </c>
      <c r="C3735" s="1" t="n">
        <v>45895</v>
      </c>
      <c r="D3735" t="inlineStr">
        <is>
          <t>NORRBOTTENS LÄN</t>
        </is>
      </c>
      <c r="E3735" t="inlineStr">
        <is>
          <t>HAPARANDA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64524-2023</t>
        </is>
      </c>
      <c r="B3736" s="1" t="n">
        <v>45281</v>
      </c>
      <c r="C3736" s="1" t="n">
        <v>45895</v>
      </c>
      <c r="D3736" t="inlineStr">
        <is>
          <t>NORRBOTTENS LÄN</t>
        </is>
      </c>
      <c r="E3736" t="inlineStr">
        <is>
          <t>ÖVERKALIX</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27451-2025</t>
        </is>
      </c>
      <c r="B3737" s="1" t="n">
        <v>45813.34421296296</v>
      </c>
      <c r="C3737" s="1" t="n">
        <v>45895</v>
      </c>
      <c r="D3737" t="inlineStr">
        <is>
          <t>NORRBOTTENS LÄN</t>
        </is>
      </c>
      <c r="E3737" t="inlineStr">
        <is>
          <t>ÖVERKALIX</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27456-2025</t>
        </is>
      </c>
      <c r="B3738" s="1" t="n">
        <v>45813.3452662037</v>
      </c>
      <c r="C3738" s="1" t="n">
        <v>45895</v>
      </c>
      <c r="D3738" t="inlineStr">
        <is>
          <t>NORRBOTTENS LÄN</t>
        </is>
      </c>
      <c r="E3738" t="inlineStr">
        <is>
          <t>ÖVERKALIX</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27457-2025</t>
        </is>
      </c>
      <c r="B3739" s="1" t="n">
        <v>45813.34533564815</v>
      </c>
      <c r="C3739" s="1" t="n">
        <v>45895</v>
      </c>
      <c r="D3739" t="inlineStr">
        <is>
          <t>NORRBOTTENS LÄN</t>
        </is>
      </c>
      <c r="E3739" t="inlineStr">
        <is>
          <t>ÖVERKALIX</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16052-2025</t>
        </is>
      </c>
      <c r="B3740" s="1" t="n">
        <v>45749.64261574074</v>
      </c>
      <c r="C3740" s="1" t="n">
        <v>45895</v>
      </c>
      <c r="D3740" t="inlineStr">
        <is>
          <t>NORRBOTTENS LÄN</t>
        </is>
      </c>
      <c r="E3740" t="inlineStr">
        <is>
          <t>LULEÅ</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19584-2025</t>
        </is>
      </c>
      <c r="B3741" s="1" t="n">
        <v>45770.56699074074</v>
      </c>
      <c r="C3741" s="1" t="n">
        <v>45895</v>
      </c>
      <c r="D3741" t="inlineStr">
        <is>
          <t>NORRBOTTENS LÄN</t>
        </is>
      </c>
      <c r="E3741" t="inlineStr">
        <is>
          <t>BODEN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27455-2025</t>
        </is>
      </c>
      <c r="B3742" s="1" t="n">
        <v>45813.34486111111</v>
      </c>
      <c r="C3742" s="1" t="n">
        <v>45895</v>
      </c>
      <c r="D3742" t="inlineStr">
        <is>
          <t>NORRBOTTENS LÄN</t>
        </is>
      </c>
      <c r="E3742" t="inlineStr">
        <is>
          <t>ÖVERKALIX</t>
        </is>
      </c>
      <c r="F3742" t="inlineStr">
        <is>
          <t>SCA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33848-2022</t>
        </is>
      </c>
      <c r="B3743" s="1" t="n">
        <v>44790</v>
      </c>
      <c r="C3743" s="1" t="n">
        <v>45895</v>
      </c>
      <c r="D3743" t="inlineStr">
        <is>
          <t>NORRBOTTENS LÄN</t>
        </is>
      </c>
      <c r="E3743" t="inlineStr">
        <is>
          <t>ÄLVSBYN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43003-2023</t>
        </is>
      </c>
      <c r="B3744" s="1" t="n">
        <v>45180</v>
      </c>
      <c r="C3744" s="1" t="n">
        <v>45895</v>
      </c>
      <c r="D3744" t="inlineStr">
        <is>
          <t>NORRBOTTENS LÄN</t>
        </is>
      </c>
      <c r="E3744" t="inlineStr">
        <is>
          <t>HAPARANDA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35421-2025</t>
        </is>
      </c>
      <c r="B3745" s="1" t="n">
        <v>45855.41163194444</v>
      </c>
      <c r="C3745" s="1" t="n">
        <v>45895</v>
      </c>
      <c r="D3745" t="inlineStr">
        <is>
          <t>NORRBOTTENS LÄN</t>
        </is>
      </c>
      <c r="E3745" t="inlineStr">
        <is>
          <t>PAJALA</t>
        </is>
      </c>
      <c r="F3745" t="inlineStr">
        <is>
          <t>Sveaskog</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35470-2025</t>
        </is>
      </c>
      <c r="B3746" s="1" t="n">
        <v>45855</v>
      </c>
      <c r="C3746" s="1" t="n">
        <v>45895</v>
      </c>
      <c r="D3746" t="inlineStr">
        <is>
          <t>NORRBOTTENS LÄN</t>
        </is>
      </c>
      <c r="E3746" t="inlineStr">
        <is>
          <t>GÄLLIVARE</t>
        </is>
      </c>
      <c r="F3746" t="inlineStr">
        <is>
          <t>Allmännings- och besparingsskogar</t>
        </is>
      </c>
      <c r="G3746" t="n">
        <v>9.4</v>
      </c>
      <c r="H3746" t="n">
        <v>0</v>
      </c>
      <c r="I3746" t="n">
        <v>0</v>
      </c>
      <c r="J3746" t="n">
        <v>0</v>
      </c>
      <c r="K3746" t="n">
        <v>0</v>
      </c>
      <c r="L3746" t="n">
        <v>0</v>
      </c>
      <c r="M3746" t="n">
        <v>0</v>
      </c>
      <c r="N3746" t="n">
        <v>0</v>
      </c>
      <c r="O3746" t="n">
        <v>0</v>
      </c>
      <c r="P3746" t="n">
        <v>0</v>
      </c>
      <c r="Q3746" t="n">
        <v>0</v>
      </c>
      <c r="R3746" s="2" t="inlineStr"/>
    </row>
    <row r="3747" ht="15" customHeight="1">
      <c r="A3747" t="inlineStr">
        <is>
          <t>A 31774-2022</t>
        </is>
      </c>
      <c r="B3747" s="1" t="n">
        <v>44776</v>
      </c>
      <c r="C3747" s="1" t="n">
        <v>45895</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15045-2025</t>
        </is>
      </c>
      <c r="B3748" s="1" t="n">
        <v>45743</v>
      </c>
      <c r="C3748" s="1" t="n">
        <v>45895</v>
      </c>
      <c r="D3748" t="inlineStr">
        <is>
          <t>NORRBOTTENS LÄN</t>
        </is>
      </c>
      <c r="E3748" t="inlineStr">
        <is>
          <t>ÖVERTORNEÅ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27507-2025</t>
        </is>
      </c>
      <c r="B3749" s="1" t="n">
        <v>45813.42753472222</v>
      </c>
      <c r="C3749" s="1" t="n">
        <v>45895</v>
      </c>
      <c r="D3749" t="inlineStr">
        <is>
          <t>NORRBOTTENS LÄN</t>
        </is>
      </c>
      <c r="E3749" t="inlineStr">
        <is>
          <t>BODEN</t>
        </is>
      </c>
      <c r="F3749" t="inlineStr">
        <is>
          <t>Naturvårdsverket</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51174-2023</t>
        </is>
      </c>
      <c r="B3750" s="1" t="n">
        <v>45219.38791666667</v>
      </c>
      <c r="C3750" s="1" t="n">
        <v>45895</v>
      </c>
      <c r="D3750" t="inlineStr">
        <is>
          <t>NORRBOTTENS LÄN</t>
        </is>
      </c>
      <c r="E3750" t="inlineStr">
        <is>
          <t>PITEÅ</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49889-2023</t>
        </is>
      </c>
      <c r="B3751" s="1" t="n">
        <v>45213.65107638889</v>
      </c>
      <c r="C3751" s="1" t="n">
        <v>45895</v>
      </c>
      <c r="D3751" t="inlineStr">
        <is>
          <t>NORRBOTTENS LÄN</t>
        </is>
      </c>
      <c r="E3751" t="inlineStr">
        <is>
          <t>KALIX</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17290-2025</t>
        </is>
      </c>
      <c r="B3752" s="1" t="n">
        <v>45756.58515046296</v>
      </c>
      <c r="C3752" s="1" t="n">
        <v>45895</v>
      </c>
      <c r="D3752" t="inlineStr">
        <is>
          <t>NORRBOTTENS LÄN</t>
        </is>
      </c>
      <c r="E3752" t="inlineStr">
        <is>
          <t>LULEÅ</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45026-2023</t>
        </is>
      </c>
      <c r="B3753" s="1" t="n">
        <v>45190.96262731482</v>
      </c>
      <c r="C3753" s="1" t="n">
        <v>45895</v>
      </c>
      <c r="D3753" t="inlineStr">
        <is>
          <t>NORRBOTTENS LÄN</t>
        </is>
      </c>
      <c r="E3753" t="inlineStr">
        <is>
          <t>GÄLLIVARE</t>
        </is>
      </c>
      <c r="F3753" t="inlineStr">
        <is>
          <t>SCA</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32387-2022</t>
        </is>
      </c>
      <c r="B3754" s="1" t="n">
        <v>44782</v>
      </c>
      <c r="C3754" s="1" t="n">
        <v>45895</v>
      </c>
      <c r="D3754" t="inlineStr">
        <is>
          <t>NORRBOTTENS LÄN</t>
        </is>
      </c>
      <c r="E3754" t="inlineStr">
        <is>
          <t>PITEÅ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41001-2024</t>
        </is>
      </c>
      <c r="B3755" s="1" t="n">
        <v>45558.8234837963</v>
      </c>
      <c r="C3755" s="1" t="n">
        <v>45895</v>
      </c>
      <c r="D3755" t="inlineStr">
        <is>
          <t>NORRBOTTENS LÄN</t>
        </is>
      </c>
      <c r="E3755" t="inlineStr">
        <is>
          <t>PAJALA</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39463-2023</t>
        </is>
      </c>
      <c r="B3756" s="1" t="n">
        <v>45166.83878472223</v>
      </c>
      <c r="C3756" s="1" t="n">
        <v>45895</v>
      </c>
      <c r="D3756" t="inlineStr">
        <is>
          <t>NORRBOTTENS LÄN</t>
        </is>
      </c>
      <c r="E3756" t="inlineStr">
        <is>
          <t>BODEN</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58699-2023</t>
        </is>
      </c>
      <c r="B3757" s="1" t="n">
        <v>45251.68087962963</v>
      </c>
      <c r="C3757" s="1" t="n">
        <v>45895</v>
      </c>
      <c r="D3757" t="inlineStr">
        <is>
          <t>NORRBOTTENS LÄN</t>
        </is>
      </c>
      <c r="E3757" t="inlineStr">
        <is>
          <t>PAJALA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39556-2023</t>
        </is>
      </c>
      <c r="B3758" s="1" t="n">
        <v>45167</v>
      </c>
      <c r="C3758" s="1" t="n">
        <v>45895</v>
      </c>
      <c r="D3758" t="inlineStr">
        <is>
          <t>NORRBOTTENS LÄN</t>
        </is>
      </c>
      <c r="E3758" t="inlineStr">
        <is>
          <t>PITEÅ</t>
        </is>
      </c>
      <c r="F3758" t="inlineStr">
        <is>
          <t>Sveaskog</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14995-2022</t>
        </is>
      </c>
      <c r="B3759" s="1" t="n">
        <v>44657</v>
      </c>
      <c r="C3759" s="1" t="n">
        <v>45895</v>
      </c>
      <c r="D3759" t="inlineStr">
        <is>
          <t>NORRBOTTENS LÄN</t>
        </is>
      </c>
      <c r="E3759" t="inlineStr">
        <is>
          <t>BODEN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15000-2022</t>
        </is>
      </c>
      <c r="B3760" s="1" t="n">
        <v>44657</v>
      </c>
      <c r="C3760" s="1" t="n">
        <v>45895</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30676-2023</t>
        </is>
      </c>
      <c r="B3761" s="1" t="n">
        <v>45112</v>
      </c>
      <c r="C3761" s="1" t="n">
        <v>45895</v>
      </c>
      <c r="D3761" t="inlineStr">
        <is>
          <t>NORRBOTTENS LÄN</t>
        </is>
      </c>
      <c r="E3761" t="inlineStr">
        <is>
          <t>KALIX</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30756-2023</t>
        </is>
      </c>
      <c r="B3762" s="1" t="n">
        <v>45103</v>
      </c>
      <c r="C3762" s="1" t="n">
        <v>45895</v>
      </c>
      <c r="D3762" t="inlineStr">
        <is>
          <t>NORRBOTTENS LÄN</t>
        </is>
      </c>
      <c r="E3762" t="inlineStr">
        <is>
          <t>ARVIDSJAUR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30781-2023</t>
        </is>
      </c>
      <c r="B3763" s="1" t="n">
        <v>45112</v>
      </c>
      <c r="C3763" s="1" t="n">
        <v>45895</v>
      </c>
      <c r="D3763" t="inlineStr">
        <is>
          <t>NORRBOTTENS LÄN</t>
        </is>
      </c>
      <c r="E3763" t="inlineStr">
        <is>
          <t>GÄLLIVARE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3504-2024</t>
        </is>
      </c>
      <c r="B3764" s="1" t="n">
        <v>45320</v>
      </c>
      <c r="C3764" s="1" t="n">
        <v>45895</v>
      </c>
      <c r="D3764" t="inlineStr">
        <is>
          <t>NORRBOTTENS LÄN</t>
        </is>
      </c>
      <c r="E3764" t="inlineStr">
        <is>
          <t>PITEÅ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46784-2024</t>
        </is>
      </c>
      <c r="B3765" s="1" t="n">
        <v>45583.52376157408</v>
      </c>
      <c r="C3765" s="1" t="n">
        <v>45895</v>
      </c>
      <c r="D3765" t="inlineStr">
        <is>
          <t>NORRBOTTENS LÄN</t>
        </is>
      </c>
      <c r="E3765" t="inlineStr">
        <is>
          <t>ÄLVSBYN</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11207-2023</t>
        </is>
      </c>
      <c r="B3766" s="1" t="n">
        <v>44988</v>
      </c>
      <c r="C3766" s="1" t="n">
        <v>45895</v>
      </c>
      <c r="D3766" t="inlineStr">
        <is>
          <t>NORRBOTTENS LÄN</t>
        </is>
      </c>
      <c r="E3766" t="inlineStr">
        <is>
          <t>PAJALA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11647-2023</t>
        </is>
      </c>
      <c r="B3767" s="1" t="n">
        <v>44994</v>
      </c>
      <c r="C3767" s="1" t="n">
        <v>45895</v>
      </c>
      <c r="D3767" t="inlineStr">
        <is>
          <t>NORRBOTTENS LÄN</t>
        </is>
      </c>
      <c r="E3767" t="inlineStr">
        <is>
          <t>BODEN</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50691-2024</t>
        </is>
      </c>
      <c r="B3768" s="1" t="n">
        <v>45602</v>
      </c>
      <c r="C3768" s="1" t="n">
        <v>45895</v>
      </c>
      <c r="D3768" t="inlineStr">
        <is>
          <t>NORRBOTTENS LÄN</t>
        </is>
      </c>
      <c r="E3768" t="inlineStr">
        <is>
          <t>ÖVERKALIX</t>
        </is>
      </c>
      <c r="F3768" t="inlineStr">
        <is>
          <t>Sveaskog</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9940-2025</t>
        </is>
      </c>
      <c r="B3769" s="1" t="n">
        <v>45718.80024305556</v>
      </c>
      <c r="C3769" s="1" t="n">
        <v>45895</v>
      </c>
      <c r="D3769" t="inlineStr">
        <is>
          <t>NORRBOTTENS LÄN</t>
        </is>
      </c>
      <c r="E3769" t="inlineStr">
        <is>
          <t>BODEN</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3242-2025</t>
        </is>
      </c>
      <c r="B3770" s="1" t="n">
        <v>45679.50635416667</v>
      </c>
      <c r="C3770" s="1" t="n">
        <v>45895</v>
      </c>
      <c r="D3770" t="inlineStr">
        <is>
          <t>NORRBOTTENS LÄN</t>
        </is>
      </c>
      <c r="E3770" t="inlineStr">
        <is>
          <t>ÖVERKALIX</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17583-2024</t>
        </is>
      </c>
      <c r="B3771" s="1" t="n">
        <v>45415.9237037037</v>
      </c>
      <c r="C3771" s="1" t="n">
        <v>45895</v>
      </c>
      <c r="D3771" t="inlineStr">
        <is>
          <t>NORRBOTTENS LÄN</t>
        </is>
      </c>
      <c r="E3771" t="inlineStr">
        <is>
          <t>KALIX</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29960-2023</t>
        </is>
      </c>
      <c r="B3772" s="1" t="n">
        <v>45107.93924768519</v>
      </c>
      <c r="C3772" s="1" t="n">
        <v>45895</v>
      </c>
      <c r="D3772" t="inlineStr">
        <is>
          <t>NORRBOTTENS LÄN</t>
        </is>
      </c>
      <c r="E3772" t="inlineStr">
        <is>
          <t>ÖVERKALIX</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57968-2023</t>
        </is>
      </c>
      <c r="B3773" s="1" t="n">
        <v>45247.58217592593</v>
      </c>
      <c r="C3773" s="1" t="n">
        <v>45895</v>
      </c>
      <c r="D3773" t="inlineStr">
        <is>
          <t>NORRBOTTENS LÄN</t>
        </is>
      </c>
      <c r="E3773" t="inlineStr">
        <is>
          <t>BODEN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16741-2022</t>
        </is>
      </c>
      <c r="B3774" s="1" t="n">
        <v>44673</v>
      </c>
      <c r="C3774" s="1" t="n">
        <v>45895</v>
      </c>
      <c r="D3774" t="inlineStr">
        <is>
          <t>NORRBOTTENS LÄN</t>
        </is>
      </c>
      <c r="E3774" t="inlineStr">
        <is>
          <t>BODEN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55539-2024</t>
        </is>
      </c>
      <c r="B3775" s="1" t="n">
        <v>45622</v>
      </c>
      <c r="C3775" s="1" t="n">
        <v>45895</v>
      </c>
      <c r="D3775" t="inlineStr">
        <is>
          <t>NORRBOTTENS LÄN</t>
        </is>
      </c>
      <c r="E3775" t="inlineStr">
        <is>
          <t>KALIX</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58448-2023</t>
        </is>
      </c>
      <c r="B3776" s="1" t="n">
        <v>45250</v>
      </c>
      <c r="C3776" s="1" t="n">
        <v>45895</v>
      </c>
      <c r="D3776" t="inlineStr">
        <is>
          <t>NORRBOTTENS LÄN</t>
        </is>
      </c>
      <c r="E3776" t="inlineStr">
        <is>
          <t>ÄLVSBYN</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2682-2024</t>
        </is>
      </c>
      <c r="B3777" s="1" t="n">
        <v>45314</v>
      </c>
      <c r="C3777" s="1" t="n">
        <v>45895</v>
      </c>
      <c r="D3777" t="inlineStr">
        <is>
          <t>NORRBOTTENS LÄN</t>
        </is>
      </c>
      <c r="E3777" t="inlineStr">
        <is>
          <t>BODEN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58860-2022</t>
        </is>
      </c>
      <c r="B3778" s="1" t="n">
        <v>44896</v>
      </c>
      <c r="C3778" s="1" t="n">
        <v>45895</v>
      </c>
      <c r="D3778" t="inlineStr">
        <is>
          <t>NORRBOTTENS LÄN</t>
        </is>
      </c>
      <c r="E3778" t="inlineStr">
        <is>
          <t>KIRUNA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45182-2024</t>
        </is>
      </c>
      <c r="B3779" s="1" t="n">
        <v>45575.66403935185</v>
      </c>
      <c r="C3779" s="1" t="n">
        <v>45895</v>
      </c>
      <c r="D3779" t="inlineStr">
        <is>
          <t>NORRBOTTENS LÄN</t>
        </is>
      </c>
      <c r="E3779" t="inlineStr">
        <is>
          <t>LULEÅ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45769-2021</t>
        </is>
      </c>
      <c r="B3780" s="1" t="n">
        <v>44441</v>
      </c>
      <c r="C3780" s="1" t="n">
        <v>45895</v>
      </c>
      <c r="D3780" t="inlineStr">
        <is>
          <t>NORRBOTTENS LÄN</t>
        </is>
      </c>
      <c r="E3780" t="inlineStr">
        <is>
          <t>ARVIDSJAUR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27526-2025</t>
        </is>
      </c>
      <c r="B3781" s="1" t="n">
        <v>45813</v>
      </c>
      <c r="C3781" s="1" t="n">
        <v>45895</v>
      </c>
      <c r="D3781" t="inlineStr">
        <is>
          <t>NORRBOTTENS LÄN</t>
        </is>
      </c>
      <c r="E3781" t="inlineStr">
        <is>
          <t>LULEÅ</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11783-2025</t>
        </is>
      </c>
      <c r="B3782" s="1" t="n">
        <v>45727.71951388889</v>
      </c>
      <c r="C3782" s="1" t="n">
        <v>45895</v>
      </c>
      <c r="D3782" t="inlineStr">
        <is>
          <t>NORRBOTTENS LÄN</t>
        </is>
      </c>
      <c r="E3782" t="inlineStr">
        <is>
          <t>GÄLLIVARE</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51668-2022</t>
        </is>
      </c>
      <c r="B3783" s="1" t="n">
        <v>44867</v>
      </c>
      <c r="C3783" s="1" t="n">
        <v>45895</v>
      </c>
      <c r="D3783" t="inlineStr">
        <is>
          <t>NORRBOTTENS LÄN</t>
        </is>
      </c>
      <c r="E3783" t="inlineStr">
        <is>
          <t>LULEÅ</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42196-2024</t>
        </is>
      </c>
      <c r="B3784" s="1" t="n">
        <v>45562</v>
      </c>
      <c r="C3784" s="1" t="n">
        <v>45895</v>
      </c>
      <c r="D3784" t="inlineStr">
        <is>
          <t>NORRBOTTENS LÄN</t>
        </is>
      </c>
      <c r="E3784" t="inlineStr">
        <is>
          <t>BODEN</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15513-2021</t>
        </is>
      </c>
      <c r="B3785" s="1" t="n">
        <v>44285</v>
      </c>
      <c r="C3785" s="1" t="n">
        <v>45895</v>
      </c>
      <c r="D3785" t="inlineStr">
        <is>
          <t>NORRBOTTENS LÄN</t>
        </is>
      </c>
      <c r="E3785" t="inlineStr">
        <is>
          <t>PITEÅ</t>
        </is>
      </c>
      <c r="F3785" t="inlineStr">
        <is>
          <t>Sveaskog</t>
        </is>
      </c>
      <c r="G3785" t="n">
        <v>40.1</v>
      </c>
      <c r="H3785" t="n">
        <v>0</v>
      </c>
      <c r="I3785" t="n">
        <v>0</v>
      </c>
      <c r="J3785" t="n">
        <v>0</v>
      </c>
      <c r="K3785" t="n">
        <v>0</v>
      </c>
      <c r="L3785" t="n">
        <v>0</v>
      </c>
      <c r="M3785" t="n">
        <v>0</v>
      </c>
      <c r="N3785" t="n">
        <v>0</v>
      </c>
      <c r="O3785" t="n">
        <v>0</v>
      </c>
      <c r="P3785" t="n">
        <v>0</v>
      </c>
      <c r="Q3785" t="n">
        <v>0</v>
      </c>
      <c r="R3785" s="2" t="inlineStr"/>
    </row>
    <row r="3786" ht="15" customHeight="1">
      <c r="A3786" t="inlineStr">
        <is>
          <t>A 11853-2025</t>
        </is>
      </c>
      <c r="B3786" s="1" t="n">
        <v>45727</v>
      </c>
      <c r="C3786" s="1" t="n">
        <v>45895</v>
      </c>
      <c r="D3786" t="inlineStr">
        <is>
          <t>NORRBOTTENS LÄN</t>
        </is>
      </c>
      <c r="E3786" t="inlineStr">
        <is>
          <t>LULEÅ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39879-2024</t>
        </is>
      </c>
      <c r="B3787" s="1" t="n">
        <v>45553.46583333334</v>
      </c>
      <c r="C3787" s="1" t="n">
        <v>45895</v>
      </c>
      <c r="D3787" t="inlineStr">
        <is>
          <t>NORRBOTTENS LÄN</t>
        </is>
      </c>
      <c r="E3787" t="inlineStr">
        <is>
          <t>PITEÅ</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50303-2022</t>
        </is>
      </c>
      <c r="B3788" s="1" t="n">
        <v>44865</v>
      </c>
      <c r="C3788" s="1" t="n">
        <v>45895</v>
      </c>
      <c r="D3788" t="inlineStr">
        <is>
          <t>NORRBOTTENS LÄN</t>
        </is>
      </c>
      <c r="E3788" t="inlineStr">
        <is>
          <t>ARVIDSJAUR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35561-2025</t>
        </is>
      </c>
      <c r="B3789" s="1" t="n">
        <v>45856.53160879629</v>
      </c>
      <c r="C3789" s="1" t="n">
        <v>45895</v>
      </c>
      <c r="D3789" t="inlineStr">
        <is>
          <t>NORRBOTTENS LÄN</t>
        </is>
      </c>
      <c r="E3789" t="inlineStr">
        <is>
          <t>BODEN</t>
        </is>
      </c>
      <c r="F3789" t="inlineStr">
        <is>
          <t>SCA</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16112-2021</t>
        </is>
      </c>
      <c r="B3790" s="1" t="n">
        <v>44291</v>
      </c>
      <c r="C3790" s="1" t="n">
        <v>45895</v>
      </c>
      <c r="D3790" t="inlineStr">
        <is>
          <t>NORRBOTTENS LÄN</t>
        </is>
      </c>
      <c r="E3790" t="inlineStr">
        <is>
          <t>ÖVERTORNEÅ</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27497-2025</t>
        </is>
      </c>
      <c r="B3791" s="1" t="n">
        <v>45813</v>
      </c>
      <c r="C3791" s="1" t="n">
        <v>45895</v>
      </c>
      <c r="D3791" t="inlineStr">
        <is>
          <t>NORRBOTTENS LÄN</t>
        </is>
      </c>
      <c r="E3791" t="inlineStr">
        <is>
          <t>ÖVERTORNEÅ</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25599-2024</t>
        </is>
      </c>
      <c r="B3792" s="1" t="n">
        <v>45463.62568287037</v>
      </c>
      <c r="C3792" s="1" t="n">
        <v>45895</v>
      </c>
      <c r="D3792" t="inlineStr">
        <is>
          <t>NORRBOTTENS LÄN</t>
        </is>
      </c>
      <c r="E3792" t="inlineStr">
        <is>
          <t>ARVIDSJAUR</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59681-2023</t>
        </is>
      </c>
      <c r="B3793" s="1" t="n">
        <v>45255</v>
      </c>
      <c r="C3793" s="1" t="n">
        <v>45895</v>
      </c>
      <c r="D3793" t="inlineStr">
        <is>
          <t>NORRBOTTENS LÄN</t>
        </is>
      </c>
      <c r="E3793" t="inlineStr">
        <is>
          <t>LULEÅ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59688-2023</t>
        </is>
      </c>
      <c r="B3794" s="1" t="n">
        <v>45256</v>
      </c>
      <c r="C3794" s="1" t="n">
        <v>45895</v>
      </c>
      <c r="D3794" t="inlineStr">
        <is>
          <t>NORRBOTTENS LÄN</t>
        </is>
      </c>
      <c r="E3794" t="inlineStr">
        <is>
          <t>BODEN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41845-2024</t>
        </is>
      </c>
      <c r="B3795" s="1" t="n">
        <v>45561</v>
      </c>
      <c r="C3795" s="1" t="n">
        <v>45895</v>
      </c>
      <c r="D3795" t="inlineStr">
        <is>
          <t>NORRBOTTENS LÄN</t>
        </is>
      </c>
      <c r="E3795" t="inlineStr">
        <is>
          <t>ÄLVSBYN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21677-2023</t>
        </is>
      </c>
      <c r="B3796" s="1" t="n">
        <v>45063.94185185185</v>
      </c>
      <c r="C3796" s="1" t="n">
        <v>45895</v>
      </c>
      <c r="D3796" t="inlineStr">
        <is>
          <t>NORRBOTTENS LÄN</t>
        </is>
      </c>
      <c r="E3796" t="inlineStr">
        <is>
          <t>ÄLVSBYN</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47565-2024</t>
        </is>
      </c>
      <c r="B3797" s="1" t="n">
        <v>45587</v>
      </c>
      <c r="C3797" s="1" t="n">
        <v>45895</v>
      </c>
      <c r="D3797" t="inlineStr">
        <is>
          <t>NORRBOTTENS LÄN</t>
        </is>
      </c>
      <c r="E3797" t="inlineStr">
        <is>
          <t>KALIX</t>
        </is>
      </c>
      <c r="F3797" t="inlineStr">
        <is>
          <t>SCA</t>
        </is>
      </c>
      <c r="G3797" t="n">
        <v>8.300000000000001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65648-2020</t>
        </is>
      </c>
      <c r="B3798" s="1" t="n">
        <v>44172</v>
      </c>
      <c r="C3798" s="1" t="n">
        <v>45895</v>
      </c>
      <c r="D3798" t="inlineStr">
        <is>
          <t>NORRBOTTENS LÄN</t>
        </is>
      </c>
      <c r="E3798" t="inlineStr">
        <is>
          <t>JOKKMOKK</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61272-2020</t>
        </is>
      </c>
      <c r="B3799" s="1" t="n">
        <v>44154</v>
      </c>
      <c r="C3799" s="1" t="n">
        <v>45895</v>
      </c>
      <c r="D3799" t="inlineStr">
        <is>
          <t>NORRBOTTENS LÄN</t>
        </is>
      </c>
      <c r="E3799" t="inlineStr">
        <is>
          <t>ARJEPLOG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64360-2023</t>
        </is>
      </c>
      <c r="B3800" s="1" t="n">
        <v>45280</v>
      </c>
      <c r="C3800" s="1" t="n">
        <v>45895</v>
      </c>
      <c r="D3800" t="inlineStr">
        <is>
          <t>NORRBOTTENS LÄN</t>
        </is>
      </c>
      <c r="E3800" t="inlineStr">
        <is>
          <t>GÄLLIVARE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27604-2025</t>
        </is>
      </c>
      <c r="B3801" s="1" t="n">
        <v>45813.53178240741</v>
      </c>
      <c r="C3801" s="1" t="n">
        <v>45895</v>
      </c>
      <c r="D3801" t="inlineStr">
        <is>
          <t>NORRBOTTENS LÄN</t>
        </is>
      </c>
      <c r="E3801" t="inlineStr">
        <is>
          <t>BODEN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64407-2023</t>
        </is>
      </c>
      <c r="B3802" s="1" t="n">
        <v>45280.62268518518</v>
      </c>
      <c r="C3802" s="1" t="n">
        <v>45895</v>
      </c>
      <c r="D3802" t="inlineStr">
        <is>
          <t>NORRBOTTENS LÄN</t>
        </is>
      </c>
      <c r="E3802" t="inlineStr">
        <is>
          <t>ÄLVSBYN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57604-2021</t>
        </is>
      </c>
      <c r="B3803" s="1" t="n">
        <v>44484</v>
      </c>
      <c r="C3803" s="1" t="n">
        <v>45895</v>
      </c>
      <c r="D3803" t="inlineStr">
        <is>
          <t>NORRBOTTENS LÄN</t>
        </is>
      </c>
      <c r="E3803" t="inlineStr">
        <is>
          <t>BODEN</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46024-2021</t>
        </is>
      </c>
      <c r="B3804" s="1" t="n">
        <v>44441</v>
      </c>
      <c r="C3804" s="1" t="n">
        <v>45895</v>
      </c>
      <c r="D3804" t="inlineStr">
        <is>
          <t>NORRBOTTENS LÄN</t>
        </is>
      </c>
      <c r="E3804" t="inlineStr">
        <is>
          <t>ÖVERTORNEÅ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28275-2022</t>
        </is>
      </c>
      <c r="B3805" s="1" t="n">
        <v>44746</v>
      </c>
      <c r="C3805" s="1" t="n">
        <v>45895</v>
      </c>
      <c r="D3805" t="inlineStr">
        <is>
          <t>NORRBOTTENS LÄN</t>
        </is>
      </c>
      <c r="E3805" t="inlineStr">
        <is>
          <t>LULEÅ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27458-2025</t>
        </is>
      </c>
      <c r="B3806" s="1" t="n">
        <v>45813.34540509259</v>
      </c>
      <c r="C3806" s="1" t="n">
        <v>45895</v>
      </c>
      <c r="D3806" t="inlineStr">
        <is>
          <t>NORRBOTTENS LÄN</t>
        </is>
      </c>
      <c r="E3806" t="inlineStr">
        <is>
          <t>ÖVERKALIX</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27462-2025</t>
        </is>
      </c>
      <c r="B3807" s="1" t="n">
        <v>45813.34603009259</v>
      </c>
      <c r="C3807" s="1" t="n">
        <v>45895</v>
      </c>
      <c r="D3807" t="inlineStr">
        <is>
          <t>NORRBOTTENS LÄN</t>
        </is>
      </c>
      <c r="E3807" t="inlineStr">
        <is>
          <t>KALIX</t>
        </is>
      </c>
      <c r="F3807" t="inlineStr">
        <is>
          <t>SCA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27461-2025</t>
        </is>
      </c>
      <c r="B3808" s="1" t="n">
        <v>45813</v>
      </c>
      <c r="C3808" s="1" t="n">
        <v>45895</v>
      </c>
      <c r="D3808" t="inlineStr">
        <is>
          <t>NORRBOTTENS LÄN</t>
        </is>
      </c>
      <c r="E3808" t="inlineStr">
        <is>
          <t>ÖVERKALIX</t>
        </is>
      </c>
      <c r="F3808" t="inlineStr">
        <is>
          <t>SCA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27463-2025</t>
        </is>
      </c>
      <c r="B3809" s="1" t="n">
        <v>45813.34618055556</v>
      </c>
      <c r="C3809" s="1" t="n">
        <v>45895</v>
      </c>
      <c r="D3809" t="inlineStr">
        <is>
          <t>NORRBOTTENS LÄN</t>
        </is>
      </c>
      <c r="E3809" t="inlineStr">
        <is>
          <t>LULEÅ</t>
        </is>
      </c>
      <c r="F3809" t="inlineStr">
        <is>
          <t>Naturvårdsverket</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50436-2024</t>
        </is>
      </c>
      <c r="B3810" s="1" t="n">
        <v>45601.4096875</v>
      </c>
      <c r="C3810" s="1" t="n">
        <v>45895</v>
      </c>
      <c r="D3810" t="inlineStr">
        <is>
          <t>NORRBOTTENS LÄN</t>
        </is>
      </c>
      <c r="E3810" t="inlineStr">
        <is>
          <t>JOKKMOKK</t>
        </is>
      </c>
      <c r="F3810" t="inlineStr">
        <is>
          <t>Allmännings- och besparingsskogar</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23278-2024</t>
        </is>
      </c>
      <c r="B3811" s="1" t="n">
        <v>45449</v>
      </c>
      <c r="C3811" s="1" t="n">
        <v>45895</v>
      </c>
      <c r="D3811" t="inlineStr">
        <is>
          <t>NORRBOTTENS LÄN</t>
        </is>
      </c>
      <c r="E3811" t="inlineStr">
        <is>
          <t>PAJALA</t>
        </is>
      </c>
      <c r="G3811" t="n">
        <v>13.6</v>
      </c>
      <c r="H3811" t="n">
        <v>0</v>
      </c>
      <c r="I3811" t="n">
        <v>0</v>
      </c>
      <c r="J3811" t="n">
        <v>0</v>
      </c>
      <c r="K3811" t="n">
        <v>0</v>
      </c>
      <c r="L3811" t="n">
        <v>0</v>
      </c>
      <c r="M3811" t="n">
        <v>0</v>
      </c>
      <c r="N3811" t="n">
        <v>0</v>
      </c>
      <c r="O3811" t="n">
        <v>0</v>
      </c>
      <c r="P3811" t="n">
        <v>0</v>
      </c>
      <c r="Q3811" t="n">
        <v>0</v>
      </c>
      <c r="R3811" s="2" t="inlineStr"/>
    </row>
    <row r="3812" ht="15" customHeight="1">
      <c r="A3812" t="inlineStr">
        <is>
          <t>A 31008-2021</t>
        </is>
      </c>
      <c r="B3812" s="1" t="n">
        <v>44366</v>
      </c>
      <c r="C3812" s="1" t="n">
        <v>45895</v>
      </c>
      <c r="D3812" t="inlineStr">
        <is>
          <t>NORRBOTTENS LÄN</t>
        </is>
      </c>
      <c r="E3812" t="inlineStr">
        <is>
          <t>ÖVERTORNEÅ</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47922-2024</t>
        </is>
      </c>
      <c r="B3813" s="1" t="n">
        <v>45589</v>
      </c>
      <c r="C3813" s="1" t="n">
        <v>45895</v>
      </c>
      <c r="D3813" t="inlineStr">
        <is>
          <t>NORRBOTTENS LÄN</t>
        </is>
      </c>
      <c r="E3813" t="inlineStr">
        <is>
          <t>BODEN</t>
        </is>
      </c>
      <c r="F3813" t="inlineStr">
        <is>
          <t>Naturvårdsverket</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47924-2024</t>
        </is>
      </c>
      <c r="B3814" s="1" t="n">
        <v>45589.34494212963</v>
      </c>
      <c r="C3814" s="1" t="n">
        <v>45895</v>
      </c>
      <c r="D3814" t="inlineStr">
        <is>
          <t>NORRBOTTENS LÄN</t>
        </is>
      </c>
      <c r="E3814" t="inlineStr">
        <is>
          <t>BODEN</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47926-2024</t>
        </is>
      </c>
      <c r="B3815" s="1" t="n">
        <v>45589</v>
      </c>
      <c r="C3815" s="1" t="n">
        <v>45895</v>
      </c>
      <c r="D3815" t="inlineStr">
        <is>
          <t>NORRBOTTENS LÄN</t>
        </is>
      </c>
      <c r="E3815" t="inlineStr">
        <is>
          <t>BODEN</t>
        </is>
      </c>
      <c r="F3815" t="inlineStr">
        <is>
          <t>Naturvårdsverket</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19080-2025</t>
        </is>
      </c>
      <c r="B3816" s="1" t="n">
        <v>45766.71910879629</v>
      </c>
      <c r="C3816" s="1" t="n">
        <v>45895</v>
      </c>
      <c r="D3816" t="inlineStr">
        <is>
          <t>NORRBOTTENS LÄN</t>
        </is>
      </c>
      <c r="E3816" t="inlineStr">
        <is>
          <t>BODEN</t>
        </is>
      </c>
      <c r="F3816" t="inlineStr">
        <is>
          <t>SCA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1615-2024</t>
        </is>
      </c>
      <c r="B3817" s="1" t="n">
        <v>45306</v>
      </c>
      <c r="C3817" s="1" t="n">
        <v>45895</v>
      </c>
      <c r="D3817" t="inlineStr">
        <is>
          <t>NORRBOTTENS LÄN</t>
        </is>
      </c>
      <c r="E3817" t="inlineStr">
        <is>
          <t>JOKKMOKK</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25467-2024</t>
        </is>
      </c>
      <c r="B3818" s="1" t="n">
        <v>45463</v>
      </c>
      <c r="C3818" s="1" t="n">
        <v>45895</v>
      </c>
      <c r="D3818" t="inlineStr">
        <is>
          <t>NORRBOTTENS LÄN</t>
        </is>
      </c>
      <c r="E3818" t="inlineStr">
        <is>
          <t>GÄLLIVARE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8651-2025</t>
        </is>
      </c>
      <c r="B3819" s="1" t="n">
        <v>45712.37207175926</v>
      </c>
      <c r="C3819" s="1" t="n">
        <v>45895</v>
      </c>
      <c r="D3819" t="inlineStr">
        <is>
          <t>NORRBOTTENS LÄN</t>
        </is>
      </c>
      <c r="E3819" t="inlineStr">
        <is>
          <t>HAPARANDA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14215-2025</t>
        </is>
      </c>
      <c r="B3820" s="1" t="n">
        <v>45740</v>
      </c>
      <c r="C3820" s="1" t="n">
        <v>45895</v>
      </c>
      <c r="D3820" t="inlineStr">
        <is>
          <t>NORRBOTTENS LÄN</t>
        </is>
      </c>
      <c r="E3820" t="inlineStr">
        <is>
          <t>HAPARANDA</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3153-2024</t>
        </is>
      </c>
      <c r="B3821" s="1" t="n">
        <v>45316.60324074074</v>
      </c>
      <c r="C3821" s="1" t="n">
        <v>45895</v>
      </c>
      <c r="D3821" t="inlineStr">
        <is>
          <t>NORRBOTTENS LÄN</t>
        </is>
      </c>
      <c r="E3821" t="inlineStr">
        <is>
          <t>PAJALA</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7028-2023</t>
        </is>
      </c>
      <c r="B3822" s="1" t="n">
        <v>44968</v>
      </c>
      <c r="C3822" s="1" t="n">
        <v>45895</v>
      </c>
      <c r="D3822" t="inlineStr">
        <is>
          <t>NORRBOTTENS LÄN</t>
        </is>
      </c>
      <c r="E3822" t="inlineStr">
        <is>
          <t>PAJALA</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7029-2023</t>
        </is>
      </c>
      <c r="B3823" s="1" t="n">
        <v>44968</v>
      </c>
      <c r="C3823" s="1" t="n">
        <v>45895</v>
      </c>
      <c r="D3823" t="inlineStr">
        <is>
          <t>NORRBOTTENS LÄN</t>
        </is>
      </c>
      <c r="E3823" t="inlineStr">
        <is>
          <t>PAJALA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7031-2023</t>
        </is>
      </c>
      <c r="B3824" s="1" t="n">
        <v>44968</v>
      </c>
      <c r="C3824" s="1" t="n">
        <v>45895</v>
      </c>
      <c r="D3824" t="inlineStr">
        <is>
          <t>NORRBOTTENS LÄN</t>
        </is>
      </c>
      <c r="E3824" t="inlineStr">
        <is>
          <t>PAJALA</t>
        </is>
      </c>
      <c r="G3824" t="n">
        <v>41.3</v>
      </c>
      <c r="H3824" t="n">
        <v>0</v>
      </c>
      <c r="I3824" t="n">
        <v>0</v>
      </c>
      <c r="J3824" t="n">
        <v>0</v>
      </c>
      <c r="K3824" t="n">
        <v>0</v>
      </c>
      <c r="L3824" t="n">
        <v>0</v>
      </c>
      <c r="M3824" t="n">
        <v>0</v>
      </c>
      <c r="N3824" t="n">
        <v>0</v>
      </c>
      <c r="O3824" t="n">
        <v>0</v>
      </c>
      <c r="P3824" t="n">
        <v>0</v>
      </c>
      <c r="Q3824" t="n">
        <v>0</v>
      </c>
      <c r="R3824" s="2" t="inlineStr"/>
    </row>
    <row r="3825" ht="15" customHeight="1">
      <c r="A3825" t="inlineStr">
        <is>
          <t>A 44982-2023</t>
        </is>
      </c>
      <c r="B3825" s="1" t="n">
        <v>45190.95821759259</v>
      </c>
      <c r="C3825" s="1" t="n">
        <v>45895</v>
      </c>
      <c r="D3825" t="inlineStr">
        <is>
          <t>NORRBOTTENS LÄN</t>
        </is>
      </c>
      <c r="E3825" t="inlineStr">
        <is>
          <t>GÄLLIVARE</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14558-2025</t>
        </is>
      </c>
      <c r="B3826" s="1" t="n">
        <v>45741.75050925926</v>
      </c>
      <c r="C3826" s="1" t="n">
        <v>45895</v>
      </c>
      <c r="D3826" t="inlineStr">
        <is>
          <t>NORRBOTTENS LÄN</t>
        </is>
      </c>
      <c r="E3826" t="inlineStr">
        <is>
          <t>PITEÅ</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14559-2025</t>
        </is>
      </c>
      <c r="B3827" s="1" t="n">
        <v>45741.76587962963</v>
      </c>
      <c r="C3827" s="1" t="n">
        <v>45895</v>
      </c>
      <c r="D3827" t="inlineStr">
        <is>
          <t>NORRBOTTENS LÄN</t>
        </is>
      </c>
      <c r="E3827" t="inlineStr">
        <is>
          <t>PITEÅ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44985-2023</t>
        </is>
      </c>
      <c r="B3828" s="1" t="n">
        <v>45190.95814814815</v>
      </c>
      <c r="C3828" s="1" t="n">
        <v>45895</v>
      </c>
      <c r="D3828" t="inlineStr">
        <is>
          <t>NORRBOTTENS LÄN</t>
        </is>
      </c>
      <c r="E3828" t="inlineStr">
        <is>
          <t>GÄLLIVARE</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13466-2025</t>
        </is>
      </c>
      <c r="B3829" s="1" t="n">
        <v>45736</v>
      </c>
      <c r="C3829" s="1" t="n">
        <v>45895</v>
      </c>
      <c r="D3829" t="inlineStr">
        <is>
          <t>NORRBOTTENS LÄN</t>
        </is>
      </c>
      <c r="E3829" t="inlineStr">
        <is>
          <t>PAJALA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64403-2023</t>
        </is>
      </c>
      <c r="B3830" s="1" t="n">
        <v>45280.6125</v>
      </c>
      <c r="C3830" s="1" t="n">
        <v>45895</v>
      </c>
      <c r="D3830" t="inlineStr">
        <is>
          <t>NORRBOTTENS LÄN</t>
        </is>
      </c>
      <c r="E3830" t="inlineStr">
        <is>
          <t>ÄLVSBYN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27787-2025</t>
        </is>
      </c>
      <c r="B3831" s="1" t="n">
        <v>45816.69780092593</v>
      </c>
      <c r="C3831" s="1" t="n">
        <v>45895</v>
      </c>
      <c r="D3831" t="inlineStr">
        <is>
          <t>NORRBOTTENS LÄN</t>
        </is>
      </c>
      <c r="E3831" t="inlineStr">
        <is>
          <t>KALIX</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2235-2024</t>
        </is>
      </c>
      <c r="B3832" s="1" t="n">
        <v>45309.94641203704</v>
      </c>
      <c r="C3832" s="1" t="n">
        <v>45895</v>
      </c>
      <c r="D3832" t="inlineStr">
        <is>
          <t>NORRBOTTENS LÄN</t>
        </is>
      </c>
      <c r="E3832" t="inlineStr">
        <is>
          <t>PAJALA</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18227-2024</t>
        </is>
      </c>
      <c r="B3833" s="1" t="n">
        <v>45420.96472222222</v>
      </c>
      <c r="C3833" s="1" t="n">
        <v>45895</v>
      </c>
      <c r="D3833" t="inlineStr">
        <is>
          <t>NORRBOTTENS LÄN</t>
        </is>
      </c>
      <c r="E3833" t="inlineStr">
        <is>
          <t>KALIX</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28208-2025</t>
        </is>
      </c>
      <c r="B3834" s="1" t="n">
        <v>45818.4499074074</v>
      </c>
      <c r="C3834" s="1" t="n">
        <v>45895</v>
      </c>
      <c r="D3834" t="inlineStr">
        <is>
          <t>NORRBOTTENS LÄN</t>
        </is>
      </c>
      <c r="E3834" t="inlineStr">
        <is>
          <t>ÖVERKALIX</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53091-2023</t>
        </is>
      </c>
      <c r="B3835" s="1" t="n">
        <v>45227.71137731482</v>
      </c>
      <c r="C3835" s="1" t="n">
        <v>45895</v>
      </c>
      <c r="D3835" t="inlineStr">
        <is>
          <t>NORRBOTTENS LÄN</t>
        </is>
      </c>
      <c r="E3835" t="inlineStr">
        <is>
          <t>PAJALA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2168-2023</t>
        </is>
      </c>
      <c r="B3836" s="1" t="n">
        <v>44941</v>
      </c>
      <c r="C3836" s="1" t="n">
        <v>45895</v>
      </c>
      <c r="D3836" t="inlineStr">
        <is>
          <t>NORRBOTTENS LÄN</t>
        </is>
      </c>
      <c r="E3836" t="inlineStr">
        <is>
          <t>PITEÅ</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28272-2025</t>
        </is>
      </c>
      <c r="B3837" s="1" t="n">
        <v>45818</v>
      </c>
      <c r="C3837" s="1" t="n">
        <v>45895</v>
      </c>
      <c r="D3837" t="inlineStr">
        <is>
          <t>NORRBOTTENS LÄN</t>
        </is>
      </c>
      <c r="E3837" t="inlineStr">
        <is>
          <t>GÄLLIVARE</t>
        </is>
      </c>
      <c r="F3837" t="inlineStr">
        <is>
          <t>Sveaskog</t>
        </is>
      </c>
      <c r="G3837" t="n">
        <v>24.8</v>
      </c>
      <c r="H3837" t="n">
        <v>0</v>
      </c>
      <c r="I3837" t="n">
        <v>0</v>
      </c>
      <c r="J3837" t="n">
        <v>0</v>
      </c>
      <c r="K3837" t="n">
        <v>0</v>
      </c>
      <c r="L3837" t="n">
        <v>0</v>
      </c>
      <c r="M3837" t="n">
        <v>0</v>
      </c>
      <c r="N3837" t="n">
        <v>0</v>
      </c>
      <c r="O3837" t="n">
        <v>0</v>
      </c>
      <c r="P3837" t="n">
        <v>0</v>
      </c>
      <c r="Q3837" t="n">
        <v>0</v>
      </c>
      <c r="R3837" s="2" t="inlineStr"/>
    </row>
    <row r="3838" ht="15" customHeight="1">
      <c r="A3838" t="inlineStr">
        <is>
          <t>A 28344-2025</t>
        </is>
      </c>
      <c r="B3838" s="1" t="n">
        <v>45817</v>
      </c>
      <c r="C3838" s="1" t="n">
        <v>45895</v>
      </c>
      <c r="D3838" t="inlineStr">
        <is>
          <t>NORRBOTTENS LÄN</t>
        </is>
      </c>
      <c r="E3838" t="inlineStr">
        <is>
          <t>LULEÅ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28352-2025</t>
        </is>
      </c>
      <c r="B3839" s="1" t="n">
        <v>45818</v>
      </c>
      <c r="C3839" s="1" t="n">
        <v>45895</v>
      </c>
      <c r="D3839" t="inlineStr">
        <is>
          <t>NORRBOTTENS LÄN</t>
        </is>
      </c>
      <c r="E3839" t="inlineStr">
        <is>
          <t>ARVIDSJAUR</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44218-2023</t>
        </is>
      </c>
      <c r="B3840" s="1" t="n">
        <v>45183</v>
      </c>
      <c r="C3840" s="1" t="n">
        <v>45895</v>
      </c>
      <c r="D3840" t="inlineStr">
        <is>
          <t>NORRBOTTENS LÄN</t>
        </is>
      </c>
      <c r="E3840" t="inlineStr">
        <is>
          <t>ARJEPLOG</t>
        </is>
      </c>
      <c r="F3840" t="inlineStr">
        <is>
          <t>Allmännings- och besparingsskogar</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59849-2023</t>
        </is>
      </c>
      <c r="B3841" s="1" t="n">
        <v>45257</v>
      </c>
      <c r="C3841" s="1" t="n">
        <v>45895</v>
      </c>
      <c r="D3841" t="inlineStr">
        <is>
          <t>NORRBOTTENS LÄN</t>
        </is>
      </c>
      <c r="E3841" t="inlineStr">
        <is>
          <t>JOKKMOKK</t>
        </is>
      </c>
      <c r="F3841" t="inlineStr">
        <is>
          <t>Allmännings- och besparingsskogar</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14187-2025</t>
        </is>
      </c>
      <c r="B3842" s="1" t="n">
        <v>45740.54577546296</v>
      </c>
      <c r="C3842" s="1" t="n">
        <v>45895</v>
      </c>
      <c r="D3842" t="inlineStr">
        <is>
          <t>NORRBOTTENS LÄN</t>
        </is>
      </c>
      <c r="E3842" t="inlineStr">
        <is>
          <t>LULEÅ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404-2024</t>
        </is>
      </c>
      <c r="B3843" s="1" t="n">
        <v>45296</v>
      </c>
      <c r="C3843" s="1" t="n">
        <v>45895</v>
      </c>
      <c r="D3843" t="inlineStr">
        <is>
          <t>NORRBOTTENS LÄN</t>
        </is>
      </c>
      <c r="E3843" t="inlineStr">
        <is>
          <t>ÄLVSBYN</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7289-2024</t>
        </is>
      </c>
      <c r="B3844" s="1" t="n">
        <v>45344</v>
      </c>
      <c r="C3844" s="1" t="n">
        <v>45895</v>
      </c>
      <c r="D3844" t="inlineStr">
        <is>
          <t>NORRBOTTENS LÄN</t>
        </is>
      </c>
      <c r="E3844" t="inlineStr">
        <is>
          <t>ÄLVSBYN</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23878-2022</t>
        </is>
      </c>
      <c r="B3845" s="1" t="n">
        <v>44722.56104166667</v>
      </c>
      <c r="C3845" s="1" t="n">
        <v>45895</v>
      </c>
      <c r="D3845" t="inlineStr">
        <is>
          <t>NORRBOTTENS LÄN</t>
        </is>
      </c>
      <c r="E3845" t="inlineStr">
        <is>
          <t>KALIX</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23884-2022</t>
        </is>
      </c>
      <c r="B3846" s="1" t="n">
        <v>44722.57129629629</v>
      </c>
      <c r="C3846" s="1" t="n">
        <v>45895</v>
      </c>
      <c r="D3846" t="inlineStr">
        <is>
          <t>NORRBOTTENS LÄN</t>
        </is>
      </c>
      <c r="E3846" t="inlineStr">
        <is>
          <t>LULEÅ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50323-2024</t>
        </is>
      </c>
      <c r="B3847" s="1" t="n">
        <v>45600.67706018518</v>
      </c>
      <c r="C3847" s="1" t="n">
        <v>45895</v>
      </c>
      <c r="D3847" t="inlineStr">
        <is>
          <t>NORRBOTTENS LÄN</t>
        </is>
      </c>
      <c r="E3847" t="inlineStr">
        <is>
          <t>ARVIDSJAUR</t>
        </is>
      </c>
      <c r="F3847" t="inlineStr">
        <is>
          <t>Sveaskog</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8022-2024</t>
        </is>
      </c>
      <c r="B3848" s="1" t="n">
        <v>45350</v>
      </c>
      <c r="C3848" s="1" t="n">
        <v>45895</v>
      </c>
      <c r="D3848" t="inlineStr">
        <is>
          <t>NORRBOTTENS LÄN</t>
        </is>
      </c>
      <c r="E3848" t="inlineStr">
        <is>
          <t>LULEÅ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10071-2024</t>
        </is>
      </c>
      <c r="B3849" s="1" t="n">
        <v>45364.40600694445</v>
      </c>
      <c r="C3849" s="1" t="n">
        <v>45895</v>
      </c>
      <c r="D3849" t="inlineStr">
        <is>
          <t>NORRBOTTENS LÄN</t>
        </is>
      </c>
      <c r="E3849" t="inlineStr">
        <is>
          <t>KALIX</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3438-2025</t>
        </is>
      </c>
      <c r="B3850" s="1" t="n">
        <v>45680.4482175926</v>
      </c>
      <c r="C3850" s="1" t="n">
        <v>45895</v>
      </c>
      <c r="D3850" t="inlineStr">
        <is>
          <t>NORRBOTTENS LÄN</t>
        </is>
      </c>
      <c r="E3850" t="inlineStr">
        <is>
          <t>BODEN</t>
        </is>
      </c>
      <c r="F3850" t="inlineStr">
        <is>
          <t>Naturvårdsverket</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3445-2025</t>
        </is>
      </c>
      <c r="B3851" s="1" t="n">
        <v>45680.46287037037</v>
      </c>
      <c r="C3851" s="1" t="n">
        <v>45895</v>
      </c>
      <c r="D3851" t="inlineStr">
        <is>
          <t>NORRBOTTENS LÄN</t>
        </is>
      </c>
      <c r="E3851" t="inlineStr">
        <is>
          <t>ÄLVSBYN</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3459-2025</t>
        </is>
      </c>
      <c r="B3852" s="1" t="n">
        <v>45680.48986111111</v>
      </c>
      <c r="C3852" s="1" t="n">
        <v>45895</v>
      </c>
      <c r="D3852" t="inlineStr">
        <is>
          <t>NORRBOTTENS LÄN</t>
        </is>
      </c>
      <c r="E3852" t="inlineStr">
        <is>
          <t>BODEN</t>
        </is>
      </c>
      <c r="F3852" t="inlineStr">
        <is>
          <t>Naturvårdsverket</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5455-2021</t>
        </is>
      </c>
      <c r="B3853" s="1" t="n">
        <v>44229</v>
      </c>
      <c r="C3853" s="1" t="n">
        <v>45895</v>
      </c>
      <c r="D3853" t="inlineStr">
        <is>
          <t>NORRBOTTENS LÄN</t>
        </is>
      </c>
      <c r="E3853" t="inlineStr">
        <is>
          <t>ÄLVSBYN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20030-2025</t>
        </is>
      </c>
      <c r="B3854" s="1" t="n">
        <v>45772.35878472222</v>
      </c>
      <c r="C3854" s="1" t="n">
        <v>45895</v>
      </c>
      <c r="D3854" t="inlineStr">
        <is>
          <t>NORRBOTTENS LÄN</t>
        </is>
      </c>
      <c r="E3854" t="inlineStr">
        <is>
          <t>BODEN</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285-2024</t>
        </is>
      </c>
      <c r="B3855" s="1" t="n">
        <v>45295.41796296297</v>
      </c>
      <c r="C3855" s="1" t="n">
        <v>45895</v>
      </c>
      <c r="D3855" t="inlineStr">
        <is>
          <t>NORRBOTTENS LÄN</t>
        </is>
      </c>
      <c r="E3855" t="inlineStr">
        <is>
          <t>KALIX</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3343-2024</t>
        </is>
      </c>
      <c r="B3856" s="1" t="n">
        <v>45317</v>
      </c>
      <c r="C3856" s="1" t="n">
        <v>45895</v>
      </c>
      <c r="D3856" t="inlineStr">
        <is>
          <t>NORRBOTTENS LÄN</t>
        </is>
      </c>
      <c r="E3856" t="inlineStr">
        <is>
          <t>ARVIDSJAUR</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4934-2024</t>
        </is>
      </c>
      <c r="B3857" s="1" t="n">
        <v>45329</v>
      </c>
      <c r="C3857" s="1" t="n">
        <v>45895</v>
      </c>
      <c r="D3857" t="inlineStr">
        <is>
          <t>NORRBOTTENS LÄN</t>
        </is>
      </c>
      <c r="E3857" t="inlineStr">
        <is>
          <t>ARVIDSJAUR</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15373-2024</t>
        </is>
      </c>
      <c r="B3858" s="1" t="n">
        <v>45400</v>
      </c>
      <c r="C3858" s="1" t="n">
        <v>45895</v>
      </c>
      <c r="D3858" t="inlineStr">
        <is>
          <t>NORRBOTTENS LÄN</t>
        </is>
      </c>
      <c r="E3858" t="inlineStr">
        <is>
          <t>GÄLLIVARE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27825-2025</t>
        </is>
      </c>
      <c r="B3859" s="1" t="n">
        <v>45817.3472337963</v>
      </c>
      <c r="C3859" s="1" t="n">
        <v>45895</v>
      </c>
      <c r="D3859" t="inlineStr">
        <is>
          <t>NORRBOTTENS LÄN</t>
        </is>
      </c>
      <c r="E3859" t="inlineStr">
        <is>
          <t>KALIX</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20173-2025</t>
        </is>
      </c>
      <c r="B3860" s="1" t="n">
        <v>45772</v>
      </c>
      <c r="C3860" s="1" t="n">
        <v>45895</v>
      </c>
      <c r="D3860" t="inlineStr">
        <is>
          <t>NORRBOTTENS LÄN</t>
        </is>
      </c>
      <c r="E3860" t="inlineStr">
        <is>
          <t>ÖVERTORNEÅ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58992-2024</t>
        </is>
      </c>
      <c r="B3861" s="1" t="n">
        <v>45636</v>
      </c>
      <c r="C3861" s="1" t="n">
        <v>45895</v>
      </c>
      <c r="D3861" t="inlineStr">
        <is>
          <t>NORRBOTTENS LÄN</t>
        </is>
      </c>
      <c r="E3861" t="inlineStr">
        <is>
          <t>ÖVERTORNEÅ</t>
        </is>
      </c>
      <c r="G3861" t="n">
        <v>44.5</v>
      </c>
      <c r="H3861" t="n">
        <v>0</v>
      </c>
      <c r="I3861" t="n">
        <v>0</v>
      </c>
      <c r="J3861" t="n">
        <v>0</v>
      </c>
      <c r="K3861" t="n">
        <v>0</v>
      </c>
      <c r="L3861" t="n">
        <v>0</v>
      </c>
      <c r="M3861" t="n">
        <v>0</v>
      </c>
      <c r="N3861" t="n">
        <v>0</v>
      </c>
      <c r="O3861" t="n">
        <v>0</v>
      </c>
      <c r="P3861" t="n">
        <v>0</v>
      </c>
      <c r="Q3861" t="n">
        <v>0</v>
      </c>
      <c r="R3861" s="2" t="inlineStr"/>
    </row>
    <row r="3862" ht="15" customHeight="1">
      <c r="A3862" t="inlineStr">
        <is>
          <t>A 35603-2025</t>
        </is>
      </c>
      <c r="B3862" s="1" t="n">
        <v>45859.31001157407</v>
      </c>
      <c r="C3862" s="1" t="n">
        <v>45895</v>
      </c>
      <c r="D3862" t="inlineStr">
        <is>
          <t>NORRBOTTENS LÄN</t>
        </is>
      </c>
      <c r="E3862" t="inlineStr">
        <is>
          <t>ÖVERTORNEÅ</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25455-2022</t>
        </is>
      </c>
      <c r="B3863" s="1" t="n">
        <v>44732</v>
      </c>
      <c r="C3863" s="1" t="n">
        <v>45895</v>
      </c>
      <c r="D3863" t="inlineStr">
        <is>
          <t>NORRBOTTENS LÄN</t>
        </is>
      </c>
      <c r="E3863" t="inlineStr">
        <is>
          <t>ÄLVSBYN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8476-2024</t>
        </is>
      </c>
      <c r="B3864" s="1" t="n">
        <v>45351</v>
      </c>
      <c r="C3864" s="1" t="n">
        <v>45895</v>
      </c>
      <c r="D3864" t="inlineStr">
        <is>
          <t>NORRBOTTENS LÄN</t>
        </is>
      </c>
      <c r="E3864" t="inlineStr">
        <is>
          <t>ÖVERTORNEÅ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60840-2023</t>
        </is>
      </c>
      <c r="B3865" s="1" t="n">
        <v>45260</v>
      </c>
      <c r="C3865" s="1" t="n">
        <v>45895</v>
      </c>
      <c r="D3865" t="inlineStr">
        <is>
          <t>NORRBOTTENS LÄN</t>
        </is>
      </c>
      <c r="E3865" t="inlineStr">
        <is>
          <t>PITEÅ</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35773-2025</t>
        </is>
      </c>
      <c r="B3866" s="1" t="n">
        <v>45860.67740740741</v>
      </c>
      <c r="C3866" s="1" t="n">
        <v>45895</v>
      </c>
      <c r="D3866" t="inlineStr">
        <is>
          <t>NORRBOTTENS LÄN</t>
        </is>
      </c>
      <c r="E3866" t="inlineStr">
        <is>
          <t>BODEN</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55114-2023</t>
        </is>
      </c>
      <c r="B3867" s="1" t="n">
        <v>45237.4725462963</v>
      </c>
      <c r="C3867" s="1" t="n">
        <v>45895</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23654-2024</t>
        </is>
      </c>
      <c r="B3868" s="1" t="n">
        <v>45454.54755787037</v>
      </c>
      <c r="C3868" s="1" t="n">
        <v>45895</v>
      </c>
      <c r="D3868" t="inlineStr">
        <is>
          <t>NORRBOTTENS LÄN</t>
        </is>
      </c>
      <c r="E3868" t="inlineStr">
        <is>
          <t>ÖVERTORNEÅ</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46169-2024</t>
        </is>
      </c>
      <c r="B3869" s="1" t="n">
        <v>45581</v>
      </c>
      <c r="C3869" s="1" t="n">
        <v>45895</v>
      </c>
      <c r="D3869" t="inlineStr">
        <is>
          <t>NORRBOTTENS LÄN</t>
        </is>
      </c>
      <c r="E3869" t="inlineStr">
        <is>
          <t>PAJALA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41464-2023</t>
        </is>
      </c>
      <c r="B3870" s="1" t="n">
        <v>45175.41883101852</v>
      </c>
      <c r="C3870" s="1" t="n">
        <v>45895</v>
      </c>
      <c r="D3870" t="inlineStr">
        <is>
          <t>NORRBOTTENS LÄN</t>
        </is>
      </c>
      <c r="E3870" t="inlineStr">
        <is>
          <t>PITEÅ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7189-2023</t>
        </is>
      </c>
      <c r="B3871" s="1" t="n">
        <v>44970.53221064815</v>
      </c>
      <c r="C3871" s="1" t="n">
        <v>45895</v>
      </c>
      <c r="D3871" t="inlineStr">
        <is>
          <t>NORRBOTTENS LÄN</t>
        </is>
      </c>
      <c r="E3871" t="inlineStr">
        <is>
          <t>KALIX</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21638-2022</t>
        </is>
      </c>
      <c r="B3872" s="1" t="n">
        <v>44706.92641203704</v>
      </c>
      <c r="C3872" s="1" t="n">
        <v>45895</v>
      </c>
      <c r="D3872" t="inlineStr">
        <is>
          <t>NORRBOTTENS LÄN</t>
        </is>
      </c>
      <c r="E3872" t="inlineStr">
        <is>
          <t>KALIX</t>
        </is>
      </c>
      <c r="F3872" t="inlineStr">
        <is>
          <t>Sveaskog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59890-2023</t>
        </is>
      </c>
      <c r="B3873" s="1" t="n">
        <v>45254</v>
      </c>
      <c r="C3873" s="1" t="n">
        <v>45895</v>
      </c>
      <c r="D3873" t="inlineStr">
        <is>
          <t>NORRBOTTENS LÄN</t>
        </is>
      </c>
      <c r="E3873" t="inlineStr">
        <is>
          <t>BODEN</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23231-2024</t>
        </is>
      </c>
      <c r="B3874" s="1" t="n">
        <v>45453.28876157408</v>
      </c>
      <c r="C3874" s="1" t="n">
        <v>45895</v>
      </c>
      <c r="D3874" t="inlineStr">
        <is>
          <t>NORRBOTTENS LÄN</t>
        </is>
      </c>
      <c r="E3874" t="inlineStr">
        <is>
          <t>BODEN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3265-2024</t>
        </is>
      </c>
      <c r="B3875" s="1" t="n">
        <v>45316</v>
      </c>
      <c r="C3875" s="1" t="n">
        <v>45895</v>
      </c>
      <c r="D3875" t="inlineStr">
        <is>
          <t>NORRBOTTENS LÄN</t>
        </is>
      </c>
      <c r="E3875" t="inlineStr">
        <is>
          <t>ARVIDSJAUR</t>
        </is>
      </c>
      <c r="F3875" t="inlineStr">
        <is>
          <t>Allmännings- och besparingsskogar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60515-2022</t>
        </is>
      </c>
      <c r="B3876" s="1" t="n">
        <v>44911.45668981481</v>
      </c>
      <c r="C3876" s="1" t="n">
        <v>45895</v>
      </c>
      <c r="D3876" t="inlineStr">
        <is>
          <t>NORRBOTTENS LÄN</t>
        </is>
      </c>
      <c r="E3876" t="inlineStr">
        <is>
          <t>ÖVERTORNEÅ</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19311-2023</t>
        </is>
      </c>
      <c r="B3877" s="1" t="n">
        <v>45049</v>
      </c>
      <c r="C3877" s="1" t="n">
        <v>45895</v>
      </c>
      <c r="D3877" t="inlineStr">
        <is>
          <t>NORRBOTTENS LÄN</t>
        </is>
      </c>
      <c r="E3877" t="inlineStr">
        <is>
          <t>KALIX</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28134-2025</t>
        </is>
      </c>
      <c r="B3878" s="1" t="n">
        <v>45818.34452546296</v>
      </c>
      <c r="C3878" s="1" t="n">
        <v>45895</v>
      </c>
      <c r="D3878" t="inlineStr">
        <is>
          <t>NORRBOTTENS LÄN</t>
        </is>
      </c>
      <c r="E3878" t="inlineStr">
        <is>
          <t>BODEN</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21250-2024</t>
        </is>
      </c>
      <c r="B3879" s="1" t="n">
        <v>45440</v>
      </c>
      <c r="C3879" s="1" t="n">
        <v>45895</v>
      </c>
      <c r="D3879" t="inlineStr">
        <is>
          <t>NORRBOTTENS LÄN</t>
        </is>
      </c>
      <c r="E3879" t="inlineStr">
        <is>
          <t>PAJALA</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27303-2022</t>
        </is>
      </c>
      <c r="B3880" s="1" t="n">
        <v>44741</v>
      </c>
      <c r="C3880" s="1" t="n">
        <v>45895</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59983-2023</t>
        </is>
      </c>
      <c r="B3881" s="1" t="n">
        <v>45257.80766203703</v>
      </c>
      <c r="C3881" s="1" t="n">
        <v>45895</v>
      </c>
      <c r="D3881" t="inlineStr">
        <is>
          <t>NORRBOTTENS LÄN</t>
        </is>
      </c>
      <c r="E3881" t="inlineStr">
        <is>
          <t>BODEN</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29894-2022</t>
        </is>
      </c>
      <c r="B3882" s="1" t="n">
        <v>44756</v>
      </c>
      <c r="C3882" s="1" t="n">
        <v>45895</v>
      </c>
      <c r="D3882" t="inlineStr">
        <is>
          <t>NORRBOTTENS LÄN</t>
        </is>
      </c>
      <c r="E3882" t="inlineStr">
        <is>
          <t>PITEÅ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62561-2023</t>
        </is>
      </c>
      <c r="B3883" s="1" t="n">
        <v>45268</v>
      </c>
      <c r="C3883" s="1" t="n">
        <v>45895</v>
      </c>
      <c r="D3883" t="inlineStr">
        <is>
          <t>NORRBOTTENS LÄN</t>
        </is>
      </c>
      <c r="E3883" t="inlineStr">
        <is>
          <t>ÖVERKALIX</t>
        </is>
      </c>
      <c r="F3883" t="inlineStr">
        <is>
          <t>SCA</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51273-2023</t>
        </is>
      </c>
      <c r="B3884" s="1" t="n">
        <v>45219</v>
      </c>
      <c r="C3884" s="1" t="n">
        <v>45895</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27745-2025</t>
        </is>
      </c>
      <c r="B3885" s="1" t="n">
        <v>45815.63855324074</v>
      </c>
      <c r="C3885" s="1" t="n">
        <v>45895</v>
      </c>
      <c r="D3885" t="inlineStr">
        <is>
          <t>NORRBOTTENS LÄN</t>
        </is>
      </c>
      <c r="E3885" t="inlineStr">
        <is>
          <t>KALIX</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27751-2025</t>
        </is>
      </c>
      <c r="B3886" s="1" t="n">
        <v>45815.68703703704</v>
      </c>
      <c r="C3886" s="1" t="n">
        <v>45895</v>
      </c>
      <c r="D3886" t="inlineStr">
        <is>
          <t>NORRBOTTENS LÄN</t>
        </is>
      </c>
      <c r="E3886" t="inlineStr">
        <is>
          <t>KALIX</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27765-2025</t>
        </is>
      </c>
      <c r="B3887" s="1" t="n">
        <v>45816.58614583333</v>
      </c>
      <c r="C3887" s="1" t="n">
        <v>45895</v>
      </c>
      <c r="D3887" t="inlineStr">
        <is>
          <t>NORRBOTTENS LÄN</t>
        </is>
      </c>
      <c r="E3887" t="inlineStr">
        <is>
          <t>KALIX</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27767-2025</t>
        </is>
      </c>
      <c r="B3888" s="1" t="n">
        <v>45816.58965277778</v>
      </c>
      <c r="C3888" s="1" t="n">
        <v>45895</v>
      </c>
      <c r="D3888" t="inlineStr">
        <is>
          <t>NORRBOTTENS LÄN</t>
        </is>
      </c>
      <c r="E3888" t="inlineStr">
        <is>
          <t>KALIX</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28297-2025</t>
        </is>
      </c>
      <c r="B3889" s="1" t="n">
        <v>45818.60010416667</v>
      </c>
      <c r="C3889" s="1" t="n">
        <v>45895</v>
      </c>
      <c r="D3889" t="inlineStr">
        <is>
          <t>NORRBOTTENS LÄN</t>
        </is>
      </c>
      <c r="E3889" t="inlineStr">
        <is>
          <t>BODEN</t>
        </is>
      </c>
      <c r="F3889" t="inlineStr">
        <is>
          <t>Sveaskog</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9655-2024</t>
        </is>
      </c>
      <c r="B3890" s="1" t="n">
        <v>45362</v>
      </c>
      <c r="C3890" s="1" t="n">
        <v>45895</v>
      </c>
      <c r="D3890" t="inlineStr">
        <is>
          <t>NORRBOTTENS LÄN</t>
        </is>
      </c>
      <c r="E3890" t="inlineStr">
        <is>
          <t>GÄLLIVARE</t>
        </is>
      </c>
      <c r="F3890" t="inlineStr">
        <is>
          <t>Sveaskog</t>
        </is>
      </c>
      <c r="G3890" t="n">
        <v>9.1</v>
      </c>
      <c r="H3890" t="n">
        <v>0</v>
      </c>
      <c r="I3890" t="n">
        <v>0</v>
      </c>
      <c r="J3890" t="n">
        <v>0</v>
      </c>
      <c r="K3890" t="n">
        <v>0</v>
      </c>
      <c r="L3890" t="n">
        <v>0</v>
      </c>
      <c r="M3890" t="n">
        <v>0</v>
      </c>
      <c r="N3890" t="n">
        <v>0</v>
      </c>
      <c r="O3890" t="n">
        <v>0</v>
      </c>
      <c r="P3890" t="n">
        <v>0</v>
      </c>
      <c r="Q3890" t="n">
        <v>0</v>
      </c>
      <c r="R3890" s="2" t="inlineStr"/>
    </row>
    <row r="3891" ht="15" customHeight="1">
      <c r="A3891" t="inlineStr">
        <is>
          <t>A 28498-2024</t>
        </is>
      </c>
      <c r="B3891" s="1" t="n">
        <v>45477.92725694444</v>
      </c>
      <c r="C3891" s="1" t="n">
        <v>45895</v>
      </c>
      <c r="D3891" t="inlineStr">
        <is>
          <t>NORRBOTTENS LÄN</t>
        </is>
      </c>
      <c r="E3891" t="inlineStr">
        <is>
          <t>LULEÅ</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6463-2023</t>
        </is>
      </c>
      <c r="B3892" s="1" t="n">
        <v>44965.94059027778</v>
      </c>
      <c r="C3892" s="1" t="n">
        <v>45895</v>
      </c>
      <c r="D3892" t="inlineStr">
        <is>
          <t>NORRBOTTENS LÄN</t>
        </is>
      </c>
      <c r="E3892" t="inlineStr">
        <is>
          <t>KALIX</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8567-2024</t>
        </is>
      </c>
      <c r="B3893" s="1" t="n">
        <v>45355.59298611111</v>
      </c>
      <c r="C3893" s="1" t="n">
        <v>45895</v>
      </c>
      <c r="D3893" t="inlineStr">
        <is>
          <t>NORRBOTTENS LÄN</t>
        </is>
      </c>
      <c r="E3893" t="inlineStr">
        <is>
          <t>KALIX</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58760-2023</t>
        </is>
      </c>
      <c r="B3894" s="1" t="n">
        <v>45251</v>
      </c>
      <c r="C3894" s="1" t="n">
        <v>45895</v>
      </c>
      <c r="D3894" t="inlineStr">
        <is>
          <t>NORRBOTTENS LÄN</t>
        </is>
      </c>
      <c r="E3894" t="inlineStr">
        <is>
          <t>LULEÅ</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58765-2023</t>
        </is>
      </c>
      <c r="B3895" s="1" t="n">
        <v>45251</v>
      </c>
      <c r="C3895" s="1" t="n">
        <v>45895</v>
      </c>
      <c r="D3895" t="inlineStr">
        <is>
          <t>NORRBOTTENS LÄN</t>
        </is>
      </c>
      <c r="E3895" t="inlineStr">
        <is>
          <t>KALIX</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19698-2025</t>
        </is>
      </c>
      <c r="B3896" s="1" t="n">
        <v>45770</v>
      </c>
      <c r="C3896" s="1" t="n">
        <v>45895</v>
      </c>
      <c r="D3896" t="inlineStr">
        <is>
          <t>NORRBOTTENS LÄN</t>
        </is>
      </c>
      <c r="E3896" t="inlineStr">
        <is>
          <t>BODEN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35620-2025</t>
        </is>
      </c>
      <c r="B3897" s="1" t="n">
        <v>45859.41423611111</v>
      </c>
      <c r="C3897" s="1" t="n">
        <v>45895</v>
      </c>
      <c r="D3897" t="inlineStr">
        <is>
          <t>NORRBOTTENS LÄN</t>
        </is>
      </c>
      <c r="E3897" t="inlineStr">
        <is>
          <t>ÖVERKALIX</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14345-2025</t>
        </is>
      </c>
      <c r="B3898" s="1" t="n">
        <v>45741.34417824074</v>
      </c>
      <c r="C3898" s="1" t="n">
        <v>45895</v>
      </c>
      <c r="D3898" t="inlineStr">
        <is>
          <t>NORRBOTTENS LÄN</t>
        </is>
      </c>
      <c r="E3898" t="inlineStr">
        <is>
          <t>ARVIDSJAUR</t>
        </is>
      </c>
      <c r="F3898" t="inlineStr">
        <is>
          <t>SCA</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19714-2025</t>
        </is>
      </c>
      <c r="B3899" s="1" t="n">
        <v>45771.3512962963</v>
      </c>
      <c r="C3899" s="1" t="n">
        <v>45895</v>
      </c>
      <c r="D3899" t="inlineStr">
        <is>
          <t>NORRBOTTENS LÄN</t>
        </is>
      </c>
      <c r="E3899" t="inlineStr">
        <is>
          <t>KALIX</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28353-2025</t>
        </is>
      </c>
      <c r="B3900" s="1" t="n">
        <v>45818</v>
      </c>
      <c r="C3900" s="1" t="n">
        <v>45895</v>
      </c>
      <c r="D3900" t="inlineStr">
        <is>
          <t>NORRBOTTENS LÄN</t>
        </is>
      </c>
      <c r="E3900" t="inlineStr">
        <is>
          <t>ARVIDSJAUR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11492-2025</t>
        </is>
      </c>
      <c r="B3901" s="1" t="n">
        <v>45726</v>
      </c>
      <c r="C3901" s="1" t="n">
        <v>45895</v>
      </c>
      <c r="D3901" t="inlineStr">
        <is>
          <t>NORRBOTTENS LÄN</t>
        </is>
      </c>
      <c r="E3901" t="inlineStr">
        <is>
          <t>ARVIDSJAUR</t>
        </is>
      </c>
      <c r="F3901" t="inlineStr">
        <is>
          <t>Allmännings- och besparingsskogar</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11494-2025</t>
        </is>
      </c>
      <c r="B3902" s="1" t="n">
        <v>45726</v>
      </c>
      <c r="C3902" s="1" t="n">
        <v>45895</v>
      </c>
      <c r="D3902" t="inlineStr">
        <is>
          <t>NORRBOTTENS LÄN</t>
        </is>
      </c>
      <c r="E3902" t="inlineStr">
        <is>
          <t>ARVIDSJAUR</t>
        </is>
      </c>
      <c r="F3902" t="inlineStr">
        <is>
          <t>Allmännings- och besparingsskogar</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2116-2024</t>
        </is>
      </c>
      <c r="B3903" s="1" t="n">
        <v>45309</v>
      </c>
      <c r="C3903" s="1" t="n">
        <v>45895</v>
      </c>
      <c r="D3903" t="inlineStr">
        <is>
          <t>NORRBOTTENS LÄN</t>
        </is>
      </c>
      <c r="E3903" t="inlineStr">
        <is>
          <t>ARVIDSJAUR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28356-2025</t>
        </is>
      </c>
      <c r="B3904" s="1" t="n">
        <v>45818</v>
      </c>
      <c r="C3904" s="1" t="n">
        <v>45895</v>
      </c>
      <c r="D3904" t="inlineStr">
        <is>
          <t>NORRBOTTENS LÄN</t>
        </is>
      </c>
      <c r="E3904" t="inlineStr">
        <is>
          <t>ARVIDSJAUR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3090-2024</t>
        </is>
      </c>
      <c r="B3905" s="1" t="n">
        <v>45316.44841435185</v>
      </c>
      <c r="C3905" s="1" t="n">
        <v>45895</v>
      </c>
      <c r="D3905" t="inlineStr">
        <is>
          <t>NORRBOTTENS LÄN</t>
        </is>
      </c>
      <c r="E3905" t="inlineStr">
        <is>
          <t>BODEN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19060-2024</t>
        </is>
      </c>
      <c r="B3906" s="1" t="n">
        <v>45427.93494212963</v>
      </c>
      <c r="C3906" s="1" t="n">
        <v>45895</v>
      </c>
      <c r="D3906" t="inlineStr">
        <is>
          <t>NORRBOTTENS LÄN</t>
        </is>
      </c>
      <c r="E3906" t="inlineStr">
        <is>
          <t>BODEN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22447-2024</t>
        </is>
      </c>
      <c r="B3907" s="1" t="n">
        <v>45446</v>
      </c>
      <c r="C3907" s="1" t="n">
        <v>45895</v>
      </c>
      <c r="D3907" t="inlineStr">
        <is>
          <t>NORRBOTTENS LÄN</t>
        </is>
      </c>
      <c r="E3907" t="inlineStr">
        <is>
          <t>BODEN</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2135-2024</t>
        </is>
      </c>
      <c r="B3908" s="1" t="n">
        <v>45309</v>
      </c>
      <c r="C3908" s="1" t="n">
        <v>45895</v>
      </c>
      <c r="D3908" t="inlineStr">
        <is>
          <t>NORRBOTTENS LÄN</t>
        </is>
      </c>
      <c r="E3908" t="inlineStr">
        <is>
          <t>GÄLLIVARE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11540-2025</t>
        </is>
      </c>
      <c r="B3909" s="1" t="n">
        <v>45726</v>
      </c>
      <c r="C3909" s="1" t="n">
        <v>45895</v>
      </c>
      <c r="D3909" t="inlineStr">
        <is>
          <t>NORRBOTTENS LÄN</t>
        </is>
      </c>
      <c r="E3909" t="inlineStr">
        <is>
          <t>ARVIDSJAUR</t>
        </is>
      </c>
      <c r="F3909" t="inlineStr">
        <is>
          <t>Allmännings- och besparingsskogar</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38551-2023</t>
        </is>
      </c>
      <c r="B3910" s="1" t="n">
        <v>45160</v>
      </c>
      <c r="C3910" s="1" t="n">
        <v>45895</v>
      </c>
      <c r="D3910" t="inlineStr">
        <is>
          <t>NORRBOTTENS LÄN</t>
        </is>
      </c>
      <c r="E3910" t="inlineStr">
        <is>
          <t>LULEÅ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20547-2025</t>
        </is>
      </c>
      <c r="B3911" s="1" t="n">
        <v>45770</v>
      </c>
      <c r="C3911" s="1" t="n">
        <v>45895</v>
      </c>
      <c r="D3911" t="inlineStr">
        <is>
          <t>NORRBOTTENS LÄN</t>
        </is>
      </c>
      <c r="E3911" t="inlineStr">
        <is>
          <t>ÖVERTORNEÅ</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27901-2025</t>
        </is>
      </c>
      <c r="B3912" s="1" t="n">
        <v>45817.46548611111</v>
      </c>
      <c r="C3912" s="1" t="n">
        <v>45895</v>
      </c>
      <c r="D3912" t="inlineStr">
        <is>
          <t>NORRBOTTENS LÄN</t>
        </is>
      </c>
      <c r="E3912" t="inlineStr">
        <is>
          <t>KALIX</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28343-2025</t>
        </is>
      </c>
      <c r="B3913" s="1" t="n">
        <v>45818</v>
      </c>
      <c r="C3913" s="1" t="n">
        <v>45895</v>
      </c>
      <c r="D3913" t="inlineStr">
        <is>
          <t>NORRBOTTENS LÄN</t>
        </is>
      </c>
      <c r="E3913" t="inlineStr">
        <is>
          <t>ÖVERKALIX</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28357-2025</t>
        </is>
      </c>
      <c r="B3914" s="1" t="n">
        <v>45818</v>
      </c>
      <c r="C3914" s="1" t="n">
        <v>45895</v>
      </c>
      <c r="D3914" t="inlineStr">
        <is>
          <t>NORRBOTTENS LÄN</t>
        </is>
      </c>
      <c r="E3914" t="inlineStr">
        <is>
          <t>ARVIDSJAUR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27782-2025</t>
        </is>
      </c>
      <c r="B3915" s="1" t="n">
        <v>45816.68195601852</v>
      </c>
      <c r="C3915" s="1" t="n">
        <v>45895</v>
      </c>
      <c r="D3915" t="inlineStr">
        <is>
          <t>NORRBOTTENS LÄN</t>
        </is>
      </c>
      <c r="E3915" t="inlineStr">
        <is>
          <t>KALIX</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33323-2024</t>
        </is>
      </c>
      <c r="B3916" s="1" t="n">
        <v>45518.97305555556</v>
      </c>
      <c r="C3916" s="1" t="n">
        <v>45895</v>
      </c>
      <c r="D3916" t="inlineStr">
        <is>
          <t>NORRBOTTENS LÄN</t>
        </is>
      </c>
      <c r="E3916" t="inlineStr">
        <is>
          <t>JOKKMOKK</t>
        </is>
      </c>
      <c r="F3916" t="inlineStr">
        <is>
          <t>SCA</t>
        </is>
      </c>
      <c r="G3916" t="n">
        <v>16.7</v>
      </c>
      <c r="H3916" t="n">
        <v>0</v>
      </c>
      <c r="I3916" t="n">
        <v>0</v>
      </c>
      <c r="J3916" t="n">
        <v>0</v>
      </c>
      <c r="K3916" t="n">
        <v>0</v>
      </c>
      <c r="L3916" t="n">
        <v>0</v>
      </c>
      <c r="M3916" t="n">
        <v>0</v>
      </c>
      <c r="N3916" t="n">
        <v>0</v>
      </c>
      <c r="O3916" t="n">
        <v>0</v>
      </c>
      <c r="P3916" t="n">
        <v>0</v>
      </c>
      <c r="Q3916" t="n">
        <v>0</v>
      </c>
      <c r="R3916" s="2" t="inlineStr"/>
    </row>
    <row r="3917" ht="15" customHeight="1">
      <c r="A3917" t="inlineStr">
        <is>
          <t>A 27904-2025</t>
        </is>
      </c>
      <c r="B3917" s="1" t="n">
        <v>45817.46805555555</v>
      </c>
      <c r="C3917" s="1" t="n">
        <v>45895</v>
      </c>
      <c r="D3917" t="inlineStr">
        <is>
          <t>NORRBOTTENS LÄN</t>
        </is>
      </c>
      <c r="E3917" t="inlineStr">
        <is>
          <t>KALIX</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40804-2024</t>
        </is>
      </c>
      <c r="B3918" s="1" t="n">
        <v>45558.53196759259</v>
      </c>
      <c r="C3918" s="1" t="n">
        <v>45895</v>
      </c>
      <c r="D3918" t="inlineStr">
        <is>
          <t>NORRBOTTENS LÄN</t>
        </is>
      </c>
      <c r="E3918" t="inlineStr">
        <is>
          <t>PAJALA</t>
        </is>
      </c>
      <c r="G3918" t="n">
        <v>93</v>
      </c>
      <c r="H3918" t="n">
        <v>0</v>
      </c>
      <c r="I3918" t="n">
        <v>0</v>
      </c>
      <c r="J3918" t="n">
        <v>0</v>
      </c>
      <c r="K3918" t="n">
        <v>0</v>
      </c>
      <c r="L3918" t="n">
        <v>0</v>
      </c>
      <c r="M3918" t="n">
        <v>0</v>
      </c>
      <c r="N3918" t="n">
        <v>0</v>
      </c>
      <c r="O3918" t="n">
        <v>0</v>
      </c>
      <c r="P3918" t="n">
        <v>0</v>
      </c>
      <c r="Q3918" t="n">
        <v>0</v>
      </c>
      <c r="R3918" s="2" t="inlineStr"/>
    </row>
    <row r="3919" ht="15" customHeight="1">
      <c r="A3919" t="inlineStr">
        <is>
          <t>A 48339-2024</t>
        </is>
      </c>
      <c r="B3919" s="1" t="n">
        <v>45590</v>
      </c>
      <c r="C3919" s="1" t="n">
        <v>45895</v>
      </c>
      <c r="D3919" t="inlineStr">
        <is>
          <t>NORRBOTTENS LÄN</t>
        </is>
      </c>
      <c r="E3919" t="inlineStr">
        <is>
          <t>JOKKMOKK</t>
        </is>
      </c>
      <c r="F3919" t="inlineStr">
        <is>
          <t>Allmännings- och besparingsskogar</t>
        </is>
      </c>
      <c r="G3919" t="n">
        <v>24.9</v>
      </c>
      <c r="H3919" t="n">
        <v>0</v>
      </c>
      <c r="I3919" t="n">
        <v>0</v>
      </c>
      <c r="J3919" t="n">
        <v>0</v>
      </c>
      <c r="K3919" t="n">
        <v>0</v>
      </c>
      <c r="L3919" t="n">
        <v>0</v>
      </c>
      <c r="M3919" t="n">
        <v>0</v>
      </c>
      <c r="N3919" t="n">
        <v>0</v>
      </c>
      <c r="O3919" t="n">
        <v>0</v>
      </c>
      <c r="P3919" t="n">
        <v>0</v>
      </c>
      <c r="Q3919" t="n">
        <v>0</v>
      </c>
      <c r="R3919" s="2" t="inlineStr"/>
    </row>
    <row r="3920" ht="15" customHeight="1">
      <c r="A3920" t="inlineStr">
        <is>
          <t>A 54331-2024</t>
        </is>
      </c>
      <c r="B3920" s="1" t="n">
        <v>45617.37787037037</v>
      </c>
      <c r="C3920" s="1" t="n">
        <v>45895</v>
      </c>
      <c r="D3920" t="inlineStr">
        <is>
          <t>NORRBOTTENS LÄN</t>
        </is>
      </c>
      <c r="E3920" t="inlineStr">
        <is>
          <t>PITEÅ</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27747-2025</t>
        </is>
      </c>
      <c r="B3921" s="1" t="n">
        <v>45815.67590277778</v>
      </c>
      <c r="C3921" s="1" t="n">
        <v>45895</v>
      </c>
      <c r="D3921" t="inlineStr">
        <is>
          <t>NORRBOTTENS LÄN</t>
        </is>
      </c>
      <c r="E3921" t="inlineStr">
        <is>
          <t>KALIX</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27749-2025</t>
        </is>
      </c>
      <c r="B3922" s="1" t="n">
        <v>45815.68055555555</v>
      </c>
      <c r="C3922" s="1" t="n">
        <v>45895</v>
      </c>
      <c r="D3922" t="inlineStr">
        <is>
          <t>NORRBOTTENS LÄN</t>
        </is>
      </c>
      <c r="E3922" t="inlineStr">
        <is>
          <t>KALIX</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27761-2025</t>
        </is>
      </c>
      <c r="B3923" s="1" t="n">
        <v>45816.57137731482</v>
      </c>
      <c r="C3923" s="1" t="n">
        <v>45895</v>
      </c>
      <c r="D3923" t="inlineStr">
        <is>
          <t>NORRBOTTENS LÄN</t>
        </is>
      </c>
      <c r="E3923" t="inlineStr">
        <is>
          <t>KALIX</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27764-2025</t>
        </is>
      </c>
      <c r="B3924" s="1" t="n">
        <v>45816.58204861111</v>
      </c>
      <c r="C3924" s="1" t="n">
        <v>45895</v>
      </c>
      <c r="D3924" t="inlineStr">
        <is>
          <t>NORRBOTTENS LÄN</t>
        </is>
      </c>
      <c r="E3924" t="inlineStr">
        <is>
          <t>KALIX</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27771-2025</t>
        </is>
      </c>
      <c r="B3925" s="1" t="n">
        <v>45816.63277777778</v>
      </c>
      <c r="C3925" s="1" t="n">
        <v>45895</v>
      </c>
      <c r="D3925" t="inlineStr">
        <is>
          <t>NORRBOTTENS LÄN</t>
        </is>
      </c>
      <c r="E3925" t="inlineStr">
        <is>
          <t>KALIX</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93-2024</t>
        </is>
      </c>
      <c r="B3926" s="1" t="n">
        <v>45293</v>
      </c>
      <c r="C3926" s="1" t="n">
        <v>45895</v>
      </c>
      <c r="D3926" t="inlineStr">
        <is>
          <t>NORRBOTTENS LÄN</t>
        </is>
      </c>
      <c r="E3926" t="inlineStr">
        <is>
          <t>KIRUNA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44625-2024</t>
        </is>
      </c>
      <c r="B3927" s="1" t="n">
        <v>45574.51377314814</v>
      </c>
      <c r="C3927" s="1" t="n">
        <v>45895</v>
      </c>
      <c r="D3927" t="inlineStr">
        <is>
          <t>NORRBOTTENS LÄN</t>
        </is>
      </c>
      <c r="E3927" t="inlineStr">
        <is>
          <t>BODEN</t>
        </is>
      </c>
      <c r="F3927" t="inlineStr">
        <is>
          <t>Sveaskog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50109-2024</t>
        </is>
      </c>
      <c r="B3928" s="1" t="n">
        <v>45600</v>
      </c>
      <c r="C3928" s="1" t="n">
        <v>45895</v>
      </c>
      <c r="D3928" t="inlineStr">
        <is>
          <t>NORRBOTTENS LÄN</t>
        </is>
      </c>
      <c r="E3928" t="inlineStr">
        <is>
          <t>ARVIDSJAUR</t>
        </is>
      </c>
      <c r="F3928" t="inlineStr">
        <is>
          <t>Sveaskog</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27949-2025</t>
        </is>
      </c>
      <c r="B3929" s="1" t="n">
        <v>45817.52672453703</v>
      </c>
      <c r="C3929" s="1" t="n">
        <v>45895</v>
      </c>
      <c r="D3929" t="inlineStr">
        <is>
          <t>NORRBOTTENS LÄN</t>
        </is>
      </c>
      <c r="E3929" t="inlineStr">
        <is>
          <t>ÖVERKALIX</t>
        </is>
      </c>
      <c r="F3929" t="inlineStr">
        <is>
          <t>Sveaskog</t>
        </is>
      </c>
      <c r="G3929" t="n">
        <v>51.1</v>
      </c>
      <c r="H3929" t="n">
        <v>0</v>
      </c>
      <c r="I3929" t="n">
        <v>0</v>
      </c>
      <c r="J3929" t="n">
        <v>0</v>
      </c>
      <c r="K3929" t="n">
        <v>0</v>
      </c>
      <c r="L3929" t="n">
        <v>0</v>
      </c>
      <c r="M3929" t="n">
        <v>0</v>
      </c>
      <c r="N3929" t="n">
        <v>0</v>
      </c>
      <c r="O3929" t="n">
        <v>0</v>
      </c>
      <c r="P3929" t="n">
        <v>0</v>
      </c>
      <c r="Q3929" t="n">
        <v>0</v>
      </c>
      <c r="R3929" s="2" t="inlineStr"/>
    </row>
    <row r="3930" ht="15" customHeight="1">
      <c r="A3930" t="inlineStr">
        <is>
          <t>A 28001-2025</t>
        </is>
      </c>
      <c r="B3930" s="1" t="n">
        <v>45817.59512731482</v>
      </c>
      <c r="C3930" s="1" t="n">
        <v>45895</v>
      </c>
      <c r="D3930" t="inlineStr">
        <is>
          <t>NORRBOTTENS LÄN</t>
        </is>
      </c>
      <c r="E3930" t="inlineStr">
        <is>
          <t>KALIX</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26587-2024</t>
        </is>
      </c>
      <c r="B3931" s="1" t="n">
        <v>45469.67459490741</v>
      </c>
      <c r="C3931" s="1" t="n">
        <v>45895</v>
      </c>
      <c r="D3931" t="inlineStr">
        <is>
          <t>NORRBOTTENS LÄN</t>
        </is>
      </c>
      <c r="E3931" t="inlineStr">
        <is>
          <t>LULEÅ</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23324-2023</t>
        </is>
      </c>
      <c r="B3932" s="1" t="n">
        <v>45076</v>
      </c>
      <c r="C3932" s="1" t="n">
        <v>45895</v>
      </c>
      <c r="D3932" t="inlineStr">
        <is>
          <t>NORRBOTTENS LÄN</t>
        </is>
      </c>
      <c r="E3932" t="inlineStr">
        <is>
          <t>ÖVERKALIX</t>
        </is>
      </c>
      <c r="F3932" t="inlineStr">
        <is>
          <t>Övriga statliga verk och myndigheter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44324-2024</t>
        </is>
      </c>
      <c r="B3933" s="1" t="n">
        <v>45573.59376157408</v>
      </c>
      <c r="C3933" s="1" t="n">
        <v>45895</v>
      </c>
      <c r="D3933" t="inlineStr">
        <is>
          <t>NORRBOTTENS LÄN</t>
        </is>
      </c>
      <c r="E3933" t="inlineStr">
        <is>
          <t>LULEÅ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44327-2024</t>
        </is>
      </c>
      <c r="B3934" s="1" t="n">
        <v>45573</v>
      </c>
      <c r="C3934" s="1" t="n">
        <v>45895</v>
      </c>
      <c r="D3934" t="inlineStr">
        <is>
          <t>NORRBOTTENS LÄN</t>
        </is>
      </c>
      <c r="E3934" t="inlineStr">
        <is>
          <t>GÄLLIVARE</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35685-2025</t>
        </is>
      </c>
      <c r="B3935" s="1" t="n">
        <v>45859.921875</v>
      </c>
      <c r="C3935" s="1" t="n">
        <v>45895</v>
      </c>
      <c r="D3935" t="inlineStr">
        <is>
          <t>NORRBOTTENS LÄN</t>
        </is>
      </c>
      <c r="E3935" t="inlineStr">
        <is>
          <t>LULEÅ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35686-2025</t>
        </is>
      </c>
      <c r="B3936" s="1" t="n">
        <v>45859.92579861111</v>
      </c>
      <c r="C3936" s="1" t="n">
        <v>45895</v>
      </c>
      <c r="D3936" t="inlineStr">
        <is>
          <t>NORRBOTTENS LÄN</t>
        </is>
      </c>
      <c r="E3936" t="inlineStr">
        <is>
          <t>LULEÅ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60868-2023</t>
        </is>
      </c>
      <c r="B3937" s="1" t="n">
        <v>45260</v>
      </c>
      <c r="C3937" s="1" t="n">
        <v>45895</v>
      </c>
      <c r="D3937" t="inlineStr">
        <is>
          <t>NORRBOTTENS LÄN</t>
        </is>
      </c>
      <c r="E3937" t="inlineStr">
        <is>
          <t>GÄLLIVARE</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58537-2023</t>
        </is>
      </c>
      <c r="B3938" s="1" t="n">
        <v>45251</v>
      </c>
      <c r="C3938" s="1" t="n">
        <v>45895</v>
      </c>
      <c r="D3938" t="inlineStr">
        <is>
          <t>NORRBOTTENS LÄN</t>
        </is>
      </c>
      <c r="E3938" t="inlineStr">
        <is>
          <t>PITEÅ</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56734-2024</t>
        </is>
      </c>
      <c r="B3939" s="1" t="n">
        <v>45628</v>
      </c>
      <c r="C3939" s="1" t="n">
        <v>45895</v>
      </c>
      <c r="D3939" t="inlineStr">
        <is>
          <t>NORRBOTTENS LÄN</t>
        </is>
      </c>
      <c r="E3939" t="inlineStr">
        <is>
          <t>ÖVERTORNEÅ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28372-2025</t>
        </is>
      </c>
      <c r="B3940" s="1" t="n">
        <v>45818</v>
      </c>
      <c r="C3940" s="1" t="n">
        <v>45895</v>
      </c>
      <c r="D3940" t="inlineStr">
        <is>
          <t>NORRBOTTENS LÄN</t>
        </is>
      </c>
      <c r="E3940" t="inlineStr">
        <is>
          <t>ÖVERKALIX</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15819-2025</t>
        </is>
      </c>
      <c r="B3941" s="1" t="n">
        <v>45748.68537037037</v>
      </c>
      <c r="C3941" s="1" t="n">
        <v>45895</v>
      </c>
      <c r="D3941" t="inlineStr">
        <is>
          <t>NORRBOTTENS LÄN</t>
        </is>
      </c>
      <c r="E3941" t="inlineStr">
        <is>
          <t>KALIX</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21556-2023</t>
        </is>
      </c>
      <c r="B3942" s="1" t="n">
        <v>45063</v>
      </c>
      <c r="C3942" s="1" t="n">
        <v>45895</v>
      </c>
      <c r="D3942" t="inlineStr">
        <is>
          <t>NORRBOTTENS LÄN</t>
        </is>
      </c>
      <c r="E3942" t="inlineStr">
        <is>
          <t>GÄLLIVARE</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29109-2024</t>
        </is>
      </c>
      <c r="B3943" s="1" t="n">
        <v>45481.95275462963</v>
      </c>
      <c r="C3943" s="1" t="n">
        <v>45895</v>
      </c>
      <c r="D3943" t="inlineStr">
        <is>
          <t>NORRBOTTENS LÄN</t>
        </is>
      </c>
      <c r="E3943" t="inlineStr">
        <is>
          <t>BODEN</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17418-2024</t>
        </is>
      </c>
      <c r="B3944" s="1" t="n">
        <v>45414</v>
      </c>
      <c r="C3944" s="1" t="n">
        <v>45895</v>
      </c>
      <c r="D3944" t="inlineStr">
        <is>
          <t>NORRBOTTENS LÄN</t>
        </is>
      </c>
      <c r="E3944" t="inlineStr">
        <is>
          <t>GÄLLIVARE</t>
        </is>
      </c>
      <c r="F3944" t="inlineStr">
        <is>
          <t>SCA</t>
        </is>
      </c>
      <c r="G3944" t="n">
        <v>48.6</v>
      </c>
      <c r="H3944" t="n">
        <v>0</v>
      </c>
      <c r="I3944" t="n">
        <v>0</v>
      </c>
      <c r="J3944" t="n">
        <v>0</v>
      </c>
      <c r="K3944" t="n">
        <v>0</v>
      </c>
      <c r="L3944" t="n">
        <v>0</v>
      </c>
      <c r="M3944" t="n">
        <v>0</v>
      </c>
      <c r="N3944" t="n">
        <v>0</v>
      </c>
      <c r="O3944" t="n">
        <v>0</v>
      </c>
      <c r="P3944" t="n">
        <v>0</v>
      </c>
      <c r="Q3944" t="n">
        <v>0</v>
      </c>
      <c r="R3944" s="2" t="inlineStr"/>
    </row>
    <row r="3945" ht="15" customHeight="1">
      <c r="A3945" t="inlineStr">
        <is>
          <t>A 28090-2023</t>
        </is>
      </c>
      <c r="B3945" s="1" t="n">
        <v>45099</v>
      </c>
      <c r="C3945" s="1" t="n">
        <v>45895</v>
      </c>
      <c r="D3945" t="inlineStr">
        <is>
          <t>NORRBOTTENS LÄN</t>
        </is>
      </c>
      <c r="E3945" t="inlineStr">
        <is>
          <t>JOKKMOKK</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28141-2025</t>
        </is>
      </c>
      <c r="B3946" s="1" t="n">
        <v>45818</v>
      </c>
      <c r="C3946" s="1" t="n">
        <v>45895</v>
      </c>
      <c r="D3946" t="inlineStr">
        <is>
          <t>NORRBOTTENS LÄN</t>
        </is>
      </c>
      <c r="E3946" t="inlineStr">
        <is>
          <t>BODEN</t>
        </is>
      </c>
      <c r="F3946" t="inlineStr">
        <is>
          <t>SCA</t>
        </is>
      </c>
      <c r="G3946" t="n">
        <v>19.1</v>
      </c>
      <c r="H3946" t="n">
        <v>0</v>
      </c>
      <c r="I3946" t="n">
        <v>0</v>
      </c>
      <c r="J3946" t="n">
        <v>0</v>
      </c>
      <c r="K3946" t="n">
        <v>0</v>
      </c>
      <c r="L3946" t="n">
        <v>0</v>
      </c>
      <c r="M3946" t="n">
        <v>0</v>
      </c>
      <c r="N3946" t="n">
        <v>0</v>
      </c>
      <c r="O3946" t="n">
        <v>0</v>
      </c>
      <c r="P3946" t="n">
        <v>0</v>
      </c>
      <c r="Q3946" t="n">
        <v>0</v>
      </c>
      <c r="R3946" s="2" t="inlineStr"/>
    </row>
    <row r="3947" ht="15" customHeight="1">
      <c r="A3947" t="inlineStr">
        <is>
          <t>A 13556-2022</t>
        </is>
      </c>
      <c r="B3947" s="1" t="n">
        <v>44648</v>
      </c>
      <c r="C3947" s="1" t="n">
        <v>45895</v>
      </c>
      <c r="D3947" t="inlineStr">
        <is>
          <t>NORRBOTTENS LÄN</t>
        </is>
      </c>
      <c r="E3947" t="inlineStr">
        <is>
          <t>BODEN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55774-2024</t>
        </is>
      </c>
      <c r="B3948" s="1" t="n">
        <v>45623.39898148148</v>
      </c>
      <c r="C3948" s="1" t="n">
        <v>45895</v>
      </c>
      <c r="D3948" t="inlineStr">
        <is>
          <t>NORRBOTTENS LÄN</t>
        </is>
      </c>
      <c r="E3948" t="inlineStr">
        <is>
          <t>PAJALA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27752-2025</t>
        </is>
      </c>
      <c r="B3949" s="1" t="n">
        <v>45815.69028935185</v>
      </c>
      <c r="C3949" s="1" t="n">
        <v>45895</v>
      </c>
      <c r="D3949" t="inlineStr">
        <is>
          <t>NORRBOTTENS LÄN</t>
        </is>
      </c>
      <c r="E3949" t="inlineStr">
        <is>
          <t>KALIX</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44710-2024</t>
        </is>
      </c>
      <c r="B3950" s="1" t="n">
        <v>45574.57387731481</v>
      </c>
      <c r="C3950" s="1" t="n">
        <v>45895</v>
      </c>
      <c r="D3950" t="inlineStr">
        <is>
          <t>NORRBOTTENS LÄN</t>
        </is>
      </c>
      <c r="E3950" t="inlineStr">
        <is>
          <t>PITEÅ</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15153-2025</t>
        </is>
      </c>
      <c r="B3951" s="1" t="n">
        <v>45744.4612037037</v>
      </c>
      <c r="C3951" s="1" t="n">
        <v>45895</v>
      </c>
      <c r="D3951" t="inlineStr">
        <is>
          <t>NORRBOTTENS LÄN</t>
        </is>
      </c>
      <c r="E3951" t="inlineStr">
        <is>
          <t>ÖVERKALIX</t>
        </is>
      </c>
      <c r="G3951" t="n">
        <v>8</v>
      </c>
      <c r="H3951" t="n">
        <v>0</v>
      </c>
      <c r="I3951" t="n">
        <v>0</v>
      </c>
      <c r="J3951" t="n">
        <v>0</v>
      </c>
      <c r="K3951" t="n">
        <v>0</v>
      </c>
      <c r="L3951" t="n">
        <v>0</v>
      </c>
      <c r="M3951" t="n">
        <v>0</v>
      </c>
      <c r="N3951" t="n">
        <v>0</v>
      </c>
      <c r="O3951" t="n">
        <v>0</v>
      </c>
      <c r="P3951" t="n">
        <v>0</v>
      </c>
      <c r="Q3951" t="n">
        <v>0</v>
      </c>
      <c r="R3951" s="2" t="inlineStr"/>
    </row>
    <row r="3952" ht="15" customHeight="1">
      <c r="A3952" t="inlineStr">
        <is>
          <t>A 61488-2023</t>
        </is>
      </c>
      <c r="B3952" s="1" t="n">
        <v>45264</v>
      </c>
      <c r="C3952" s="1" t="n">
        <v>45895</v>
      </c>
      <c r="D3952" t="inlineStr">
        <is>
          <t>NORRBOTTENS LÄN</t>
        </is>
      </c>
      <c r="E3952" t="inlineStr">
        <is>
          <t>BODEN</t>
        </is>
      </c>
      <c r="F3952" t="inlineStr">
        <is>
          <t>SCA</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50396-2022</t>
        </is>
      </c>
      <c r="B3953" s="1" t="n">
        <v>44861</v>
      </c>
      <c r="C3953" s="1" t="n">
        <v>45895</v>
      </c>
      <c r="D3953" t="inlineStr">
        <is>
          <t>NORRBOTTENS LÄN</t>
        </is>
      </c>
      <c r="E3953" t="inlineStr">
        <is>
          <t>PAJALA</t>
        </is>
      </c>
      <c r="F3953" t="inlineStr">
        <is>
          <t>Allmännings- och besparingsskogar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56139-2024</t>
        </is>
      </c>
      <c r="B3954" s="1" t="n">
        <v>45624.4886574074</v>
      </c>
      <c r="C3954" s="1" t="n">
        <v>45895</v>
      </c>
      <c r="D3954" t="inlineStr">
        <is>
          <t>NORRBOTTENS LÄN</t>
        </is>
      </c>
      <c r="E3954" t="inlineStr">
        <is>
          <t>BODEN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27763-2025</t>
        </is>
      </c>
      <c r="B3955" s="1" t="n">
        <v>45816.57856481482</v>
      </c>
      <c r="C3955" s="1" t="n">
        <v>45895</v>
      </c>
      <c r="D3955" t="inlineStr">
        <is>
          <t>NORRBOTTENS LÄN</t>
        </is>
      </c>
      <c r="E3955" t="inlineStr">
        <is>
          <t>KALIX</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27779-2025</t>
        </is>
      </c>
      <c r="B3956" s="1" t="n">
        <v>45816.65878472223</v>
      </c>
      <c r="C3956" s="1" t="n">
        <v>45895</v>
      </c>
      <c r="D3956" t="inlineStr">
        <is>
          <t>NORRBOTTENS LÄN</t>
        </is>
      </c>
      <c r="E3956" t="inlineStr">
        <is>
          <t>KALIX</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2000-2024</t>
        </is>
      </c>
      <c r="B3957" s="1" t="n">
        <v>45308</v>
      </c>
      <c r="C3957" s="1" t="n">
        <v>45895</v>
      </c>
      <c r="D3957" t="inlineStr">
        <is>
          <t>NORRBOTTENS LÄN</t>
        </is>
      </c>
      <c r="E3957" t="inlineStr">
        <is>
          <t>KALIX</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35594-2025</t>
        </is>
      </c>
      <c r="B3958" s="1" t="n">
        <v>45857.77271990741</v>
      </c>
      <c r="C3958" s="1" t="n">
        <v>45895</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35595-2025</t>
        </is>
      </c>
      <c r="B3959" s="1" t="n">
        <v>45858.32641203704</v>
      </c>
      <c r="C3959" s="1" t="n">
        <v>45895</v>
      </c>
      <c r="D3959" t="inlineStr">
        <is>
          <t>NORRBOTTENS LÄN</t>
        </is>
      </c>
      <c r="E3959" t="inlineStr">
        <is>
          <t>LULEÅ</t>
        </is>
      </c>
      <c r="G3959" t="n">
        <v>13.1</v>
      </c>
      <c r="H3959" t="n">
        <v>0</v>
      </c>
      <c r="I3959" t="n">
        <v>0</v>
      </c>
      <c r="J3959" t="n">
        <v>0</v>
      </c>
      <c r="K3959" t="n">
        <v>0</v>
      </c>
      <c r="L3959" t="n">
        <v>0</v>
      </c>
      <c r="M3959" t="n">
        <v>0</v>
      </c>
      <c r="N3959" t="n">
        <v>0</v>
      </c>
      <c r="O3959" t="n">
        <v>0</v>
      </c>
      <c r="P3959" t="n">
        <v>0</v>
      </c>
      <c r="Q3959" t="n">
        <v>0</v>
      </c>
      <c r="R3959" s="2" t="inlineStr"/>
    </row>
    <row r="3960" ht="15" customHeight="1">
      <c r="A3960" t="inlineStr">
        <is>
          <t>A 27899-2023</t>
        </is>
      </c>
      <c r="B3960" s="1" t="n">
        <v>45098</v>
      </c>
      <c r="C3960" s="1" t="n">
        <v>45895</v>
      </c>
      <c r="D3960" t="inlineStr">
        <is>
          <t>NORRBOTTENS LÄN</t>
        </is>
      </c>
      <c r="E3960" t="inlineStr">
        <is>
          <t>PITEÅ</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57139-2024</t>
        </is>
      </c>
      <c r="B3961" s="1" t="n">
        <v>45629</v>
      </c>
      <c r="C3961" s="1" t="n">
        <v>45895</v>
      </c>
      <c r="D3961" t="inlineStr">
        <is>
          <t>NORRBOTTENS LÄN</t>
        </is>
      </c>
      <c r="E3961" t="inlineStr">
        <is>
          <t>ÄLVSBYN</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17897-2025</t>
        </is>
      </c>
      <c r="B3962" s="1" t="n">
        <v>45758.69814814815</v>
      </c>
      <c r="C3962" s="1" t="n">
        <v>45895</v>
      </c>
      <c r="D3962" t="inlineStr">
        <is>
          <t>NORRBOTTENS LÄN</t>
        </is>
      </c>
      <c r="E3962" t="inlineStr">
        <is>
          <t>LULEÅ</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47121-2022</t>
        </is>
      </c>
      <c r="B3963" s="1" t="n">
        <v>44851</v>
      </c>
      <c r="C3963" s="1" t="n">
        <v>45895</v>
      </c>
      <c r="D3963" t="inlineStr">
        <is>
          <t>NORRBOTTENS LÄN</t>
        </is>
      </c>
      <c r="E3963" t="inlineStr">
        <is>
          <t>ÄLVSBYN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65015-2023</t>
        </is>
      </c>
      <c r="B3964" s="1" t="n">
        <v>45287.40711805555</v>
      </c>
      <c r="C3964" s="1" t="n">
        <v>45895</v>
      </c>
      <c r="D3964" t="inlineStr">
        <is>
          <t>NORRBOTTENS LÄN</t>
        </is>
      </c>
      <c r="E3964" t="inlineStr">
        <is>
          <t>PITEÅ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4100-2024</t>
        </is>
      </c>
      <c r="B3965" s="1" t="n">
        <v>45323</v>
      </c>
      <c r="C3965" s="1" t="n">
        <v>45895</v>
      </c>
      <c r="D3965" t="inlineStr">
        <is>
          <t>NORRBOTTENS LÄN</t>
        </is>
      </c>
      <c r="E3965" t="inlineStr">
        <is>
          <t>PITEÅ</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28126-2025</t>
        </is>
      </c>
      <c r="B3966" s="1" t="n">
        <v>45818.31854166667</v>
      </c>
      <c r="C3966" s="1" t="n">
        <v>45895</v>
      </c>
      <c r="D3966" t="inlineStr">
        <is>
          <t>NORRBOTTENS LÄN</t>
        </is>
      </c>
      <c r="E3966" t="inlineStr">
        <is>
          <t>GÄLLIVARE</t>
        </is>
      </c>
      <c r="F3966" t="inlineStr">
        <is>
          <t>Sveaskog</t>
        </is>
      </c>
      <c r="G3966" t="n">
        <v>29.9</v>
      </c>
      <c r="H3966" t="n">
        <v>0</v>
      </c>
      <c r="I3966" t="n">
        <v>0</v>
      </c>
      <c r="J3966" t="n">
        <v>0</v>
      </c>
      <c r="K3966" t="n">
        <v>0</v>
      </c>
      <c r="L3966" t="n">
        <v>0</v>
      </c>
      <c r="M3966" t="n">
        <v>0</v>
      </c>
      <c r="N3966" t="n">
        <v>0</v>
      </c>
      <c r="O3966" t="n">
        <v>0</v>
      </c>
      <c r="P3966" t="n">
        <v>0</v>
      </c>
      <c r="Q3966" t="n">
        <v>0</v>
      </c>
      <c r="R3966" s="2" t="inlineStr"/>
    </row>
    <row r="3967" ht="15" customHeight="1">
      <c r="A3967" t="inlineStr">
        <is>
          <t>A 39399-2022</t>
        </is>
      </c>
      <c r="B3967" s="1" t="n">
        <v>44817.94883101852</v>
      </c>
      <c r="C3967" s="1" t="n">
        <v>45895</v>
      </c>
      <c r="D3967" t="inlineStr">
        <is>
          <t>NORRBOTTENS LÄN</t>
        </is>
      </c>
      <c r="E3967" t="inlineStr">
        <is>
          <t>PITEÅ</t>
        </is>
      </c>
      <c r="F3967" t="inlineStr">
        <is>
          <t>SCA</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35587-2025</t>
        </is>
      </c>
      <c r="B3968" s="1" t="n">
        <v>45857.59552083333</v>
      </c>
      <c r="C3968" s="1" t="n">
        <v>45895</v>
      </c>
      <c r="D3968" t="inlineStr">
        <is>
          <t>NORRBOTTENS LÄN</t>
        </is>
      </c>
      <c r="E3968" t="inlineStr">
        <is>
          <t>ÖVERTORNEÅ</t>
        </is>
      </c>
      <c r="G3968" t="n">
        <v>16.1</v>
      </c>
      <c r="H3968" t="n">
        <v>0</v>
      </c>
      <c r="I3968" t="n">
        <v>0</v>
      </c>
      <c r="J3968" t="n">
        <v>0</v>
      </c>
      <c r="K3968" t="n">
        <v>0</v>
      </c>
      <c r="L3968" t="n">
        <v>0</v>
      </c>
      <c r="M3968" t="n">
        <v>0</v>
      </c>
      <c r="N3968" t="n">
        <v>0</v>
      </c>
      <c r="O3968" t="n">
        <v>0</v>
      </c>
      <c r="P3968" t="n">
        <v>0</v>
      </c>
      <c r="Q3968" t="n">
        <v>0</v>
      </c>
      <c r="R3968" s="2" t="inlineStr"/>
    </row>
    <row r="3969" ht="15" customHeight="1">
      <c r="A3969" t="inlineStr">
        <is>
          <t>A 46820-2024</t>
        </is>
      </c>
      <c r="B3969" s="1" t="n">
        <v>45583.57577546296</v>
      </c>
      <c r="C3969" s="1" t="n">
        <v>45895</v>
      </c>
      <c r="D3969" t="inlineStr">
        <is>
          <t>NORRBOTTENS LÄN</t>
        </is>
      </c>
      <c r="E3969" t="inlineStr">
        <is>
          <t>PAJALA</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35589-2025</t>
        </is>
      </c>
      <c r="B3970" s="1" t="n">
        <v>45857.61952546296</v>
      </c>
      <c r="C3970" s="1" t="n">
        <v>45895</v>
      </c>
      <c r="D3970" t="inlineStr">
        <is>
          <t>NORRBOTTENS LÄN</t>
        </is>
      </c>
      <c r="E3970" t="inlineStr">
        <is>
          <t>ÖVERTORNEÅ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35591-2025</t>
        </is>
      </c>
      <c r="B3971" s="1" t="n">
        <v>45857.62631944445</v>
      </c>
      <c r="C3971" s="1" t="n">
        <v>45895</v>
      </c>
      <c r="D3971" t="inlineStr">
        <is>
          <t>NORRBOTTENS LÄN</t>
        </is>
      </c>
      <c r="E3971" t="inlineStr">
        <is>
          <t>ÖVERTORNEÅ</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27762-2025</t>
        </is>
      </c>
      <c r="B3972" s="1" t="n">
        <v>45816.57533564815</v>
      </c>
      <c r="C3972" s="1" t="n">
        <v>45895</v>
      </c>
      <c r="D3972" t="inlineStr">
        <is>
          <t>NORRBOTTENS LÄN</t>
        </is>
      </c>
      <c r="E3972" t="inlineStr">
        <is>
          <t>KALIX</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27772-2025</t>
        </is>
      </c>
      <c r="B3973" s="1" t="n">
        <v>45816.63599537037</v>
      </c>
      <c r="C3973" s="1" t="n">
        <v>45895</v>
      </c>
      <c r="D3973" t="inlineStr">
        <is>
          <t>NORRBOTTENS LÄN</t>
        </is>
      </c>
      <c r="E3973" t="inlineStr">
        <is>
          <t>KALIX</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27774-2025</t>
        </is>
      </c>
      <c r="B3974" s="1" t="n">
        <v>45816.64159722222</v>
      </c>
      <c r="C3974" s="1" t="n">
        <v>45895</v>
      </c>
      <c r="D3974" t="inlineStr">
        <is>
          <t>NORRBOTTENS LÄN</t>
        </is>
      </c>
      <c r="E3974" t="inlineStr">
        <is>
          <t>KALIX</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27778-2025</t>
        </is>
      </c>
      <c r="B3975" s="1" t="n">
        <v>45816.65658564815</v>
      </c>
      <c r="C3975" s="1" t="n">
        <v>45895</v>
      </c>
      <c r="D3975" t="inlineStr">
        <is>
          <t>NORRBOTTENS LÄN</t>
        </is>
      </c>
      <c r="E3975" t="inlineStr">
        <is>
          <t>KALIX</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27780-2025</t>
        </is>
      </c>
      <c r="B3976" s="1" t="n">
        <v>45816.66149305556</v>
      </c>
      <c r="C3976" s="1" t="n">
        <v>45895</v>
      </c>
      <c r="D3976" t="inlineStr">
        <is>
          <t>NORRBOTTENS LÄN</t>
        </is>
      </c>
      <c r="E3976" t="inlineStr">
        <is>
          <t>KALIX</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27781-2025</t>
        </is>
      </c>
      <c r="B3977" s="1" t="n">
        <v>45816.66796296297</v>
      </c>
      <c r="C3977" s="1" t="n">
        <v>45895</v>
      </c>
      <c r="D3977" t="inlineStr">
        <is>
          <t>NORRBOTTENS LÄN</t>
        </is>
      </c>
      <c r="E3977" t="inlineStr">
        <is>
          <t>KALIX</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27783-2025</t>
        </is>
      </c>
      <c r="B3978" s="1" t="n">
        <v>45816.68586805555</v>
      </c>
      <c r="C3978" s="1" t="n">
        <v>45895</v>
      </c>
      <c r="D3978" t="inlineStr">
        <is>
          <t>NORRBOTTENS LÄN</t>
        </is>
      </c>
      <c r="E3978" t="inlineStr">
        <is>
          <t>KALIX</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10948-2025</t>
        </is>
      </c>
      <c r="B3979" s="1" t="n">
        <v>45723.34453703704</v>
      </c>
      <c r="C3979" s="1" t="n">
        <v>45895</v>
      </c>
      <c r="D3979" t="inlineStr">
        <is>
          <t>NORRBOTTENS LÄN</t>
        </is>
      </c>
      <c r="E3979" t="inlineStr">
        <is>
          <t>GÄLLIVARE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27784-2025</t>
        </is>
      </c>
      <c r="B3980" s="1" t="n">
        <v>45816.69010416666</v>
      </c>
      <c r="C3980" s="1" t="n">
        <v>45895</v>
      </c>
      <c r="D3980" t="inlineStr">
        <is>
          <t>NORRBOTTENS LÄN</t>
        </is>
      </c>
      <c r="E3980" t="inlineStr">
        <is>
          <t>KALIX</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22409-2024</t>
        </is>
      </c>
      <c r="B3981" s="1" t="n">
        <v>45446.68098379629</v>
      </c>
      <c r="C3981" s="1" t="n">
        <v>45895</v>
      </c>
      <c r="D3981" t="inlineStr">
        <is>
          <t>NORRBOTTENS LÄN</t>
        </is>
      </c>
      <c r="E3981" t="inlineStr">
        <is>
          <t>BODEN</t>
        </is>
      </c>
      <c r="F3981" t="inlineStr">
        <is>
          <t>Sveaskog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20126-2023</t>
        </is>
      </c>
      <c r="B3982" s="1" t="n">
        <v>45051</v>
      </c>
      <c r="C3982" s="1" t="n">
        <v>45895</v>
      </c>
      <c r="D3982" t="inlineStr">
        <is>
          <t>NORRBOTTENS LÄN</t>
        </is>
      </c>
      <c r="E3982" t="inlineStr">
        <is>
          <t>GÄLLIVARE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28139-2025</t>
        </is>
      </c>
      <c r="B3983" s="1" t="n">
        <v>45818</v>
      </c>
      <c r="C3983" s="1" t="n">
        <v>45895</v>
      </c>
      <c r="D3983" t="inlineStr">
        <is>
          <t>NORRBOTTENS LÄN</t>
        </is>
      </c>
      <c r="E3983" t="inlineStr">
        <is>
          <t>BODEN</t>
        </is>
      </c>
      <c r="F3983" t="inlineStr">
        <is>
          <t>SCA</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9068-2023</t>
        </is>
      </c>
      <c r="B3984" s="1" t="n">
        <v>44979</v>
      </c>
      <c r="C3984" s="1" t="n">
        <v>45895</v>
      </c>
      <c r="D3984" t="inlineStr">
        <is>
          <t>NORRBOTTENS LÄN</t>
        </is>
      </c>
      <c r="E3984" t="inlineStr">
        <is>
          <t>KIRUNA</t>
        </is>
      </c>
      <c r="F3984" t="inlineStr">
        <is>
          <t>SCA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28197-2025</t>
        </is>
      </c>
      <c r="B3985" s="1" t="n">
        <v>45818.43130787037</v>
      </c>
      <c r="C3985" s="1" t="n">
        <v>45895</v>
      </c>
      <c r="D3985" t="inlineStr">
        <is>
          <t>NORRBOTTENS LÄN</t>
        </is>
      </c>
      <c r="E3985" t="inlineStr">
        <is>
          <t>BODEN</t>
        </is>
      </c>
      <c r="F3985" t="inlineStr">
        <is>
          <t>Sveaskog</t>
        </is>
      </c>
      <c r="G3985" t="n">
        <v>7.2</v>
      </c>
      <c r="H3985" t="n">
        <v>0</v>
      </c>
      <c r="I3985" t="n">
        <v>0</v>
      </c>
      <c r="J3985" t="n">
        <v>0</v>
      </c>
      <c r="K3985" t="n">
        <v>0</v>
      </c>
      <c r="L3985" t="n">
        <v>0</v>
      </c>
      <c r="M3985" t="n">
        <v>0</v>
      </c>
      <c r="N3985" t="n">
        <v>0</v>
      </c>
      <c r="O3985" t="n">
        <v>0</v>
      </c>
      <c r="P3985" t="n">
        <v>0</v>
      </c>
      <c r="Q3985" t="n">
        <v>0</v>
      </c>
      <c r="R3985" s="2" t="inlineStr"/>
      <c r="U3985">
        <f>HYPERLINK("https://klasma.github.io/Logging_2582/knärot/A 28197-2025 karta knärot.png", "A 28197-2025")</f>
        <v/>
      </c>
      <c r="V3985">
        <f>HYPERLINK("https://klasma.github.io/Logging_2582/klagomål/A 28197-2025 FSC-klagomål.docx", "A 28197-2025")</f>
        <v/>
      </c>
      <c r="W3985">
        <f>HYPERLINK("https://klasma.github.io/Logging_2582/klagomålsmail/A 28197-2025 FSC-klagomål mail.docx", "A 28197-2025")</f>
        <v/>
      </c>
      <c r="X3985">
        <f>HYPERLINK("https://klasma.github.io/Logging_2582/tillsyn/A 28197-2025 tillsynsbegäran.docx", "A 28197-2025")</f>
        <v/>
      </c>
      <c r="Y3985">
        <f>HYPERLINK("https://klasma.github.io/Logging_2582/tillsynsmail/A 28197-2025 tillsynsbegäran mail.docx", "A 28197-2025")</f>
        <v/>
      </c>
    </row>
    <row r="3986" ht="15" customHeight="1">
      <c r="A3986" t="inlineStr">
        <is>
          <t>A 35218-2022</t>
        </is>
      </c>
      <c r="B3986" s="1" t="n">
        <v>44797.92704861111</v>
      </c>
      <c r="C3986" s="1" t="n">
        <v>45895</v>
      </c>
      <c r="D3986" t="inlineStr">
        <is>
          <t>NORRBOTTENS LÄN</t>
        </is>
      </c>
      <c r="E3986" t="inlineStr">
        <is>
          <t>ÖVERTORNEÅ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58515-2023</t>
        </is>
      </c>
      <c r="B3987" s="1" t="n">
        <v>45251</v>
      </c>
      <c r="C3987" s="1" t="n">
        <v>45895</v>
      </c>
      <c r="D3987" t="inlineStr">
        <is>
          <t>NORRBOTTENS LÄN</t>
        </is>
      </c>
      <c r="E3987" t="inlineStr">
        <is>
          <t>ÄLVSBYN</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28248-2025</t>
        </is>
      </c>
      <c r="B3988" s="1" t="n">
        <v>45818.52607638889</v>
      </c>
      <c r="C3988" s="1" t="n">
        <v>45895</v>
      </c>
      <c r="D3988" t="inlineStr">
        <is>
          <t>NORRBOTTENS LÄN</t>
        </is>
      </c>
      <c r="E3988" t="inlineStr">
        <is>
          <t>BODEN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28262-2025</t>
        </is>
      </c>
      <c r="B3989" s="1" t="n">
        <v>45818</v>
      </c>
      <c r="C3989" s="1" t="n">
        <v>45895</v>
      </c>
      <c r="D3989" t="inlineStr">
        <is>
          <t>NORRBOTTENS LÄN</t>
        </is>
      </c>
      <c r="E3989" t="inlineStr">
        <is>
          <t>PITEÅ</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28270-2025</t>
        </is>
      </c>
      <c r="B3990" s="1" t="n">
        <v>45818.56925925926</v>
      </c>
      <c r="C3990" s="1" t="n">
        <v>45895</v>
      </c>
      <c r="D3990" t="inlineStr">
        <is>
          <t>NORRBOTTENS LÄN</t>
        </is>
      </c>
      <c r="E3990" t="inlineStr">
        <is>
          <t>BODEN</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23196-2024</t>
        </is>
      </c>
      <c r="B3991" s="1" t="n">
        <v>45451.42575231481</v>
      </c>
      <c r="C3991" s="1" t="n">
        <v>45895</v>
      </c>
      <c r="D3991" t="inlineStr">
        <is>
          <t>NORRBOTTENS LÄN</t>
        </is>
      </c>
      <c r="E3991" t="inlineStr">
        <is>
          <t>ÖVERTORNEÅ</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49712-2022</t>
        </is>
      </c>
      <c r="B3992" s="1" t="n">
        <v>44859</v>
      </c>
      <c r="C3992" s="1" t="n">
        <v>45895</v>
      </c>
      <c r="D3992" t="inlineStr">
        <is>
          <t>NORRBOTTENS LÄN</t>
        </is>
      </c>
      <c r="E3992" t="inlineStr">
        <is>
          <t>LULEÅ</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9700-2024</t>
        </is>
      </c>
      <c r="B3993" s="1" t="n">
        <v>45362</v>
      </c>
      <c r="C3993" s="1" t="n">
        <v>45895</v>
      </c>
      <c r="D3993" t="inlineStr">
        <is>
          <t>NORRBOTTENS LÄN</t>
        </is>
      </c>
      <c r="E3993" t="inlineStr">
        <is>
          <t>PAJALA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61190-2023</t>
        </is>
      </c>
      <c r="B3994" s="1" t="n">
        <v>45264</v>
      </c>
      <c r="C3994" s="1" t="n">
        <v>45895</v>
      </c>
      <c r="D3994" t="inlineStr">
        <is>
          <t>NORRBOTTENS LÄN</t>
        </is>
      </c>
      <c r="E3994" t="inlineStr">
        <is>
          <t>GÄLLIVARE</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28124-2025</t>
        </is>
      </c>
      <c r="B3995" s="1" t="n">
        <v>45818.31184027778</v>
      </c>
      <c r="C3995" s="1" t="n">
        <v>45895</v>
      </c>
      <c r="D3995" t="inlineStr">
        <is>
          <t>NORRBOTTENS LÄN</t>
        </is>
      </c>
      <c r="E3995" t="inlineStr">
        <is>
          <t>GÄLLIVARE</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28125-2025</t>
        </is>
      </c>
      <c r="B3996" s="1" t="n">
        <v>45818.31322916667</v>
      </c>
      <c r="C3996" s="1" t="n">
        <v>45895</v>
      </c>
      <c r="D3996" t="inlineStr">
        <is>
          <t>NORRBOTTENS LÄN</t>
        </is>
      </c>
      <c r="E3996" t="inlineStr">
        <is>
          <t>GÄLLIVARE</t>
        </is>
      </c>
      <c r="F3996" t="inlineStr">
        <is>
          <t>Sveaskog</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4053-2024</t>
        </is>
      </c>
      <c r="B3997" s="1" t="n">
        <v>45323</v>
      </c>
      <c r="C3997" s="1" t="n">
        <v>45895</v>
      </c>
      <c r="D3997" t="inlineStr">
        <is>
          <t>NORRBOTTENS LÄN</t>
        </is>
      </c>
      <c r="E3997" t="inlineStr">
        <is>
          <t>BODEN</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27768-2025</t>
        </is>
      </c>
      <c r="B3998" s="1" t="n">
        <v>45816.59293981481</v>
      </c>
      <c r="C3998" s="1" t="n">
        <v>45895</v>
      </c>
      <c r="D3998" t="inlineStr">
        <is>
          <t>NORRBOTTENS LÄN</t>
        </is>
      </c>
      <c r="E3998" t="inlineStr">
        <is>
          <t>KALIX</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27770-2025</t>
        </is>
      </c>
      <c r="B3999" s="1" t="n">
        <v>45816.62489583333</v>
      </c>
      <c r="C3999" s="1" t="n">
        <v>45895</v>
      </c>
      <c r="D3999" t="inlineStr">
        <is>
          <t>NORRBOTTENS LÄN</t>
        </is>
      </c>
      <c r="E3999" t="inlineStr">
        <is>
          <t>KALIX</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27773-2025</t>
        </is>
      </c>
      <c r="B4000" s="1" t="n">
        <v>45816.63829861111</v>
      </c>
      <c r="C4000" s="1" t="n">
        <v>45895</v>
      </c>
      <c r="D4000" t="inlineStr">
        <is>
          <t>NORRBOTTENS LÄN</t>
        </is>
      </c>
      <c r="E4000" t="inlineStr">
        <is>
          <t>KALIX</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35755-2025</t>
        </is>
      </c>
      <c r="B4001" s="1" t="n">
        <v>45860.59417824074</v>
      </c>
      <c r="C4001" s="1" t="n">
        <v>45895</v>
      </c>
      <c r="D4001" t="inlineStr">
        <is>
          <t>NORRBOTTENS LÄN</t>
        </is>
      </c>
      <c r="E4001" t="inlineStr">
        <is>
          <t>BODEN</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22854-2024</t>
        </is>
      </c>
      <c r="B4002" s="1" t="n">
        <v>45448</v>
      </c>
      <c r="C4002" s="1" t="n">
        <v>45895</v>
      </c>
      <c r="D4002" t="inlineStr">
        <is>
          <t>NORRBOTTENS LÄN</t>
        </is>
      </c>
      <c r="E4002" t="inlineStr">
        <is>
          <t>ÖVERKALIX</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28202-2025</t>
        </is>
      </c>
      <c r="B4003" s="1" t="n">
        <v>45818.44586805555</v>
      </c>
      <c r="C4003" s="1" t="n">
        <v>45895</v>
      </c>
      <c r="D4003" t="inlineStr">
        <is>
          <t>NORRBOTTENS LÄN</t>
        </is>
      </c>
      <c r="E4003" t="inlineStr">
        <is>
          <t>ÖVERKALIX</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3203-2024</t>
        </is>
      </c>
      <c r="B4004" s="1" t="n">
        <v>45316</v>
      </c>
      <c r="C4004" s="1" t="n">
        <v>45895</v>
      </c>
      <c r="D4004" t="inlineStr">
        <is>
          <t>NORRBOTTENS LÄN</t>
        </is>
      </c>
      <c r="E4004" t="inlineStr">
        <is>
          <t>ARVIDSJAUR</t>
        </is>
      </c>
      <c r="F4004" t="inlineStr">
        <is>
          <t>Allmännings- och besparingsskogar</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26140-2023</t>
        </is>
      </c>
      <c r="B4005" s="1" t="n">
        <v>45086</v>
      </c>
      <c r="C4005" s="1" t="n">
        <v>45895</v>
      </c>
      <c r="D4005" t="inlineStr">
        <is>
          <t>NORRBOTTENS LÄN</t>
        </is>
      </c>
      <c r="E4005" t="inlineStr">
        <is>
          <t>ÖVERKALIX</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27786-2025</t>
        </is>
      </c>
      <c r="B4006" s="1" t="n">
        <v>45816.69568287037</v>
      </c>
      <c r="C4006" s="1" t="n">
        <v>45895</v>
      </c>
      <c r="D4006" t="inlineStr">
        <is>
          <t>NORRBOTTENS LÄN</t>
        </is>
      </c>
      <c r="E4006" t="inlineStr">
        <is>
          <t>KALIX</t>
        </is>
      </c>
      <c r="G4006" t="n">
        <v>18.4</v>
      </c>
      <c r="H4006" t="n">
        <v>0</v>
      </c>
      <c r="I4006" t="n">
        <v>0</v>
      </c>
      <c r="J4006" t="n">
        <v>0</v>
      </c>
      <c r="K4006" t="n">
        <v>0</v>
      </c>
      <c r="L4006" t="n">
        <v>0</v>
      </c>
      <c r="M4006" t="n">
        <v>0</v>
      </c>
      <c r="N4006" t="n">
        <v>0</v>
      </c>
      <c r="O4006" t="n">
        <v>0</v>
      </c>
      <c r="P4006" t="n">
        <v>0</v>
      </c>
      <c r="Q4006" t="n">
        <v>0</v>
      </c>
      <c r="R4006" s="2" t="inlineStr"/>
    </row>
    <row r="4007" ht="15" customHeight="1">
      <c r="A4007" t="inlineStr">
        <is>
          <t>A 51107-2024</t>
        </is>
      </c>
      <c r="B4007" s="1" t="n">
        <v>45603.49141203704</v>
      </c>
      <c r="C4007" s="1" t="n">
        <v>45895</v>
      </c>
      <c r="D4007" t="inlineStr">
        <is>
          <t>NORRBOTTENS LÄN</t>
        </is>
      </c>
      <c r="E4007" t="inlineStr">
        <is>
          <t>LULEÅ</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51108-2024</t>
        </is>
      </c>
      <c r="B4008" s="1" t="n">
        <v>45603.49142361111</v>
      </c>
      <c r="C4008" s="1" t="n">
        <v>45895</v>
      </c>
      <c r="D4008" t="inlineStr">
        <is>
          <t>NORRBOTTENS LÄN</t>
        </is>
      </c>
      <c r="E4008" t="inlineStr">
        <is>
          <t>LULEÅ</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46026-2021</t>
        </is>
      </c>
      <c r="B4009" s="1" t="n">
        <v>44441.92107638889</v>
      </c>
      <c r="C4009" s="1" t="n">
        <v>45895</v>
      </c>
      <c r="D4009" t="inlineStr">
        <is>
          <t>NORRBOTTENS LÄN</t>
        </is>
      </c>
      <c r="E4009" t="inlineStr">
        <is>
          <t>ÖVERTORNEÅ</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46035-2021</t>
        </is>
      </c>
      <c r="B4010" s="1" t="n">
        <v>44441</v>
      </c>
      <c r="C4010" s="1" t="n">
        <v>45895</v>
      </c>
      <c r="D4010" t="inlineStr">
        <is>
          <t>NORRBOTTENS LÄN</t>
        </is>
      </c>
      <c r="E4010" t="inlineStr">
        <is>
          <t>ÖVERTORNEÅ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55606-2023</t>
        </is>
      </c>
      <c r="B4011" s="1" t="n">
        <v>45238</v>
      </c>
      <c r="C4011" s="1" t="n">
        <v>45895</v>
      </c>
      <c r="D4011" t="inlineStr">
        <is>
          <t>NORRBOTTENS LÄN</t>
        </is>
      </c>
      <c r="E4011" t="inlineStr">
        <is>
          <t>GÄLLIVARE</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35474-2025</t>
        </is>
      </c>
      <c r="B4012" s="1" t="n">
        <v>45855</v>
      </c>
      <c r="C4012" s="1" t="n">
        <v>45895</v>
      </c>
      <c r="D4012" t="inlineStr">
        <is>
          <t>NORRBOTTENS LÄN</t>
        </is>
      </c>
      <c r="E4012" t="inlineStr">
        <is>
          <t>GÄLLIVARE</t>
        </is>
      </c>
      <c r="F4012" t="inlineStr">
        <is>
          <t>Allmännings- och besparingsskogar</t>
        </is>
      </c>
      <c r="G4012" t="n">
        <v>28.5</v>
      </c>
      <c r="H4012" t="n">
        <v>0</v>
      </c>
      <c r="I4012" t="n">
        <v>0</v>
      </c>
      <c r="J4012" t="n">
        <v>0</v>
      </c>
      <c r="K4012" t="n">
        <v>0</v>
      </c>
      <c r="L4012" t="n">
        <v>0</v>
      </c>
      <c r="M4012" t="n">
        <v>0</v>
      </c>
      <c r="N4012" t="n">
        <v>0</v>
      </c>
      <c r="O4012" t="n">
        <v>0</v>
      </c>
      <c r="P4012" t="n">
        <v>0</v>
      </c>
      <c r="Q4012" t="n">
        <v>0</v>
      </c>
      <c r="R4012" s="2" t="inlineStr"/>
    </row>
    <row r="4013" ht="15" customHeight="1">
      <c r="A4013" t="inlineStr">
        <is>
          <t>A 55455-2024</t>
        </is>
      </c>
      <c r="B4013" s="1" t="n">
        <v>45622.42421296296</v>
      </c>
      <c r="C4013" s="1" t="n">
        <v>45895</v>
      </c>
      <c r="D4013" t="inlineStr">
        <is>
          <t>NORRBOTTENS LÄN</t>
        </is>
      </c>
      <c r="E4013" t="inlineStr">
        <is>
          <t>ÖVERTORNEÅ</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28580-2025</t>
        </is>
      </c>
      <c r="B4014" s="1" t="n">
        <v>45819.57340277778</v>
      </c>
      <c r="C4014" s="1" t="n">
        <v>45895</v>
      </c>
      <c r="D4014" t="inlineStr">
        <is>
          <t>NORRBOTTENS LÄN</t>
        </is>
      </c>
      <c r="E4014" t="inlineStr">
        <is>
          <t>GÄLLIVARE</t>
        </is>
      </c>
      <c r="G4014" t="n">
        <v>11.9</v>
      </c>
      <c r="H4014" t="n">
        <v>0</v>
      </c>
      <c r="I4014" t="n">
        <v>0</v>
      </c>
      <c r="J4014" t="n">
        <v>0</v>
      </c>
      <c r="K4014" t="n">
        <v>0</v>
      </c>
      <c r="L4014" t="n">
        <v>0</v>
      </c>
      <c r="M4014" t="n">
        <v>0</v>
      </c>
      <c r="N4014" t="n">
        <v>0</v>
      </c>
      <c r="O4014" t="n">
        <v>0</v>
      </c>
      <c r="P4014" t="n">
        <v>0</v>
      </c>
      <c r="Q4014" t="n">
        <v>0</v>
      </c>
      <c r="R4014" s="2" t="inlineStr"/>
    </row>
    <row r="4015" ht="15" customHeight="1">
      <c r="A4015" t="inlineStr">
        <is>
          <t>A 28440-2024</t>
        </is>
      </c>
      <c r="B4015" s="1" t="n">
        <v>45477.66251157408</v>
      </c>
      <c r="C4015" s="1" t="n">
        <v>45895</v>
      </c>
      <c r="D4015" t="inlineStr">
        <is>
          <t>NORRBOTTENS LÄN</t>
        </is>
      </c>
      <c r="E4015" t="inlineStr">
        <is>
          <t>PAJALA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27652-2024</t>
        </is>
      </c>
      <c r="B4016" s="1" t="n">
        <v>45474.94982638889</v>
      </c>
      <c r="C4016" s="1" t="n">
        <v>45895</v>
      </c>
      <c r="D4016" t="inlineStr">
        <is>
          <t>NORRBOTTENS LÄN</t>
        </is>
      </c>
      <c r="E4016" t="inlineStr">
        <is>
          <t>JOKKMOKK</t>
        </is>
      </c>
      <c r="F4016" t="inlineStr">
        <is>
          <t>SCA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28854-2025</t>
        </is>
      </c>
      <c r="B4017" s="1" t="n">
        <v>45820.58268518518</v>
      </c>
      <c r="C4017" s="1" t="n">
        <v>45895</v>
      </c>
      <c r="D4017" t="inlineStr">
        <is>
          <t>NORRBOTTENS LÄN</t>
        </is>
      </c>
      <c r="E4017" t="inlineStr">
        <is>
          <t>PAJALA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29238-2024</t>
        </is>
      </c>
      <c r="B4018" s="1" t="n">
        <v>45482.92740740741</v>
      </c>
      <c r="C4018" s="1" t="n">
        <v>45895</v>
      </c>
      <c r="D4018" t="inlineStr">
        <is>
          <t>NORRBOTTENS LÄN</t>
        </is>
      </c>
      <c r="E4018" t="inlineStr">
        <is>
          <t>PAJALA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29254-2024</t>
        </is>
      </c>
      <c r="B4019" s="1" t="n">
        <v>45482</v>
      </c>
      <c r="C4019" s="1" t="n">
        <v>45895</v>
      </c>
      <c r="D4019" t="inlineStr">
        <is>
          <t>NORRBOTTENS LÄN</t>
        </is>
      </c>
      <c r="E4019" t="inlineStr">
        <is>
          <t>GÄLLIVARE</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19232-2025</t>
        </is>
      </c>
      <c r="B4020" s="1" t="n">
        <v>45769</v>
      </c>
      <c r="C4020" s="1" t="n">
        <v>45895</v>
      </c>
      <c r="D4020" t="inlineStr">
        <is>
          <t>NORRBOTTENS LÄN</t>
        </is>
      </c>
      <c r="E4020" t="inlineStr">
        <is>
          <t>ARVIDSJAUR</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19257-2025</t>
        </is>
      </c>
      <c r="B4021" s="1" t="n">
        <v>45769.49768518518</v>
      </c>
      <c r="C4021" s="1" t="n">
        <v>45895</v>
      </c>
      <c r="D4021" t="inlineStr">
        <is>
          <t>NORRBOTTENS LÄN</t>
        </is>
      </c>
      <c r="E4021" t="inlineStr">
        <is>
          <t>BODEN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28861-2025</t>
        </is>
      </c>
      <c r="B4022" s="1" t="n">
        <v>45820.59181712963</v>
      </c>
      <c r="C4022" s="1" t="n">
        <v>45895</v>
      </c>
      <c r="D4022" t="inlineStr">
        <is>
          <t>NORRBOTTENS LÄN</t>
        </is>
      </c>
      <c r="E4022" t="inlineStr">
        <is>
          <t>PAJALA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28677-2025</t>
        </is>
      </c>
      <c r="B4023" s="1" t="n">
        <v>45819.67777777778</v>
      </c>
      <c r="C4023" s="1" t="n">
        <v>45895</v>
      </c>
      <c r="D4023" t="inlineStr">
        <is>
          <t>NORRBOTTENS LÄN</t>
        </is>
      </c>
      <c r="E4023" t="inlineStr">
        <is>
          <t>PITEÅ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8859-2024</t>
        </is>
      </c>
      <c r="B4024" s="1" t="n">
        <v>45356.96299768519</v>
      </c>
      <c r="C4024" s="1" t="n">
        <v>45895</v>
      </c>
      <c r="D4024" t="inlineStr">
        <is>
          <t>NORRBOTTENS LÄN</t>
        </is>
      </c>
      <c r="E4024" t="inlineStr">
        <is>
          <t>PAJALA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8873-2024</t>
        </is>
      </c>
      <c r="B4025" s="1" t="n">
        <v>45356</v>
      </c>
      <c r="C4025" s="1" t="n">
        <v>45895</v>
      </c>
      <c r="D4025" t="inlineStr">
        <is>
          <t>NORRBOTTENS LÄN</t>
        </is>
      </c>
      <c r="E4025" t="inlineStr">
        <is>
          <t>BODEN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28916-2025</t>
        </is>
      </c>
      <c r="B4026" s="1" t="n">
        <v>45820.663125</v>
      </c>
      <c r="C4026" s="1" t="n">
        <v>45895</v>
      </c>
      <c r="D4026" t="inlineStr">
        <is>
          <t>NORRBOTTENS LÄN</t>
        </is>
      </c>
      <c r="E4026" t="inlineStr">
        <is>
          <t>PAJALA</t>
        </is>
      </c>
      <c r="F4026" t="inlineStr">
        <is>
          <t>Sveaskog</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28926-2025</t>
        </is>
      </c>
      <c r="B4027" s="1" t="n">
        <v>45820.67159722222</v>
      </c>
      <c r="C4027" s="1" t="n">
        <v>45895</v>
      </c>
      <c r="D4027" t="inlineStr">
        <is>
          <t>NORRBOTTENS LÄN</t>
        </is>
      </c>
      <c r="E4027" t="inlineStr">
        <is>
          <t>ÖVERKALIX</t>
        </is>
      </c>
      <c r="F4027" t="inlineStr">
        <is>
          <t>Sveaskog</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44526-2024</t>
        </is>
      </c>
      <c r="B4028" s="1" t="n">
        <v>45574.44390046296</v>
      </c>
      <c r="C4028" s="1" t="n">
        <v>45895</v>
      </c>
      <c r="D4028" t="inlineStr">
        <is>
          <t>NORRBOTTENS LÄN</t>
        </is>
      </c>
      <c r="E4028" t="inlineStr">
        <is>
          <t>PITEÅ</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46158-2021</t>
        </is>
      </c>
      <c r="B4029" s="1" t="n">
        <v>44442.43422453704</v>
      </c>
      <c r="C4029" s="1" t="n">
        <v>45895</v>
      </c>
      <c r="D4029" t="inlineStr">
        <is>
          <t>NORRBOTTENS LÄN</t>
        </is>
      </c>
      <c r="E4029" t="inlineStr">
        <is>
          <t>LULEÅ</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44532-2024</t>
        </is>
      </c>
      <c r="B4030" s="1" t="n">
        <v>45574.45082175926</v>
      </c>
      <c r="C4030" s="1" t="n">
        <v>45895</v>
      </c>
      <c r="D4030" t="inlineStr">
        <is>
          <t>NORRBOTTENS LÄN</t>
        </is>
      </c>
      <c r="E4030" t="inlineStr">
        <is>
          <t>PITEÅ</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44539-2024</t>
        </is>
      </c>
      <c r="B4031" s="1" t="n">
        <v>45574.45609953703</v>
      </c>
      <c r="C4031" s="1" t="n">
        <v>45895</v>
      </c>
      <c r="D4031" t="inlineStr">
        <is>
          <t>NORRBOTTENS LÄN</t>
        </is>
      </c>
      <c r="E4031" t="inlineStr">
        <is>
          <t>PITEÅ</t>
        </is>
      </c>
      <c r="F4031" t="inlineStr">
        <is>
          <t>Sveaskog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19401-2021</t>
        </is>
      </c>
      <c r="B4032" s="1" t="n">
        <v>44309.91943287037</v>
      </c>
      <c r="C4032" s="1" t="n">
        <v>45895</v>
      </c>
      <c r="D4032" t="inlineStr">
        <is>
          <t>NORRBOTTENS LÄN</t>
        </is>
      </c>
      <c r="E4032" t="inlineStr">
        <is>
          <t>ÖVERTORNEÅ</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50702-2023</t>
        </is>
      </c>
      <c r="B4033" s="1" t="n">
        <v>45210</v>
      </c>
      <c r="C4033" s="1" t="n">
        <v>45895</v>
      </c>
      <c r="D4033" t="inlineStr">
        <is>
          <t>NORRBOTTENS LÄN</t>
        </is>
      </c>
      <c r="E4033" t="inlineStr">
        <is>
          <t>PAJALA</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59172-2022</t>
        </is>
      </c>
      <c r="B4034" s="1" t="n">
        <v>44904.48228009259</v>
      </c>
      <c r="C4034" s="1" t="n">
        <v>45895</v>
      </c>
      <c r="D4034" t="inlineStr">
        <is>
          <t>NORRBOTTENS LÄN</t>
        </is>
      </c>
      <c r="E4034" t="inlineStr">
        <is>
          <t>GÄLLIVARE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58609-2022</t>
        </is>
      </c>
      <c r="B4035" s="1" t="n">
        <v>44895</v>
      </c>
      <c r="C4035" s="1" t="n">
        <v>45895</v>
      </c>
      <c r="D4035" t="inlineStr">
        <is>
          <t>NORRBOTTENS LÄN</t>
        </is>
      </c>
      <c r="E4035" t="inlineStr">
        <is>
          <t>PAJALA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52984-2024</t>
        </is>
      </c>
      <c r="B4036" s="1" t="n">
        <v>45611</v>
      </c>
      <c r="C4036" s="1" t="n">
        <v>45895</v>
      </c>
      <c r="D4036" t="inlineStr">
        <is>
          <t>NORRBOTTENS LÄN</t>
        </is>
      </c>
      <c r="E4036" t="inlineStr">
        <is>
          <t>ÖVERKALIX</t>
        </is>
      </c>
      <c r="F4036" t="inlineStr">
        <is>
          <t>Sveaskog</t>
        </is>
      </c>
      <c r="G4036" t="n">
        <v>25.9</v>
      </c>
      <c r="H4036" t="n">
        <v>0</v>
      </c>
      <c r="I4036" t="n">
        <v>0</v>
      </c>
      <c r="J4036" t="n">
        <v>0</v>
      </c>
      <c r="K4036" t="n">
        <v>0</v>
      </c>
      <c r="L4036" t="n">
        <v>0</v>
      </c>
      <c r="M4036" t="n">
        <v>0</v>
      </c>
      <c r="N4036" t="n">
        <v>0</v>
      </c>
      <c r="O4036" t="n">
        <v>0</v>
      </c>
      <c r="P4036" t="n">
        <v>0</v>
      </c>
      <c r="Q4036" t="n">
        <v>0</v>
      </c>
      <c r="R4036" s="2" t="inlineStr"/>
    </row>
    <row r="4037" ht="15" customHeight="1">
      <c r="A4037" t="inlineStr">
        <is>
          <t>A 55481-2023</t>
        </is>
      </c>
      <c r="B4037" s="1" t="n">
        <v>45238.51141203703</v>
      </c>
      <c r="C4037" s="1" t="n">
        <v>45895</v>
      </c>
      <c r="D4037" t="inlineStr">
        <is>
          <t>NORRBOTTENS LÄN</t>
        </is>
      </c>
      <c r="E4037" t="inlineStr">
        <is>
          <t>PAJALA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55484-2023</t>
        </is>
      </c>
      <c r="B4038" s="1" t="n">
        <v>45238.51541666667</v>
      </c>
      <c r="C4038" s="1" t="n">
        <v>45895</v>
      </c>
      <c r="D4038" t="inlineStr">
        <is>
          <t>NORRBOTTENS LÄN</t>
        </is>
      </c>
      <c r="E4038" t="inlineStr">
        <is>
          <t>PAJALA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48742-2022</t>
        </is>
      </c>
      <c r="B4039" s="1" t="n">
        <v>44855</v>
      </c>
      <c r="C4039" s="1" t="n">
        <v>45895</v>
      </c>
      <c r="D4039" t="inlineStr">
        <is>
          <t>NORRBOTTENS LÄN</t>
        </is>
      </c>
      <c r="E4039" t="inlineStr">
        <is>
          <t>ÄLVSBYN</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28742-2025</t>
        </is>
      </c>
      <c r="B4040" s="1" t="n">
        <v>45820.38512731482</v>
      </c>
      <c r="C4040" s="1" t="n">
        <v>45895</v>
      </c>
      <c r="D4040" t="inlineStr">
        <is>
          <t>NORRBOTTENS LÄN</t>
        </is>
      </c>
      <c r="E4040" t="inlineStr">
        <is>
          <t>PITEÅ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28591-2025</t>
        </is>
      </c>
      <c r="B4041" s="1" t="n">
        <v>45819.59027777778</v>
      </c>
      <c r="C4041" s="1" t="n">
        <v>45895</v>
      </c>
      <c r="D4041" t="inlineStr">
        <is>
          <t>NORRBOTTENS LÄN</t>
        </is>
      </c>
      <c r="E4041" t="inlineStr">
        <is>
          <t>JOKKMOKK</t>
        </is>
      </c>
      <c r="F4041" t="inlineStr">
        <is>
          <t>Sveaskog</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28402-2025</t>
        </is>
      </c>
      <c r="B4042" s="1" t="n">
        <v>45819.34493055556</v>
      </c>
      <c r="C4042" s="1" t="n">
        <v>45895</v>
      </c>
      <c r="D4042" t="inlineStr">
        <is>
          <t>NORRBOTTENS LÄN</t>
        </is>
      </c>
      <c r="E4042" t="inlineStr">
        <is>
          <t>ÖVERKALIX</t>
        </is>
      </c>
      <c r="F4042" t="inlineStr">
        <is>
          <t>SCA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28617-2025</t>
        </is>
      </c>
      <c r="B4043" s="1" t="n">
        <v>45819.60979166667</v>
      </c>
      <c r="C4043" s="1" t="n">
        <v>45895</v>
      </c>
      <c r="D4043" t="inlineStr">
        <is>
          <t>NORRBOTTENS LÄN</t>
        </is>
      </c>
      <c r="E4043" t="inlineStr">
        <is>
          <t>KALIX</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28796-2025</t>
        </is>
      </c>
      <c r="B4044" s="1" t="n">
        <v>45820.47928240741</v>
      </c>
      <c r="C4044" s="1" t="n">
        <v>45895</v>
      </c>
      <c r="D4044" t="inlineStr">
        <is>
          <t>NORRBOTTENS LÄN</t>
        </is>
      </c>
      <c r="E4044" t="inlineStr">
        <is>
          <t>PAJALA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54722-2024</t>
        </is>
      </c>
      <c r="B4045" s="1" t="n">
        <v>45618.43729166667</v>
      </c>
      <c r="C4045" s="1" t="n">
        <v>45895</v>
      </c>
      <c r="D4045" t="inlineStr">
        <is>
          <t>NORRBOTTENS LÄN</t>
        </is>
      </c>
      <c r="E4045" t="inlineStr">
        <is>
          <t>BODEN</t>
        </is>
      </c>
      <c r="F4045" t="inlineStr">
        <is>
          <t>Naturvårdsverket</t>
        </is>
      </c>
      <c r="G4045" t="n">
        <v>12.9</v>
      </c>
      <c r="H4045" t="n">
        <v>0</v>
      </c>
      <c r="I4045" t="n">
        <v>0</v>
      </c>
      <c r="J4045" t="n">
        <v>0</v>
      </c>
      <c r="K4045" t="n">
        <v>0</v>
      </c>
      <c r="L4045" t="n">
        <v>0</v>
      </c>
      <c r="M4045" t="n">
        <v>0</v>
      </c>
      <c r="N4045" t="n">
        <v>0</v>
      </c>
      <c r="O4045" t="n">
        <v>0</v>
      </c>
      <c r="P4045" t="n">
        <v>0</v>
      </c>
      <c r="Q4045" t="n">
        <v>0</v>
      </c>
      <c r="R4045" s="2" t="inlineStr"/>
    </row>
    <row r="4046" ht="15" customHeight="1">
      <c r="A4046" t="inlineStr">
        <is>
          <t>A 54738-2024</t>
        </is>
      </c>
      <c r="B4046" s="1" t="n">
        <v>45618.44334490741</v>
      </c>
      <c r="C4046" s="1" t="n">
        <v>45895</v>
      </c>
      <c r="D4046" t="inlineStr">
        <is>
          <t>NORRBOTTENS LÄN</t>
        </is>
      </c>
      <c r="E4046" t="inlineStr">
        <is>
          <t>LULEÅ</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26554-2023</t>
        </is>
      </c>
      <c r="B4047" s="1" t="n">
        <v>45092</v>
      </c>
      <c r="C4047" s="1" t="n">
        <v>45895</v>
      </c>
      <c r="D4047" t="inlineStr">
        <is>
          <t>NORRBOTTENS LÄN</t>
        </is>
      </c>
      <c r="E4047" t="inlineStr">
        <is>
          <t>ÖVERKALIX</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42481-2024</t>
        </is>
      </c>
      <c r="B4048" s="1" t="n">
        <v>45565.49210648148</v>
      </c>
      <c r="C4048" s="1" t="n">
        <v>45895</v>
      </c>
      <c r="D4048" t="inlineStr">
        <is>
          <t>NORRBOTTENS LÄN</t>
        </is>
      </c>
      <c r="E4048" t="inlineStr">
        <is>
          <t>JOKKMOKK</t>
        </is>
      </c>
      <c r="F4048" t="inlineStr">
        <is>
          <t>SCA</t>
        </is>
      </c>
      <c r="G4048" t="n">
        <v>25.2</v>
      </c>
      <c r="H4048" t="n">
        <v>0</v>
      </c>
      <c r="I4048" t="n">
        <v>0</v>
      </c>
      <c r="J4048" t="n">
        <v>0</v>
      </c>
      <c r="K4048" t="n">
        <v>0</v>
      </c>
      <c r="L4048" t="n">
        <v>0</v>
      </c>
      <c r="M4048" t="n">
        <v>0</v>
      </c>
      <c r="N4048" t="n">
        <v>0</v>
      </c>
      <c r="O4048" t="n">
        <v>0</v>
      </c>
      <c r="P4048" t="n">
        <v>0</v>
      </c>
      <c r="Q4048" t="n">
        <v>0</v>
      </c>
      <c r="R4048" s="2" t="inlineStr"/>
    </row>
    <row r="4049" ht="15" customHeight="1">
      <c r="A4049" t="inlineStr">
        <is>
          <t>A 53232-2024</t>
        </is>
      </c>
      <c r="B4049" s="1" t="n">
        <v>45613.67967592592</v>
      </c>
      <c r="C4049" s="1" t="n">
        <v>45895</v>
      </c>
      <c r="D4049" t="inlineStr">
        <is>
          <t>NORRBOTTENS LÄN</t>
        </is>
      </c>
      <c r="E4049" t="inlineStr">
        <is>
          <t>JOKKMOKK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52887-2023</t>
        </is>
      </c>
      <c r="B4050" s="1" t="n">
        <v>45219</v>
      </c>
      <c r="C4050" s="1" t="n">
        <v>45895</v>
      </c>
      <c r="D4050" t="inlineStr">
        <is>
          <t>NORRBOTTENS LÄN</t>
        </is>
      </c>
      <c r="E4050" t="inlineStr">
        <is>
          <t>GÄLLIVARE</t>
        </is>
      </c>
      <c r="F4050" t="inlineStr">
        <is>
          <t>Övriga statliga verk och myndigheter</t>
        </is>
      </c>
      <c r="G4050" t="n">
        <v>23.1</v>
      </c>
      <c r="H4050" t="n">
        <v>0</v>
      </c>
      <c r="I4050" t="n">
        <v>0</v>
      </c>
      <c r="J4050" t="n">
        <v>0</v>
      </c>
      <c r="K4050" t="n">
        <v>0</v>
      </c>
      <c r="L4050" t="n">
        <v>0</v>
      </c>
      <c r="M4050" t="n">
        <v>0</v>
      </c>
      <c r="N4050" t="n">
        <v>0</v>
      </c>
      <c r="O4050" t="n">
        <v>0</v>
      </c>
      <c r="P4050" t="n">
        <v>0</v>
      </c>
      <c r="Q4050" t="n">
        <v>0</v>
      </c>
      <c r="R4050" s="2" t="inlineStr"/>
    </row>
    <row r="4051" ht="15" customHeight="1">
      <c r="A4051" t="inlineStr">
        <is>
          <t>A 13624-2025</t>
        </is>
      </c>
      <c r="B4051" s="1" t="n">
        <v>45736</v>
      </c>
      <c r="C4051" s="1" t="n">
        <v>45895</v>
      </c>
      <c r="D4051" t="inlineStr">
        <is>
          <t>NORRBOTTENS LÄN</t>
        </is>
      </c>
      <c r="E4051" t="inlineStr">
        <is>
          <t>PITEÅ</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51274-2024</t>
        </is>
      </c>
      <c r="B4052" s="1" t="n">
        <v>45602</v>
      </c>
      <c r="C4052" s="1" t="n">
        <v>45895</v>
      </c>
      <c r="D4052" t="inlineStr">
        <is>
          <t>NORRBOTTENS LÄN</t>
        </is>
      </c>
      <c r="E4052" t="inlineStr">
        <is>
          <t>ÖVERTORNEÅ</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54935-2021</t>
        </is>
      </c>
      <c r="B4053" s="1" t="n">
        <v>44474</v>
      </c>
      <c r="C4053" s="1" t="n">
        <v>45895</v>
      </c>
      <c r="D4053" t="inlineStr">
        <is>
          <t>NORRBOTTENS LÄN</t>
        </is>
      </c>
      <c r="E4053" t="inlineStr">
        <is>
          <t>BODEN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19155-2023</t>
        </is>
      </c>
      <c r="B4054" s="1" t="n">
        <v>45044</v>
      </c>
      <c r="C4054" s="1" t="n">
        <v>45895</v>
      </c>
      <c r="D4054" t="inlineStr">
        <is>
          <t>NORRBOTTENS LÄN</t>
        </is>
      </c>
      <c r="E4054" t="inlineStr">
        <is>
          <t>KALIX</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56457-2024</t>
        </is>
      </c>
      <c r="B4055" s="1" t="n">
        <v>45625</v>
      </c>
      <c r="C4055" s="1" t="n">
        <v>45895</v>
      </c>
      <c r="D4055" t="inlineStr">
        <is>
          <t>NORRBOTTENS LÄN</t>
        </is>
      </c>
      <c r="E4055" t="inlineStr">
        <is>
          <t>BODEN</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5792-2025</t>
        </is>
      </c>
      <c r="B4056" s="1" t="n">
        <v>45694.65678240741</v>
      </c>
      <c r="C4056" s="1" t="n">
        <v>45895</v>
      </c>
      <c r="D4056" t="inlineStr">
        <is>
          <t>NORRBOTTENS LÄN</t>
        </is>
      </c>
      <c r="E4056" t="inlineStr">
        <is>
          <t>BODEN</t>
        </is>
      </c>
      <c r="F4056" t="inlineStr">
        <is>
          <t>SCA</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55853-2024</t>
        </is>
      </c>
      <c r="B4057" s="1" t="n">
        <v>45622</v>
      </c>
      <c r="C4057" s="1" t="n">
        <v>45895</v>
      </c>
      <c r="D4057" t="inlineStr">
        <is>
          <t>NORRBOTTENS LÄN</t>
        </is>
      </c>
      <c r="E4057" t="inlineStr">
        <is>
          <t>ÖVERKALIX</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50628-2024</t>
        </is>
      </c>
      <c r="B4058" s="1" t="n">
        <v>45601.66423611111</v>
      </c>
      <c r="C4058" s="1" t="n">
        <v>45895</v>
      </c>
      <c r="D4058" t="inlineStr">
        <is>
          <t>NORRBOTTENS LÄN</t>
        </is>
      </c>
      <c r="E4058" t="inlineStr">
        <is>
          <t>JOKKMOKK</t>
        </is>
      </c>
      <c r="F4058" t="inlineStr">
        <is>
          <t>Allmännings- och besparingsskogar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51525-2024</t>
        </is>
      </c>
      <c r="B4059" s="1" t="n">
        <v>45604</v>
      </c>
      <c r="C4059" s="1" t="n">
        <v>45895</v>
      </c>
      <c r="D4059" t="inlineStr">
        <is>
          <t>NORRBOTTENS LÄN</t>
        </is>
      </c>
      <c r="E4059" t="inlineStr">
        <is>
          <t>ÖVERKALIX</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35402-2025</t>
        </is>
      </c>
      <c r="B4060" s="1" t="n">
        <v>45855.34423611111</v>
      </c>
      <c r="C4060" s="1" t="n">
        <v>45895</v>
      </c>
      <c r="D4060" t="inlineStr">
        <is>
          <t>NORRBOTTENS LÄN</t>
        </is>
      </c>
      <c r="E4060" t="inlineStr">
        <is>
          <t>PITEÅ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35472-2025</t>
        </is>
      </c>
      <c r="B4061" s="1" t="n">
        <v>45855</v>
      </c>
      <c r="C4061" s="1" t="n">
        <v>45895</v>
      </c>
      <c r="D4061" t="inlineStr">
        <is>
          <t>NORRBOTTENS LÄN</t>
        </is>
      </c>
      <c r="E4061" t="inlineStr">
        <is>
          <t>GÄLLIVARE</t>
        </is>
      </c>
      <c r="F4061" t="inlineStr">
        <is>
          <t>Allmännings- och besparingsskogar</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35511-2025</t>
        </is>
      </c>
      <c r="B4062" s="1" t="n">
        <v>45856.36497685185</v>
      </c>
      <c r="C4062" s="1" t="n">
        <v>45895</v>
      </c>
      <c r="D4062" t="inlineStr">
        <is>
          <t>NORRBOTTENS LÄN</t>
        </is>
      </c>
      <c r="E4062" t="inlineStr">
        <is>
          <t>JOKKMOKK</t>
        </is>
      </c>
      <c r="F4062" t="inlineStr">
        <is>
          <t>SCA</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35590-2025</t>
        </is>
      </c>
      <c r="B4063" s="1" t="n">
        <v>45857.62436342592</v>
      </c>
      <c r="C4063" s="1" t="n">
        <v>45895</v>
      </c>
      <c r="D4063" t="inlineStr">
        <is>
          <t>NORRBOTTENS LÄN</t>
        </is>
      </c>
      <c r="E4063" t="inlineStr">
        <is>
          <t>ÖVERTORNEÅ</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28893-2025</t>
        </is>
      </c>
      <c r="B4064" s="1" t="n">
        <v>45820.63310185185</v>
      </c>
      <c r="C4064" s="1" t="n">
        <v>45895</v>
      </c>
      <c r="D4064" t="inlineStr">
        <is>
          <t>NORRBOTTENS LÄN</t>
        </is>
      </c>
      <c r="E4064" t="inlineStr">
        <is>
          <t>ÖVERKALIX</t>
        </is>
      </c>
      <c r="F4064" t="inlineStr">
        <is>
          <t>Sveaskog</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28912-2025</t>
        </is>
      </c>
      <c r="B4065" s="1" t="n">
        <v>45820.65793981482</v>
      </c>
      <c r="C4065" s="1" t="n">
        <v>45895</v>
      </c>
      <c r="D4065" t="inlineStr">
        <is>
          <t>NORRBOTTENS LÄN</t>
        </is>
      </c>
      <c r="E4065" t="inlineStr">
        <is>
          <t>ÖVERKALIX</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28917-2025</t>
        </is>
      </c>
      <c r="B4066" s="1" t="n">
        <v>45820.66358796296</v>
      </c>
      <c r="C4066" s="1" t="n">
        <v>45895</v>
      </c>
      <c r="D4066" t="inlineStr">
        <is>
          <t>NORRBOTTENS LÄN</t>
        </is>
      </c>
      <c r="E4066" t="inlineStr">
        <is>
          <t>ÖVERKALIX</t>
        </is>
      </c>
      <c r="F4066" t="inlineStr">
        <is>
          <t>Sveaskog</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849-2024</t>
        </is>
      </c>
      <c r="B4067" s="1" t="n">
        <v>45300</v>
      </c>
      <c r="C4067" s="1" t="n">
        <v>45895</v>
      </c>
      <c r="D4067" t="inlineStr">
        <is>
          <t>NORRBOTTENS LÄN</t>
        </is>
      </c>
      <c r="E4067" t="inlineStr">
        <is>
          <t>BODEN</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35917-2025</t>
        </is>
      </c>
      <c r="B4068" s="1" t="n">
        <v>45862.554375</v>
      </c>
      <c r="C4068" s="1" t="n">
        <v>45895</v>
      </c>
      <c r="D4068" t="inlineStr">
        <is>
          <t>NORRBOTTENS LÄN</t>
        </is>
      </c>
      <c r="E4068" t="inlineStr">
        <is>
          <t>PITEÅ</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35672-2025</t>
        </is>
      </c>
      <c r="B4069" s="1" t="n">
        <v>45859.62603009259</v>
      </c>
      <c r="C4069" s="1" t="n">
        <v>45895</v>
      </c>
      <c r="D4069" t="inlineStr">
        <is>
          <t>NORRBOTTENS LÄN</t>
        </is>
      </c>
      <c r="E4069" t="inlineStr">
        <is>
          <t>KALIX</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35673-2025</t>
        </is>
      </c>
      <c r="B4070" s="1" t="n">
        <v>45859.62895833333</v>
      </c>
      <c r="C4070" s="1" t="n">
        <v>45895</v>
      </c>
      <c r="D4070" t="inlineStr">
        <is>
          <t>NORRBOTTENS LÄN</t>
        </is>
      </c>
      <c r="E4070" t="inlineStr">
        <is>
          <t>KALIX</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35682-2025</t>
        </is>
      </c>
      <c r="B4071" s="1" t="n">
        <v>45859</v>
      </c>
      <c r="C4071" s="1" t="n">
        <v>45895</v>
      </c>
      <c r="D4071" t="inlineStr">
        <is>
          <t>NORRBOTTENS LÄN</t>
        </is>
      </c>
      <c r="E4071" t="inlineStr">
        <is>
          <t>LULEÅ</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61782-2022</t>
        </is>
      </c>
      <c r="B4072" s="1" t="n">
        <v>44917</v>
      </c>
      <c r="C4072" s="1" t="n">
        <v>45895</v>
      </c>
      <c r="D4072" t="inlineStr">
        <is>
          <t>NORRBOTTENS LÄN</t>
        </is>
      </c>
      <c r="E4072" t="inlineStr">
        <is>
          <t>ÖVERTORNEÅ</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35802-2025</t>
        </is>
      </c>
      <c r="B4073" s="1" t="n">
        <v>45861.38800925926</v>
      </c>
      <c r="C4073" s="1" t="n">
        <v>45895</v>
      </c>
      <c r="D4073" t="inlineStr">
        <is>
          <t>NORRBOTTENS LÄN</t>
        </is>
      </c>
      <c r="E4073" t="inlineStr">
        <is>
          <t>ÄLVSBYN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35837-2025</t>
        </is>
      </c>
      <c r="B4074" s="1" t="n">
        <v>45861</v>
      </c>
      <c r="C4074" s="1" t="n">
        <v>45895</v>
      </c>
      <c r="D4074" t="inlineStr">
        <is>
          <t>NORRBOTTENS LÄN</t>
        </is>
      </c>
      <c r="E4074" t="inlineStr">
        <is>
          <t>ÖVERTORNEÅ</t>
        </is>
      </c>
      <c r="G4074" t="n">
        <v>16.4</v>
      </c>
      <c r="H4074" t="n">
        <v>0</v>
      </c>
      <c r="I4074" t="n">
        <v>0</v>
      </c>
      <c r="J4074" t="n">
        <v>0</v>
      </c>
      <c r="K4074" t="n">
        <v>0</v>
      </c>
      <c r="L4074" t="n">
        <v>0</v>
      </c>
      <c r="M4074" t="n">
        <v>0</v>
      </c>
      <c r="N4074" t="n">
        <v>0</v>
      </c>
      <c r="O4074" t="n">
        <v>0</v>
      </c>
      <c r="P4074" t="n">
        <v>0</v>
      </c>
      <c r="Q4074" t="n">
        <v>0</v>
      </c>
      <c r="R4074" s="2" t="inlineStr"/>
    </row>
    <row r="4075" ht="15" customHeight="1">
      <c r="A4075" t="inlineStr">
        <is>
          <t>A 35902-2025</t>
        </is>
      </c>
      <c r="B4075" s="1" t="n">
        <v>45862.48990740741</v>
      </c>
      <c r="C4075" s="1" t="n">
        <v>45895</v>
      </c>
      <c r="D4075" t="inlineStr">
        <is>
          <t>NORRBOTTENS LÄN</t>
        </is>
      </c>
      <c r="E4075" t="inlineStr">
        <is>
          <t>LULEÅ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35588-2025</t>
        </is>
      </c>
      <c r="B4076" s="1" t="n">
        <v>45857.60824074074</v>
      </c>
      <c r="C4076" s="1" t="n">
        <v>45895</v>
      </c>
      <c r="D4076" t="inlineStr">
        <is>
          <t>NORRBOTTENS LÄN</t>
        </is>
      </c>
      <c r="E4076" t="inlineStr">
        <is>
          <t>ÖVERTORNEÅ</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28639-2025</t>
        </is>
      </c>
      <c r="B4077" s="1" t="n">
        <v>45819.63649305556</v>
      </c>
      <c r="C4077" s="1" t="n">
        <v>45895</v>
      </c>
      <c r="D4077" t="inlineStr">
        <is>
          <t>NORRBOTTENS LÄN</t>
        </is>
      </c>
      <c r="E4077" t="inlineStr">
        <is>
          <t>JOKKMOKK</t>
        </is>
      </c>
      <c r="F4077" t="inlineStr">
        <is>
          <t>Sveaskog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18493-2025</t>
        </is>
      </c>
      <c r="B4078" s="1" t="n">
        <v>45763.34474537037</v>
      </c>
      <c r="C4078" s="1" t="n">
        <v>45895</v>
      </c>
      <c r="D4078" t="inlineStr">
        <is>
          <t>NORRBOTTENS LÄN</t>
        </is>
      </c>
      <c r="E4078" t="inlineStr">
        <is>
          <t>JOKKMOKK</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28678-2025</t>
        </is>
      </c>
      <c r="B4079" s="1" t="n">
        <v>45819.67783564814</v>
      </c>
      <c r="C4079" s="1" t="n">
        <v>45895</v>
      </c>
      <c r="D4079" t="inlineStr">
        <is>
          <t>NORRBOTTENS LÄN</t>
        </is>
      </c>
      <c r="E4079" t="inlineStr">
        <is>
          <t>PITEÅ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48920-2024</t>
        </is>
      </c>
      <c r="B4080" s="1" t="n">
        <v>45594</v>
      </c>
      <c r="C4080" s="1" t="n">
        <v>45895</v>
      </c>
      <c r="D4080" t="inlineStr">
        <is>
          <t>NORRBOTTENS LÄN</t>
        </is>
      </c>
      <c r="E4080" t="inlineStr">
        <is>
          <t>PAJALA</t>
        </is>
      </c>
      <c r="F4080" t="inlineStr">
        <is>
          <t>SCA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28846-2025</t>
        </is>
      </c>
      <c r="B4081" s="1" t="n">
        <v>45820.57342592593</v>
      </c>
      <c r="C4081" s="1" t="n">
        <v>45895</v>
      </c>
      <c r="D4081" t="inlineStr">
        <is>
          <t>NORRBOTTENS LÄN</t>
        </is>
      </c>
      <c r="E4081" t="inlineStr">
        <is>
          <t>KALIX</t>
        </is>
      </c>
      <c r="F4081" t="inlineStr">
        <is>
          <t>SCA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28847-2025</t>
        </is>
      </c>
      <c r="B4082" s="1" t="n">
        <v>45820.57344907407</v>
      </c>
      <c r="C4082" s="1" t="n">
        <v>45895</v>
      </c>
      <c r="D4082" t="inlineStr">
        <is>
          <t>NORRBOTTENS LÄN</t>
        </is>
      </c>
      <c r="E4082" t="inlineStr">
        <is>
          <t>KALIX</t>
        </is>
      </c>
      <c r="F4082" t="inlineStr">
        <is>
          <t>SCA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28601-2025</t>
        </is>
      </c>
      <c r="B4083" s="1" t="n">
        <v>45819.59802083333</v>
      </c>
      <c r="C4083" s="1" t="n">
        <v>45895</v>
      </c>
      <c r="D4083" t="inlineStr">
        <is>
          <t>NORRBOTTENS LÄN</t>
        </is>
      </c>
      <c r="E4083" t="inlineStr">
        <is>
          <t>JOKKMOKK</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28840-2025</t>
        </is>
      </c>
      <c r="B4084" s="1" t="n">
        <v>45820.56695601852</v>
      </c>
      <c r="C4084" s="1" t="n">
        <v>45895</v>
      </c>
      <c r="D4084" t="inlineStr">
        <is>
          <t>NORRBOTTENS LÄN</t>
        </is>
      </c>
      <c r="E4084" t="inlineStr">
        <is>
          <t>PITEÅ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28892-2025</t>
        </is>
      </c>
      <c r="B4085" s="1" t="n">
        <v>45820.63246527778</v>
      </c>
      <c r="C4085" s="1" t="n">
        <v>45895</v>
      </c>
      <c r="D4085" t="inlineStr">
        <is>
          <t>NORRBOTTENS LÄN</t>
        </is>
      </c>
      <c r="E4085" t="inlineStr">
        <is>
          <t>ARVIDSJAUR</t>
        </is>
      </c>
      <c r="F4085" t="inlineStr">
        <is>
          <t>Sveaskog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28894-2025</t>
        </is>
      </c>
      <c r="B4086" s="1" t="n">
        <v>45820.63534722223</v>
      </c>
      <c r="C4086" s="1" t="n">
        <v>45895</v>
      </c>
      <c r="D4086" t="inlineStr">
        <is>
          <t>NORRBOTTENS LÄN</t>
        </is>
      </c>
      <c r="E4086" t="inlineStr">
        <is>
          <t>ARVIDSJAUR</t>
        </is>
      </c>
      <c r="F4086" t="inlineStr">
        <is>
          <t>Sveaskog</t>
        </is>
      </c>
      <c r="G4086" t="n">
        <v>14.2</v>
      </c>
      <c r="H4086" t="n">
        <v>0</v>
      </c>
      <c r="I4086" t="n">
        <v>0</v>
      </c>
      <c r="J4086" t="n">
        <v>0</v>
      </c>
      <c r="K4086" t="n">
        <v>0</v>
      </c>
      <c r="L4086" t="n">
        <v>0</v>
      </c>
      <c r="M4086" t="n">
        <v>0</v>
      </c>
      <c r="N4086" t="n">
        <v>0</v>
      </c>
      <c r="O4086" t="n">
        <v>0</v>
      </c>
      <c r="P4086" t="n">
        <v>0</v>
      </c>
      <c r="Q4086" t="n">
        <v>0</v>
      </c>
      <c r="R4086" s="2" t="inlineStr"/>
    </row>
    <row r="4087" ht="15" customHeight="1">
      <c r="A4087" t="inlineStr">
        <is>
          <t>A 4082-2023</t>
        </is>
      </c>
      <c r="B4087" s="1" t="n">
        <v>44950</v>
      </c>
      <c r="C4087" s="1" t="n">
        <v>45895</v>
      </c>
      <c r="D4087" t="inlineStr">
        <is>
          <t>NORRBOTTENS LÄN</t>
        </is>
      </c>
      <c r="E4087" t="inlineStr">
        <is>
          <t>KALIX</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35912-2025</t>
        </is>
      </c>
      <c r="B4088" s="1" t="n">
        <v>45862.53150462963</v>
      </c>
      <c r="C4088" s="1" t="n">
        <v>45895</v>
      </c>
      <c r="D4088" t="inlineStr">
        <is>
          <t>NORRBOTTENS LÄN</t>
        </is>
      </c>
      <c r="E4088" t="inlineStr">
        <is>
          <t>LULEÅ</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19526-2025</t>
        </is>
      </c>
      <c r="B4089" s="1" t="n">
        <v>45770.46388888889</v>
      </c>
      <c r="C4089" s="1" t="n">
        <v>45895</v>
      </c>
      <c r="D4089" t="inlineStr">
        <is>
          <t>NORRBOTTENS LÄN</t>
        </is>
      </c>
      <c r="E4089" t="inlineStr">
        <is>
          <t>LULEÅ</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6386-2023</t>
        </is>
      </c>
      <c r="B4090" s="1" t="n">
        <v>44960</v>
      </c>
      <c r="C4090" s="1" t="n">
        <v>45895</v>
      </c>
      <c r="D4090" t="inlineStr">
        <is>
          <t>NORRBOTTENS LÄN</t>
        </is>
      </c>
      <c r="E4090" t="inlineStr">
        <is>
          <t>LULEÅ</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28400-2025</t>
        </is>
      </c>
      <c r="B4091" s="1" t="n">
        <v>45819.34449074074</v>
      </c>
      <c r="C4091" s="1" t="n">
        <v>45895</v>
      </c>
      <c r="D4091" t="inlineStr">
        <is>
          <t>NORRBOTTENS LÄN</t>
        </is>
      </c>
      <c r="E4091" t="inlineStr">
        <is>
          <t>ÖVERKALIX</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35670-2025</t>
        </is>
      </c>
      <c r="B4092" s="1" t="n">
        <v>45859.61556712963</v>
      </c>
      <c r="C4092" s="1" t="n">
        <v>45895</v>
      </c>
      <c r="D4092" t="inlineStr">
        <is>
          <t>NORRBOTTENS LÄN</t>
        </is>
      </c>
      <c r="E4092" t="inlineStr">
        <is>
          <t>ARVIDSJAUR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46301-2024</t>
        </is>
      </c>
      <c r="B4093" s="1" t="n">
        <v>45581</v>
      </c>
      <c r="C4093" s="1" t="n">
        <v>45895</v>
      </c>
      <c r="D4093" t="inlineStr">
        <is>
          <t>NORRBOTTENS LÄN</t>
        </is>
      </c>
      <c r="E4093" t="inlineStr">
        <is>
          <t>HAPARANDA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28935-2025</t>
        </is>
      </c>
      <c r="B4094" s="1" t="n">
        <v>45820.69231481481</v>
      </c>
      <c r="C4094" s="1" t="n">
        <v>45895</v>
      </c>
      <c r="D4094" t="inlineStr">
        <is>
          <t>NORRBOTTENS LÄN</t>
        </is>
      </c>
      <c r="E4094" t="inlineStr">
        <is>
          <t>ÖVERKALIX</t>
        </is>
      </c>
      <c r="F4094" t="inlineStr">
        <is>
          <t>Sveaskog</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35805-2025</t>
        </is>
      </c>
      <c r="B4095" s="1" t="n">
        <v>45861.4019212963</v>
      </c>
      <c r="C4095" s="1" t="n">
        <v>45895</v>
      </c>
      <c r="D4095" t="inlineStr">
        <is>
          <t>NORRBOTTENS LÄN</t>
        </is>
      </c>
      <c r="E4095" t="inlineStr">
        <is>
          <t>JOKKMOKK</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28800-2025</t>
        </is>
      </c>
      <c r="B4096" s="1" t="n">
        <v>45820.48586805556</v>
      </c>
      <c r="C4096" s="1" t="n">
        <v>45895</v>
      </c>
      <c r="D4096" t="inlineStr">
        <is>
          <t>NORRBOTTENS LÄN</t>
        </is>
      </c>
      <c r="E4096" t="inlineStr">
        <is>
          <t>PAJALA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35539-2025</t>
        </is>
      </c>
      <c r="B4097" s="1" t="n">
        <v>45856.46564814815</v>
      </c>
      <c r="C4097" s="1" t="n">
        <v>45895</v>
      </c>
      <c r="D4097" t="inlineStr">
        <is>
          <t>NORRBOTTENS LÄN</t>
        </is>
      </c>
      <c r="E4097" t="inlineStr">
        <is>
          <t>PAJALA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59018-2022</t>
        </is>
      </c>
      <c r="B4098" s="1" t="n">
        <v>44903.87568287037</v>
      </c>
      <c r="C4098" s="1" t="n">
        <v>45895</v>
      </c>
      <c r="D4098" t="inlineStr">
        <is>
          <t>NORRBOTTENS LÄN</t>
        </is>
      </c>
      <c r="E4098" t="inlineStr">
        <is>
          <t>KALIX</t>
        </is>
      </c>
      <c r="G4098" t="n">
        <v>17.8</v>
      </c>
      <c r="H4098" t="n">
        <v>0</v>
      </c>
      <c r="I4098" t="n">
        <v>0</v>
      </c>
      <c r="J4098" t="n">
        <v>0</v>
      </c>
      <c r="K4098" t="n">
        <v>0</v>
      </c>
      <c r="L4098" t="n">
        <v>0</v>
      </c>
      <c r="M4098" t="n">
        <v>0</v>
      </c>
      <c r="N4098" t="n">
        <v>0</v>
      </c>
      <c r="O4098" t="n">
        <v>0</v>
      </c>
      <c r="P4098" t="n">
        <v>0</v>
      </c>
      <c r="Q4098" t="n">
        <v>0</v>
      </c>
      <c r="R4098" s="2" t="inlineStr"/>
    </row>
    <row r="4099" ht="15" customHeight="1">
      <c r="A4099" t="inlineStr">
        <is>
          <t>A 59029-2022</t>
        </is>
      </c>
      <c r="B4099" s="1" t="n">
        <v>44903</v>
      </c>
      <c r="C4099" s="1" t="n">
        <v>45895</v>
      </c>
      <c r="D4099" t="inlineStr">
        <is>
          <t>NORRBOTTENS LÄN</t>
        </is>
      </c>
      <c r="E4099" t="inlineStr">
        <is>
          <t>BODEN</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49008-2022</t>
        </is>
      </c>
      <c r="B4100" s="1" t="n">
        <v>44860</v>
      </c>
      <c r="C4100" s="1" t="n">
        <v>45895</v>
      </c>
      <c r="D4100" t="inlineStr">
        <is>
          <t>NORRBOTTENS LÄN</t>
        </is>
      </c>
      <c r="E4100" t="inlineStr">
        <is>
          <t>PAJALA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35593-2025</t>
        </is>
      </c>
      <c r="B4101" s="1" t="n">
        <v>45857.7615625</v>
      </c>
      <c r="C4101" s="1" t="n">
        <v>45895</v>
      </c>
      <c r="D4101" t="inlineStr">
        <is>
          <t>NORRBOTTENS LÄN</t>
        </is>
      </c>
      <c r="E4101" t="inlineStr">
        <is>
          <t>ÖVERTORNEÅ</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39901-2021</t>
        </is>
      </c>
      <c r="B4102" s="1" t="n">
        <v>44417</v>
      </c>
      <c r="C4102" s="1" t="n">
        <v>45895</v>
      </c>
      <c r="D4102" t="inlineStr">
        <is>
          <t>NORRBOTTENS LÄN</t>
        </is>
      </c>
      <c r="E4102" t="inlineStr">
        <is>
          <t>PAJALA</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28661-2025</t>
        </is>
      </c>
      <c r="B4103" s="1" t="n">
        <v>45819.65800925926</v>
      </c>
      <c r="C4103" s="1" t="n">
        <v>45895</v>
      </c>
      <c r="D4103" t="inlineStr">
        <is>
          <t>NORRBOTTENS LÄN</t>
        </is>
      </c>
      <c r="E4103" t="inlineStr">
        <is>
          <t>PITEÅ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61241-2023</t>
        </is>
      </c>
      <c r="B4104" s="1" t="n">
        <v>45260</v>
      </c>
      <c r="C4104" s="1" t="n">
        <v>45895</v>
      </c>
      <c r="D4104" t="inlineStr">
        <is>
          <t>NORRBOTTENS LÄN</t>
        </is>
      </c>
      <c r="E4104" t="inlineStr">
        <is>
          <t>BODEN</t>
        </is>
      </c>
      <c r="G4104" t="n">
        <v>33.9</v>
      </c>
      <c r="H4104" t="n">
        <v>0</v>
      </c>
      <c r="I4104" t="n">
        <v>0</v>
      </c>
      <c r="J4104" t="n">
        <v>0</v>
      </c>
      <c r="K4104" t="n">
        <v>0</v>
      </c>
      <c r="L4104" t="n">
        <v>0</v>
      </c>
      <c r="M4104" t="n">
        <v>0</v>
      </c>
      <c r="N4104" t="n">
        <v>0</v>
      </c>
      <c r="O4104" t="n">
        <v>0</v>
      </c>
      <c r="P4104" t="n">
        <v>0</v>
      </c>
      <c r="Q4104" t="n">
        <v>0</v>
      </c>
      <c r="R4104" s="2" t="inlineStr"/>
    </row>
    <row r="4105" ht="15" customHeight="1">
      <c r="A4105" t="inlineStr">
        <is>
          <t>A 28718-2025</t>
        </is>
      </c>
      <c r="B4105" s="1" t="n">
        <v>45820.34439814815</v>
      </c>
      <c r="C4105" s="1" t="n">
        <v>45895</v>
      </c>
      <c r="D4105" t="inlineStr">
        <is>
          <t>NORRBOTTENS LÄN</t>
        </is>
      </c>
      <c r="E4105" t="inlineStr">
        <is>
          <t>BODEN</t>
        </is>
      </c>
      <c r="F4105" t="inlineStr">
        <is>
          <t>SCA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64837-2023</t>
        </is>
      </c>
      <c r="B4106" s="1" t="n">
        <v>45281</v>
      </c>
      <c r="C4106" s="1" t="n">
        <v>45895</v>
      </c>
      <c r="D4106" t="inlineStr">
        <is>
          <t>NORRBOTTENS LÄN</t>
        </is>
      </c>
      <c r="E4106" t="inlineStr">
        <is>
          <t>ARJEPLOG</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64840-2023</t>
        </is>
      </c>
      <c r="B4107" s="1" t="n">
        <v>45281</v>
      </c>
      <c r="C4107" s="1" t="n">
        <v>45895</v>
      </c>
      <c r="D4107" t="inlineStr">
        <is>
          <t>NORRBOTTENS LÄN</t>
        </is>
      </c>
      <c r="E4107" t="inlineStr">
        <is>
          <t>ARJEPLOG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35977-2025</t>
        </is>
      </c>
      <c r="B4108" s="1" t="n">
        <v>45863.44518518518</v>
      </c>
      <c r="C4108" s="1" t="n">
        <v>45895</v>
      </c>
      <c r="D4108" t="inlineStr">
        <is>
          <t>NORRBOTTENS LÄN</t>
        </is>
      </c>
      <c r="E4108" t="inlineStr">
        <is>
          <t>PAJALA</t>
        </is>
      </c>
      <c r="F4108" t="inlineStr">
        <is>
          <t>Sveaskog</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41504-2022</t>
        </is>
      </c>
      <c r="B4109" s="1" t="n">
        <v>44824</v>
      </c>
      <c r="C4109" s="1" t="n">
        <v>45895</v>
      </c>
      <c r="D4109" t="inlineStr">
        <is>
          <t>NORRBOTTENS LÄN</t>
        </is>
      </c>
      <c r="E4109" t="inlineStr">
        <is>
          <t>PAJALA</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46760-2024</t>
        </is>
      </c>
      <c r="B4110" s="1" t="n">
        <v>45583.49115740741</v>
      </c>
      <c r="C4110" s="1" t="n">
        <v>45895</v>
      </c>
      <c r="D4110" t="inlineStr">
        <is>
          <t>NORRBOTTENS LÄN</t>
        </is>
      </c>
      <c r="E4110" t="inlineStr">
        <is>
          <t>PAJALA</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14591-2024</t>
        </is>
      </c>
      <c r="B4111" s="1" t="n">
        <v>45395.42256944445</v>
      </c>
      <c r="C4111" s="1" t="n">
        <v>45895</v>
      </c>
      <c r="D4111" t="inlineStr">
        <is>
          <t>NORRBOTTENS LÄN</t>
        </is>
      </c>
      <c r="E4111" t="inlineStr">
        <is>
          <t>ÖVERTORNEÅ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15251-2023</t>
        </is>
      </c>
      <c r="B4112" s="1" t="n">
        <v>45016</v>
      </c>
      <c r="C4112" s="1" t="n">
        <v>45895</v>
      </c>
      <c r="D4112" t="inlineStr">
        <is>
          <t>NORRBOTTENS LÄN</t>
        </is>
      </c>
      <c r="E4112" t="inlineStr">
        <is>
          <t>ÄLVSBYN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8875-2024</t>
        </is>
      </c>
      <c r="B4113" s="1" t="n">
        <v>45356.9645949074</v>
      </c>
      <c r="C4113" s="1" t="n">
        <v>45895</v>
      </c>
      <c r="D4113" t="inlineStr">
        <is>
          <t>NORRBOTTENS LÄN</t>
        </is>
      </c>
      <c r="E4113" t="inlineStr">
        <is>
          <t>PITEÅ</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61636-2023</t>
        </is>
      </c>
      <c r="B4114" s="1" t="n">
        <v>45265</v>
      </c>
      <c r="C4114" s="1" t="n">
        <v>45895</v>
      </c>
      <c r="D4114" t="inlineStr">
        <is>
          <t>NORRBOTTENS LÄN</t>
        </is>
      </c>
      <c r="E4114" t="inlineStr">
        <is>
          <t>PITEÅ</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8228-2024</t>
        </is>
      </c>
      <c r="B4115" s="1" t="n">
        <v>45351</v>
      </c>
      <c r="C4115" s="1" t="n">
        <v>45895</v>
      </c>
      <c r="D4115" t="inlineStr">
        <is>
          <t>NORRBOTTENS LÄN</t>
        </is>
      </c>
      <c r="E4115" t="inlineStr">
        <is>
          <t>LULEÅ</t>
        </is>
      </c>
      <c r="G4115" t="n">
        <v>10.1</v>
      </c>
      <c r="H4115" t="n">
        <v>0</v>
      </c>
      <c r="I4115" t="n">
        <v>0</v>
      </c>
      <c r="J4115" t="n">
        <v>0</v>
      </c>
      <c r="K4115" t="n">
        <v>0</v>
      </c>
      <c r="L4115" t="n">
        <v>0</v>
      </c>
      <c r="M4115" t="n">
        <v>0</v>
      </c>
      <c r="N4115" t="n">
        <v>0</v>
      </c>
      <c r="O4115" t="n">
        <v>0</v>
      </c>
      <c r="P4115" t="n">
        <v>0</v>
      </c>
      <c r="Q4115" t="n">
        <v>0</v>
      </c>
      <c r="R4115" s="2" t="inlineStr"/>
    </row>
    <row r="4116" ht="15" customHeight="1">
      <c r="A4116" t="inlineStr">
        <is>
          <t>A 29150-2025</t>
        </is>
      </c>
      <c r="B4116" s="1" t="n">
        <v>45821</v>
      </c>
      <c r="C4116" s="1" t="n">
        <v>45895</v>
      </c>
      <c r="D4116" t="inlineStr">
        <is>
          <t>NORRBOTTENS LÄN</t>
        </is>
      </c>
      <c r="E4116" t="inlineStr">
        <is>
          <t>ÖVERKALIX</t>
        </is>
      </c>
      <c r="F4116" t="inlineStr">
        <is>
          <t>Sveaskog</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29446-2025</t>
        </is>
      </c>
      <c r="B4117" s="1" t="n">
        <v>45824</v>
      </c>
      <c r="C4117" s="1" t="n">
        <v>45895</v>
      </c>
      <c r="D4117" t="inlineStr">
        <is>
          <t>NORRBOTTENS LÄN</t>
        </is>
      </c>
      <c r="E4117" t="inlineStr">
        <is>
          <t>JOKKMOKK</t>
        </is>
      </c>
      <c r="G4117" t="n">
        <v>68.5</v>
      </c>
      <c r="H4117" t="n">
        <v>0</v>
      </c>
      <c r="I4117" t="n">
        <v>0</v>
      </c>
      <c r="J4117" t="n">
        <v>0</v>
      </c>
      <c r="K4117" t="n">
        <v>0</v>
      </c>
      <c r="L4117" t="n">
        <v>0</v>
      </c>
      <c r="M4117" t="n">
        <v>0</v>
      </c>
      <c r="N4117" t="n">
        <v>0</v>
      </c>
      <c r="O4117" t="n">
        <v>0</v>
      </c>
      <c r="P4117" t="n">
        <v>0</v>
      </c>
      <c r="Q4117" t="n">
        <v>0</v>
      </c>
      <c r="R4117" s="2" t="inlineStr"/>
    </row>
    <row r="4118" ht="15" customHeight="1">
      <c r="A4118" t="inlineStr">
        <is>
          <t>A 29451-2025</t>
        </is>
      </c>
      <c r="B4118" s="1" t="n">
        <v>45824</v>
      </c>
      <c r="C4118" s="1" t="n">
        <v>45895</v>
      </c>
      <c r="D4118" t="inlineStr">
        <is>
          <t>NORRBOTTENS LÄN</t>
        </is>
      </c>
      <c r="E4118" t="inlineStr">
        <is>
          <t>BODEN</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29241-2025</t>
        </is>
      </c>
      <c r="B4119" s="1" t="n">
        <v>45824</v>
      </c>
      <c r="C4119" s="1" t="n">
        <v>45895</v>
      </c>
      <c r="D4119" t="inlineStr">
        <is>
          <t>NORRBOTTENS LÄN</t>
        </is>
      </c>
      <c r="E4119" t="inlineStr">
        <is>
          <t>ARVIDSJAUR</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453-2025</t>
        </is>
      </c>
      <c r="B4120" s="1" t="n">
        <v>45664.4005787037</v>
      </c>
      <c r="C4120" s="1" t="n">
        <v>45895</v>
      </c>
      <c r="D4120" t="inlineStr">
        <is>
          <t>NORRBOTTENS LÄN</t>
        </is>
      </c>
      <c r="E4120" t="inlineStr">
        <is>
          <t>JOKKMOKK</t>
        </is>
      </c>
      <c r="F4120" t="inlineStr">
        <is>
          <t>Övriga statliga verk och myndigheter</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33336-2024</t>
        </is>
      </c>
      <c r="B4121" s="1" t="n">
        <v>45519.31964120371</v>
      </c>
      <c r="C4121" s="1" t="n">
        <v>45895</v>
      </c>
      <c r="D4121" t="inlineStr">
        <is>
          <t>NORRBOTTENS LÄN</t>
        </is>
      </c>
      <c r="E4121" t="inlineStr">
        <is>
          <t>ÄLVSBYN</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50085-2024</t>
        </is>
      </c>
      <c r="B4122" s="1" t="n">
        <v>45600.38277777778</v>
      </c>
      <c r="C4122" s="1" t="n">
        <v>45895</v>
      </c>
      <c r="D4122" t="inlineStr">
        <is>
          <t>NORRBOTTENS LÄN</t>
        </is>
      </c>
      <c r="E4122" t="inlineStr">
        <is>
          <t>BODEN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43396-2022</t>
        </is>
      </c>
      <c r="B4123" s="1" t="n">
        <v>44834.70690972222</v>
      </c>
      <c r="C4123" s="1" t="n">
        <v>45895</v>
      </c>
      <c r="D4123" t="inlineStr">
        <is>
          <t>NORRBOTTENS LÄN</t>
        </is>
      </c>
      <c r="E4123" t="inlineStr">
        <is>
          <t>PAJALA</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54739-2024</t>
        </is>
      </c>
      <c r="B4124" s="1" t="n">
        <v>45618.44335648148</v>
      </c>
      <c r="C4124" s="1" t="n">
        <v>45895</v>
      </c>
      <c r="D4124" t="inlineStr">
        <is>
          <t>NORRBOTTENS LÄN</t>
        </is>
      </c>
      <c r="E4124" t="inlineStr">
        <is>
          <t>LULEÅ</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29022-2025</t>
        </is>
      </c>
      <c r="B4125" s="1" t="n">
        <v>45821.4296412037</v>
      </c>
      <c r="C4125" s="1" t="n">
        <v>45895</v>
      </c>
      <c r="D4125" t="inlineStr">
        <is>
          <t>NORRBOTTENS LÄN</t>
        </is>
      </c>
      <c r="E4125" t="inlineStr">
        <is>
          <t>ÄLVSBYN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2553-2025</t>
        </is>
      </c>
      <c r="B4126" s="1" t="n">
        <v>45673</v>
      </c>
      <c r="C4126" s="1" t="n">
        <v>45895</v>
      </c>
      <c r="D4126" t="inlineStr">
        <is>
          <t>NORRBOTTENS LÄN</t>
        </is>
      </c>
      <c r="E4126" t="inlineStr">
        <is>
          <t>KALIX</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28954-2025</t>
        </is>
      </c>
      <c r="B4127" s="1" t="n">
        <v>45821.28777777778</v>
      </c>
      <c r="C4127" s="1" t="n">
        <v>45895</v>
      </c>
      <c r="D4127" t="inlineStr">
        <is>
          <t>NORRBOTTENS LÄN</t>
        </is>
      </c>
      <c r="E4127" t="inlineStr">
        <is>
          <t>ARVIDSJAUR</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29464-2025</t>
        </is>
      </c>
      <c r="B4128" s="1" t="n">
        <v>45824.69837962963</v>
      </c>
      <c r="C4128" s="1" t="n">
        <v>45895</v>
      </c>
      <c r="D4128" t="inlineStr">
        <is>
          <t>NORRBOTTENS LÄN</t>
        </is>
      </c>
      <c r="E4128" t="inlineStr">
        <is>
          <t>ÖVERKALIX</t>
        </is>
      </c>
      <c r="F4128" t="inlineStr">
        <is>
          <t>SCA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58776-2022</t>
        </is>
      </c>
      <c r="B4129" s="1" t="n">
        <v>44895</v>
      </c>
      <c r="C4129" s="1" t="n">
        <v>45895</v>
      </c>
      <c r="D4129" t="inlineStr">
        <is>
          <t>NORRBOTTENS LÄN</t>
        </is>
      </c>
      <c r="E4129" t="inlineStr">
        <is>
          <t>GÄLLIVARE</t>
        </is>
      </c>
      <c r="G4129" t="n">
        <v>12.1</v>
      </c>
      <c r="H4129" t="n">
        <v>0</v>
      </c>
      <c r="I4129" t="n">
        <v>0</v>
      </c>
      <c r="J4129" t="n">
        <v>0</v>
      </c>
      <c r="K4129" t="n">
        <v>0</v>
      </c>
      <c r="L4129" t="n">
        <v>0</v>
      </c>
      <c r="M4129" t="n">
        <v>0</v>
      </c>
      <c r="N4129" t="n">
        <v>0</v>
      </c>
      <c r="O4129" t="n">
        <v>0</v>
      </c>
      <c r="P4129" t="n">
        <v>0</v>
      </c>
      <c r="Q4129" t="n">
        <v>0</v>
      </c>
      <c r="R4129" s="2" t="inlineStr"/>
    </row>
    <row r="4130" ht="15" customHeight="1">
      <c r="A4130" t="inlineStr">
        <is>
          <t>A 29173-2025</t>
        </is>
      </c>
      <c r="B4130" s="1" t="n">
        <v>45821.70905092593</v>
      </c>
      <c r="C4130" s="1" t="n">
        <v>45895</v>
      </c>
      <c r="D4130" t="inlineStr">
        <is>
          <t>NORRBOTTENS LÄN</t>
        </is>
      </c>
      <c r="E4130" t="inlineStr">
        <is>
          <t>PAJALA</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60222-2024</t>
        </is>
      </c>
      <c r="B4131" s="1" t="n">
        <v>45642.69934027778</v>
      </c>
      <c r="C4131" s="1" t="n">
        <v>45895</v>
      </c>
      <c r="D4131" t="inlineStr">
        <is>
          <t>NORRBOTTENS LÄN</t>
        </is>
      </c>
      <c r="E4131" t="inlineStr">
        <is>
          <t>KALIX</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27326-2024</t>
        </is>
      </c>
      <c r="B4132" s="1" t="n">
        <v>45472.38951388889</v>
      </c>
      <c r="C4132" s="1" t="n">
        <v>45895</v>
      </c>
      <c r="D4132" t="inlineStr">
        <is>
          <t>NORRBOTTENS LÄN</t>
        </is>
      </c>
      <c r="E4132" t="inlineStr">
        <is>
          <t>PAJALA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29383-2025</t>
        </is>
      </c>
      <c r="B4133" s="1" t="n">
        <v>45824</v>
      </c>
      <c r="C4133" s="1" t="n">
        <v>45895</v>
      </c>
      <c r="D4133" t="inlineStr">
        <is>
          <t>NORRBOTTENS LÄN</t>
        </is>
      </c>
      <c r="E4133" t="inlineStr">
        <is>
          <t>GÄLLIVARE</t>
        </is>
      </c>
      <c r="F4133" t="inlineStr">
        <is>
          <t>Allmännings- och besparingsskogar</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56523-2021</t>
        </is>
      </c>
      <c r="B4134" s="1" t="n">
        <v>44477</v>
      </c>
      <c r="C4134" s="1" t="n">
        <v>45895</v>
      </c>
      <c r="D4134" t="inlineStr">
        <is>
          <t>NORRBOTTENS LÄN</t>
        </is>
      </c>
      <c r="E4134" t="inlineStr">
        <is>
          <t>JOKKMOKK</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29404-2025</t>
        </is>
      </c>
      <c r="B4135" s="1" t="n">
        <v>45824.61505787037</v>
      </c>
      <c r="C4135" s="1" t="n">
        <v>45895</v>
      </c>
      <c r="D4135" t="inlineStr">
        <is>
          <t>NORRBOTTENS LÄN</t>
        </is>
      </c>
      <c r="E4135" t="inlineStr">
        <is>
          <t>PITEÅ</t>
        </is>
      </c>
      <c r="F4135" t="inlineStr">
        <is>
          <t>Övriga Aktiebolag</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29417-2025</t>
        </is>
      </c>
      <c r="B4136" s="1" t="n">
        <v>45824.63576388889</v>
      </c>
      <c r="C4136" s="1" t="n">
        <v>45895</v>
      </c>
      <c r="D4136" t="inlineStr">
        <is>
          <t>NORRBOTTENS LÄN</t>
        </is>
      </c>
      <c r="E4136" t="inlineStr">
        <is>
          <t>LULEÅ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29452-2025</t>
        </is>
      </c>
      <c r="B4137" s="1" t="n">
        <v>45824.6791087963</v>
      </c>
      <c r="C4137" s="1" t="n">
        <v>45895</v>
      </c>
      <c r="D4137" t="inlineStr">
        <is>
          <t>NORRBOTTENS LÄN</t>
        </is>
      </c>
      <c r="E4137" t="inlineStr">
        <is>
          <t>PITEÅ</t>
        </is>
      </c>
      <c r="F4137" t="inlineStr">
        <is>
          <t>Övriga Aktiebolag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29481-2025</t>
        </is>
      </c>
      <c r="B4138" s="1" t="n">
        <v>45824</v>
      </c>
      <c r="C4138" s="1" t="n">
        <v>45895</v>
      </c>
      <c r="D4138" t="inlineStr">
        <is>
          <t>NORRBOTTENS LÄN</t>
        </is>
      </c>
      <c r="E4138" t="inlineStr">
        <is>
          <t>GÄLLIVARE</t>
        </is>
      </c>
      <c r="F4138" t="inlineStr">
        <is>
          <t>Allmännings- och besparingsskogar</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44722.56501157407</v>
      </c>
      <c r="C4139" s="1" t="n">
        <v>45895</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35967-2025</t>
        </is>
      </c>
      <c r="B4140" s="1" t="n">
        <v>45863.4059837963</v>
      </c>
      <c r="C4140" s="1" t="n">
        <v>45895</v>
      </c>
      <c r="D4140" t="inlineStr">
        <is>
          <t>NORRBOTTENS LÄN</t>
        </is>
      </c>
      <c r="E4140" t="inlineStr">
        <is>
          <t>PAJALA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15881-2023</t>
        </is>
      </c>
      <c r="B4141" s="1" t="n">
        <v>45022.44041666666</v>
      </c>
      <c r="C4141" s="1" t="n">
        <v>45895</v>
      </c>
      <c r="D4141" t="inlineStr">
        <is>
          <t>NORRBOTTENS LÄN</t>
        </is>
      </c>
      <c r="E4141" t="inlineStr">
        <is>
          <t>BODEN</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29147-2025</t>
        </is>
      </c>
      <c r="B4142" s="1" t="n">
        <v>45821.62474537037</v>
      </c>
      <c r="C4142" s="1" t="n">
        <v>45895</v>
      </c>
      <c r="D4142" t="inlineStr">
        <is>
          <t>NORRBOTTENS LÄN</t>
        </is>
      </c>
      <c r="E4142" t="inlineStr">
        <is>
          <t>ÖVERKALIX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31452-2024</t>
        </is>
      </c>
      <c r="B4143" s="1" t="n">
        <v>45505</v>
      </c>
      <c r="C4143" s="1" t="n">
        <v>45895</v>
      </c>
      <c r="D4143" t="inlineStr">
        <is>
          <t>NORRBOTTENS LÄN</t>
        </is>
      </c>
      <c r="E4143" t="inlineStr">
        <is>
          <t>ÄLVSBYN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8741-2025</t>
        </is>
      </c>
      <c r="B4144" s="1" t="n">
        <v>45712.55256944444</v>
      </c>
      <c r="C4144" s="1" t="n">
        <v>45895</v>
      </c>
      <c r="D4144" t="inlineStr">
        <is>
          <t>NORRBOTTENS LÄN</t>
        </is>
      </c>
      <c r="E4144" t="inlineStr">
        <is>
          <t>ÄLVSBYN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8742-2025</t>
        </is>
      </c>
      <c r="B4145" s="1" t="n">
        <v>45712.55259259259</v>
      </c>
      <c r="C4145" s="1" t="n">
        <v>45895</v>
      </c>
      <c r="D4145" t="inlineStr">
        <is>
          <t>NORRBOTTENS LÄN</t>
        </is>
      </c>
      <c r="E4145" t="inlineStr">
        <is>
          <t>ÄLVSBYN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14447-2023</t>
        </is>
      </c>
      <c r="B4146" s="1" t="n">
        <v>45012</v>
      </c>
      <c r="C4146" s="1" t="n">
        <v>45895</v>
      </c>
      <c r="D4146" t="inlineStr">
        <is>
          <t>NORRBOTTENS LÄN</t>
        </is>
      </c>
      <c r="E4146" t="inlineStr">
        <is>
          <t>LULEÅ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16452-2024</t>
        </is>
      </c>
      <c r="B4147" s="1" t="n">
        <v>45407.97059027778</v>
      </c>
      <c r="C4147" s="1" t="n">
        <v>45895</v>
      </c>
      <c r="D4147" t="inlineStr">
        <is>
          <t>NORRBOTTENS LÄN</t>
        </is>
      </c>
      <c r="E4147" t="inlineStr">
        <is>
          <t>ÖVERTORNEÅ</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29375-2025</t>
        </is>
      </c>
      <c r="B4148" s="1" t="n">
        <v>45824.58546296296</v>
      </c>
      <c r="C4148" s="1" t="n">
        <v>45895</v>
      </c>
      <c r="D4148" t="inlineStr">
        <is>
          <t>NORRBOTTENS LÄN</t>
        </is>
      </c>
      <c r="E4148" t="inlineStr">
        <is>
          <t>LULEÅ</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14664-2025</t>
        </is>
      </c>
      <c r="B4149" s="1" t="n">
        <v>45742</v>
      </c>
      <c r="C4149" s="1" t="n">
        <v>45895</v>
      </c>
      <c r="D4149" t="inlineStr">
        <is>
          <t>NORRBOTTENS LÄN</t>
        </is>
      </c>
      <c r="E4149" t="inlineStr">
        <is>
          <t>GÄLLIVARE</t>
        </is>
      </c>
      <c r="G4149" t="n">
        <v>20.8</v>
      </c>
      <c r="H4149" t="n">
        <v>0</v>
      </c>
      <c r="I4149" t="n">
        <v>0</v>
      </c>
      <c r="J4149" t="n">
        <v>0</v>
      </c>
      <c r="K4149" t="n">
        <v>0</v>
      </c>
      <c r="L4149" t="n">
        <v>0</v>
      </c>
      <c r="M4149" t="n">
        <v>0</v>
      </c>
      <c r="N4149" t="n">
        <v>0</v>
      </c>
      <c r="O4149" t="n">
        <v>0</v>
      </c>
      <c r="P4149" t="n">
        <v>0</v>
      </c>
      <c r="Q4149" t="n">
        <v>0</v>
      </c>
      <c r="R4149" s="2" t="inlineStr"/>
    </row>
    <row r="4150" ht="15" customHeight="1">
      <c r="A4150" t="inlineStr">
        <is>
          <t>A 61214-2024</t>
        </is>
      </c>
      <c r="B4150" s="1" t="n">
        <v>45645</v>
      </c>
      <c r="C4150" s="1" t="n">
        <v>45895</v>
      </c>
      <c r="D4150" t="inlineStr">
        <is>
          <t>NORRBOTTENS LÄN</t>
        </is>
      </c>
      <c r="E4150" t="inlineStr">
        <is>
          <t>BODEN</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36006-2025</t>
        </is>
      </c>
      <c r="B4151" s="1" t="n">
        <v>45863.56016203704</v>
      </c>
      <c r="C4151" s="1" t="n">
        <v>45895</v>
      </c>
      <c r="D4151" t="inlineStr">
        <is>
          <t>NORRBOTTENS LÄN</t>
        </is>
      </c>
      <c r="E4151" t="inlineStr">
        <is>
          <t>BODEN</t>
        </is>
      </c>
      <c r="F4151" t="inlineStr">
        <is>
          <t>Sveaskog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29213-2025</t>
        </is>
      </c>
      <c r="B4152" s="1" t="n">
        <v>45824.28693287037</v>
      </c>
      <c r="C4152" s="1" t="n">
        <v>45895</v>
      </c>
      <c r="D4152" t="inlineStr">
        <is>
          <t>NORRBOTTENS LÄN</t>
        </is>
      </c>
      <c r="E4152" t="inlineStr">
        <is>
          <t>ÖVERKALIX</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60121-2024</t>
        </is>
      </c>
      <c r="B4153" s="1" t="n">
        <v>45642.58465277778</v>
      </c>
      <c r="C4153" s="1" t="n">
        <v>45895</v>
      </c>
      <c r="D4153" t="inlineStr">
        <is>
          <t>NORRBOTTENS LÄN</t>
        </is>
      </c>
      <c r="E4153" t="inlineStr">
        <is>
          <t>LULEÅ</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1497-2022</t>
        </is>
      </c>
      <c r="B4154" s="1" t="n">
        <v>44573</v>
      </c>
      <c r="C4154" s="1" t="n">
        <v>45895</v>
      </c>
      <c r="D4154" t="inlineStr">
        <is>
          <t>NORRBOTTENS LÄN</t>
        </is>
      </c>
      <c r="E4154" t="inlineStr">
        <is>
          <t>BODEN</t>
        </is>
      </c>
      <c r="F4154" t="inlineStr">
        <is>
          <t>Övriga statliga verk och myndigheter</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24578-2021</t>
        </is>
      </c>
      <c r="B4155" s="1" t="n">
        <v>44339</v>
      </c>
      <c r="C4155" s="1" t="n">
        <v>45895</v>
      </c>
      <c r="D4155" t="inlineStr">
        <is>
          <t>NORRBOTTENS LÄN</t>
        </is>
      </c>
      <c r="E4155" t="inlineStr">
        <is>
          <t>PITEÅ</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5937-2021</t>
        </is>
      </c>
      <c r="B4156" s="1" t="n">
        <v>44229</v>
      </c>
      <c r="C4156" s="1" t="n">
        <v>45895</v>
      </c>
      <c r="D4156" t="inlineStr">
        <is>
          <t>NORRBOTTENS LÄN</t>
        </is>
      </c>
      <c r="E4156" t="inlineStr">
        <is>
          <t>KALIX</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5938-2021</t>
        </is>
      </c>
      <c r="B4157" s="1" t="n">
        <v>44231</v>
      </c>
      <c r="C4157" s="1" t="n">
        <v>45895</v>
      </c>
      <c r="D4157" t="inlineStr">
        <is>
          <t>NORRBOTTENS LÄN</t>
        </is>
      </c>
      <c r="E4157" t="inlineStr">
        <is>
          <t>PAJALA</t>
        </is>
      </c>
      <c r="G4157" t="n">
        <v>24.5</v>
      </c>
      <c r="H4157" t="n">
        <v>0</v>
      </c>
      <c r="I4157" t="n">
        <v>0</v>
      </c>
      <c r="J4157" t="n">
        <v>0</v>
      </c>
      <c r="K4157" t="n">
        <v>0</v>
      </c>
      <c r="L4157" t="n">
        <v>0</v>
      </c>
      <c r="M4157" t="n">
        <v>0</v>
      </c>
      <c r="N4157" t="n">
        <v>0</v>
      </c>
      <c r="O4157" t="n">
        <v>0</v>
      </c>
      <c r="P4157" t="n">
        <v>0</v>
      </c>
      <c r="Q4157" t="n">
        <v>0</v>
      </c>
      <c r="R4157" s="2" t="inlineStr"/>
    </row>
    <row r="4158" ht="15" customHeight="1">
      <c r="A4158" t="inlineStr">
        <is>
          <t>A 29319-2025</t>
        </is>
      </c>
      <c r="B4158" s="1" t="n">
        <v>45824.47469907408</v>
      </c>
      <c r="C4158" s="1" t="n">
        <v>45895</v>
      </c>
      <c r="D4158" t="inlineStr">
        <is>
          <t>NORRBOTTENS LÄN</t>
        </is>
      </c>
      <c r="E4158" t="inlineStr">
        <is>
          <t>HAPARANDA</t>
        </is>
      </c>
      <c r="G4158" t="n">
        <v>17.8</v>
      </c>
      <c r="H4158" t="n">
        <v>0</v>
      </c>
      <c r="I4158" t="n">
        <v>0</v>
      </c>
      <c r="J4158" t="n">
        <v>0</v>
      </c>
      <c r="K4158" t="n">
        <v>0</v>
      </c>
      <c r="L4158" t="n">
        <v>0</v>
      </c>
      <c r="M4158" t="n">
        <v>0</v>
      </c>
      <c r="N4158" t="n">
        <v>0</v>
      </c>
      <c r="O4158" t="n">
        <v>0</v>
      </c>
      <c r="P4158" t="n">
        <v>0</v>
      </c>
      <c r="Q4158" t="n">
        <v>0</v>
      </c>
      <c r="R4158" s="2" t="inlineStr"/>
    </row>
    <row r="4159" ht="15" customHeight="1">
      <c r="A4159" t="inlineStr">
        <is>
          <t>A 15475-2023</t>
        </is>
      </c>
      <c r="B4159" s="1" t="n">
        <v>45020</v>
      </c>
      <c r="C4159" s="1" t="n">
        <v>45895</v>
      </c>
      <c r="D4159" t="inlineStr">
        <is>
          <t>NORRBOTTENS LÄN</t>
        </is>
      </c>
      <c r="E4159" t="inlineStr">
        <is>
          <t>ARVIDSJAUR</t>
        </is>
      </c>
      <c r="F4159" t="inlineStr">
        <is>
          <t>Sveaskog</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51193-2023</t>
        </is>
      </c>
      <c r="B4160" s="1" t="n">
        <v>45212</v>
      </c>
      <c r="C4160" s="1" t="n">
        <v>45895</v>
      </c>
      <c r="D4160" t="inlineStr">
        <is>
          <t>NORRBOTTENS LÄN</t>
        </is>
      </c>
      <c r="E4160" t="inlineStr">
        <is>
          <t>BODEN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15747-2025</t>
        </is>
      </c>
      <c r="B4161" s="1" t="n">
        <v>45748</v>
      </c>
      <c r="C4161" s="1" t="n">
        <v>45895</v>
      </c>
      <c r="D4161" t="inlineStr">
        <is>
          <t>NORRBOTTENS LÄN</t>
        </is>
      </c>
      <c r="E4161" t="inlineStr">
        <is>
          <t>PITEÅ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60687-2024</t>
        </is>
      </c>
      <c r="B4162" s="1" t="n">
        <v>45644.47315972222</v>
      </c>
      <c r="C4162" s="1" t="n">
        <v>45895</v>
      </c>
      <c r="D4162" t="inlineStr">
        <is>
          <t>NORRBOTTENS LÄN</t>
        </is>
      </c>
      <c r="E4162" t="inlineStr">
        <is>
          <t>PITEÅ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15760-2025</t>
        </is>
      </c>
      <c r="B4163" s="1" t="n">
        <v>45748.57201388889</v>
      </c>
      <c r="C4163" s="1" t="n">
        <v>45895</v>
      </c>
      <c r="D4163" t="inlineStr">
        <is>
          <t>NORRBOTTENS LÄN</t>
        </is>
      </c>
      <c r="E4163" t="inlineStr">
        <is>
          <t>PITEÅ</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29332-2025</t>
        </is>
      </c>
      <c r="B4164" s="1" t="n">
        <v>45824</v>
      </c>
      <c r="C4164" s="1" t="n">
        <v>45895</v>
      </c>
      <c r="D4164" t="inlineStr">
        <is>
          <t>NORRBOTTENS LÄN</t>
        </is>
      </c>
      <c r="E4164" t="inlineStr">
        <is>
          <t>LULEÅ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29333-2025</t>
        </is>
      </c>
      <c r="B4165" s="1" t="n">
        <v>45824</v>
      </c>
      <c r="C4165" s="1" t="n">
        <v>45895</v>
      </c>
      <c r="D4165" t="inlineStr">
        <is>
          <t>NORRBOTTENS LÄN</t>
        </is>
      </c>
      <c r="E4165" t="inlineStr">
        <is>
          <t>JOKKMOKK</t>
        </is>
      </c>
      <c r="G4165" t="n">
        <v>17.3</v>
      </c>
      <c r="H4165" t="n">
        <v>0</v>
      </c>
      <c r="I4165" t="n">
        <v>0</v>
      </c>
      <c r="J4165" t="n">
        <v>0</v>
      </c>
      <c r="K4165" t="n">
        <v>0</v>
      </c>
      <c r="L4165" t="n">
        <v>0</v>
      </c>
      <c r="M4165" t="n">
        <v>0</v>
      </c>
      <c r="N4165" t="n">
        <v>0</v>
      </c>
      <c r="O4165" t="n">
        <v>0</v>
      </c>
      <c r="P4165" t="n">
        <v>0</v>
      </c>
      <c r="Q4165" t="n">
        <v>0</v>
      </c>
      <c r="R4165" s="2" t="inlineStr"/>
    </row>
    <row r="4166" ht="15" customHeight="1">
      <c r="A4166" t="inlineStr">
        <is>
          <t>A 60071-2023</t>
        </is>
      </c>
      <c r="B4166" s="1" t="n">
        <v>45258.39447916667</v>
      </c>
      <c r="C4166" s="1" t="n">
        <v>45895</v>
      </c>
      <c r="D4166" t="inlineStr">
        <is>
          <t>NORRBOTTENS LÄN</t>
        </is>
      </c>
      <c r="E4166" t="inlineStr">
        <is>
          <t>PAJALA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64139-2023</t>
        </is>
      </c>
      <c r="B4167" s="1" t="n">
        <v>45279.56569444444</v>
      </c>
      <c r="C4167" s="1" t="n">
        <v>45895</v>
      </c>
      <c r="D4167" t="inlineStr">
        <is>
          <t>NORRBOTTENS LÄN</t>
        </is>
      </c>
      <c r="E4167" t="inlineStr">
        <is>
          <t>HAPARANDA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15201-2023</t>
        </is>
      </c>
      <c r="B4168" s="1" t="n">
        <v>45017.71431712963</v>
      </c>
      <c r="C4168" s="1" t="n">
        <v>45895</v>
      </c>
      <c r="D4168" t="inlineStr">
        <is>
          <t>NORRBOTTENS LÄN</t>
        </is>
      </c>
      <c r="E4168" t="inlineStr">
        <is>
          <t>ÖVERTORNEÅ</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15255-2023</t>
        </is>
      </c>
      <c r="B4169" s="1" t="n">
        <v>45016</v>
      </c>
      <c r="C4169" s="1" t="n">
        <v>45895</v>
      </c>
      <c r="D4169" t="inlineStr">
        <is>
          <t>NORRBOTTENS LÄN</t>
        </is>
      </c>
      <c r="E4169" t="inlineStr">
        <is>
          <t>ÄLVSBYN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36100-2025</t>
        </is>
      </c>
      <c r="B4170" s="1" t="n">
        <v>45866.526875</v>
      </c>
      <c r="C4170" s="1" t="n">
        <v>45895</v>
      </c>
      <c r="D4170" t="inlineStr">
        <is>
          <t>NORRBOTTENS LÄN</t>
        </is>
      </c>
      <c r="E4170" t="inlineStr">
        <is>
          <t>KALIX</t>
        </is>
      </c>
      <c r="F4170" t="inlineStr">
        <is>
          <t>Sveaskog</t>
        </is>
      </c>
      <c r="G4170" t="n">
        <v>14.8</v>
      </c>
      <c r="H4170" t="n">
        <v>0</v>
      </c>
      <c r="I4170" t="n">
        <v>0</v>
      </c>
      <c r="J4170" t="n">
        <v>0</v>
      </c>
      <c r="K4170" t="n">
        <v>0</v>
      </c>
      <c r="L4170" t="n">
        <v>0</v>
      </c>
      <c r="M4170" t="n">
        <v>0</v>
      </c>
      <c r="N4170" t="n">
        <v>0</v>
      </c>
      <c r="O4170" t="n">
        <v>0</v>
      </c>
      <c r="P4170" t="n">
        <v>0</v>
      </c>
      <c r="Q4170" t="n">
        <v>0</v>
      </c>
      <c r="R4170" s="2" t="inlineStr"/>
    </row>
    <row r="4171" ht="15" customHeight="1">
      <c r="A4171" t="inlineStr">
        <is>
          <t>A 36137-2025</t>
        </is>
      </c>
      <c r="B4171" s="1" t="n">
        <v>45866.64355324074</v>
      </c>
      <c r="C4171" s="1" t="n">
        <v>45895</v>
      </c>
      <c r="D4171" t="inlineStr">
        <is>
          <t>NORRBOTTENS LÄN</t>
        </is>
      </c>
      <c r="E4171" t="inlineStr">
        <is>
          <t>GÄLLIVARE</t>
        </is>
      </c>
      <c r="F4171" t="inlineStr">
        <is>
          <t>Sveaskog</t>
        </is>
      </c>
      <c r="G4171" t="n">
        <v>10.9</v>
      </c>
      <c r="H4171" t="n">
        <v>0</v>
      </c>
      <c r="I4171" t="n">
        <v>0</v>
      </c>
      <c r="J4171" t="n">
        <v>0</v>
      </c>
      <c r="K4171" t="n">
        <v>0</v>
      </c>
      <c r="L4171" t="n">
        <v>0</v>
      </c>
      <c r="M4171" t="n">
        <v>0</v>
      </c>
      <c r="N4171" t="n">
        <v>0</v>
      </c>
      <c r="O4171" t="n">
        <v>0</v>
      </c>
      <c r="P4171" t="n">
        <v>0</v>
      </c>
      <c r="Q4171" t="n">
        <v>0</v>
      </c>
      <c r="R4171" s="2" t="inlineStr"/>
    </row>
    <row r="4172" ht="15" customHeight="1">
      <c r="A4172" t="inlineStr">
        <is>
          <t>A 61891-2023</t>
        </is>
      </c>
      <c r="B4172" s="1" t="n">
        <v>45264</v>
      </c>
      <c r="C4172" s="1" t="n">
        <v>45895</v>
      </c>
      <c r="D4172" t="inlineStr">
        <is>
          <t>NORRBOTTENS LÄN</t>
        </is>
      </c>
      <c r="E4172" t="inlineStr">
        <is>
          <t>LULEÅ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4354-2023</t>
        </is>
      </c>
      <c r="B4173" s="1" t="n">
        <v>44954</v>
      </c>
      <c r="C4173" s="1" t="n">
        <v>45895</v>
      </c>
      <c r="D4173" t="inlineStr">
        <is>
          <t>NORRBOTTENS LÄN</t>
        </is>
      </c>
      <c r="E4173" t="inlineStr">
        <is>
          <t>PAJALA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33196-2022</t>
        </is>
      </c>
      <c r="B4174" s="1" t="n">
        <v>44785</v>
      </c>
      <c r="C4174" s="1" t="n">
        <v>45895</v>
      </c>
      <c r="D4174" t="inlineStr">
        <is>
          <t>NORRBOTTENS LÄN</t>
        </is>
      </c>
      <c r="E4174" t="inlineStr">
        <is>
          <t>PITEÅ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60462-2024</t>
        </is>
      </c>
      <c r="B4175" s="1" t="n">
        <v>45643</v>
      </c>
      <c r="C4175" s="1" t="n">
        <v>45895</v>
      </c>
      <c r="D4175" t="inlineStr">
        <is>
          <t>NORRBOTTENS LÄN</t>
        </is>
      </c>
      <c r="E4175" t="inlineStr">
        <is>
          <t>ÖVERTORNEÅ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60463-2024</t>
        </is>
      </c>
      <c r="B4176" s="1" t="n">
        <v>45643.61626157408</v>
      </c>
      <c r="C4176" s="1" t="n">
        <v>45895</v>
      </c>
      <c r="D4176" t="inlineStr">
        <is>
          <t>NORRBOTTENS LÄN</t>
        </is>
      </c>
      <c r="E4176" t="inlineStr">
        <is>
          <t>ÖVERKALIX</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1944-2022</t>
        </is>
      </c>
      <c r="B4177" s="1" t="n">
        <v>44575</v>
      </c>
      <c r="C4177" s="1" t="n">
        <v>45895</v>
      </c>
      <c r="D4177" t="inlineStr">
        <is>
          <t>NORRBOTTENS LÄN</t>
        </is>
      </c>
      <c r="E4177" t="inlineStr">
        <is>
          <t>ÖVERKALIX</t>
        </is>
      </c>
      <c r="G4177" t="n">
        <v>10.4</v>
      </c>
      <c r="H4177" t="n">
        <v>0</v>
      </c>
      <c r="I4177" t="n">
        <v>0</v>
      </c>
      <c r="J4177" t="n">
        <v>0</v>
      </c>
      <c r="K4177" t="n">
        <v>0</v>
      </c>
      <c r="L4177" t="n">
        <v>0</v>
      </c>
      <c r="M4177" t="n">
        <v>0</v>
      </c>
      <c r="N4177" t="n">
        <v>0</v>
      </c>
      <c r="O4177" t="n">
        <v>0</v>
      </c>
      <c r="P4177" t="n">
        <v>0</v>
      </c>
      <c r="Q4177" t="n">
        <v>0</v>
      </c>
      <c r="R4177" s="2" t="inlineStr"/>
    </row>
    <row r="4178" ht="15" customHeight="1">
      <c r="A4178" t="inlineStr">
        <is>
          <t>A 29674-2024</t>
        </is>
      </c>
      <c r="B4178" s="1" t="n">
        <v>45484.94219907407</v>
      </c>
      <c r="C4178" s="1" t="n">
        <v>45895</v>
      </c>
      <c r="D4178" t="inlineStr">
        <is>
          <t>NORRBOTTENS LÄN</t>
        </is>
      </c>
      <c r="E4178" t="inlineStr">
        <is>
          <t>ARVIDSJAUR</t>
        </is>
      </c>
      <c r="F4178" t="inlineStr">
        <is>
          <t>SCA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29418-2025</t>
        </is>
      </c>
      <c r="B4179" s="1" t="n">
        <v>45824.63607638889</v>
      </c>
      <c r="C4179" s="1" t="n">
        <v>45895</v>
      </c>
      <c r="D4179" t="inlineStr">
        <is>
          <t>NORRBOTTENS LÄN</t>
        </is>
      </c>
      <c r="E4179" t="inlineStr">
        <is>
          <t>JOKKMOKK</t>
        </is>
      </c>
      <c r="G4179" t="n">
        <v>17.8</v>
      </c>
      <c r="H4179" t="n">
        <v>0</v>
      </c>
      <c r="I4179" t="n">
        <v>0</v>
      </c>
      <c r="J4179" t="n">
        <v>0</v>
      </c>
      <c r="K4179" t="n">
        <v>0</v>
      </c>
      <c r="L4179" t="n">
        <v>0</v>
      </c>
      <c r="M4179" t="n">
        <v>0</v>
      </c>
      <c r="N4179" t="n">
        <v>0</v>
      </c>
      <c r="O4179" t="n">
        <v>0</v>
      </c>
      <c r="P4179" t="n">
        <v>0</v>
      </c>
      <c r="Q4179" t="n">
        <v>0</v>
      </c>
      <c r="R4179" s="2" t="inlineStr"/>
    </row>
    <row r="4180" ht="15" customHeight="1">
      <c r="A4180" t="inlineStr">
        <is>
          <t>A 29678-2024</t>
        </is>
      </c>
      <c r="B4180" s="1" t="n">
        <v>45484.94283564815</v>
      </c>
      <c r="C4180" s="1" t="n">
        <v>45895</v>
      </c>
      <c r="D4180" t="inlineStr">
        <is>
          <t>NORRBOTTENS LÄN</t>
        </is>
      </c>
      <c r="E4180" t="inlineStr">
        <is>
          <t>PITEÅ</t>
        </is>
      </c>
      <c r="F4180" t="inlineStr">
        <is>
          <t>SCA</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59954-2024</t>
        </is>
      </c>
      <c r="B4181" s="1" t="n">
        <v>45642.34875</v>
      </c>
      <c r="C4181" s="1" t="n">
        <v>45895</v>
      </c>
      <c r="D4181" t="inlineStr">
        <is>
          <t>NORRBOTTENS LÄN</t>
        </is>
      </c>
      <c r="E4181" t="inlineStr">
        <is>
          <t>PITEÅ</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59973-2024</t>
        </is>
      </c>
      <c r="B4182" s="1" t="n">
        <v>45642.36554398148</v>
      </c>
      <c r="C4182" s="1" t="n">
        <v>45895</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5572-2025</t>
        </is>
      </c>
      <c r="B4183" s="1" t="n">
        <v>45693.51137731481</v>
      </c>
      <c r="C4183" s="1" t="n">
        <v>45895</v>
      </c>
      <c r="D4183" t="inlineStr">
        <is>
          <t>NORRBOTTENS LÄN</t>
        </is>
      </c>
      <c r="E4183" t="inlineStr">
        <is>
          <t>ÖVERKALIX</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30606-2024</t>
        </is>
      </c>
      <c r="B4184" s="1" t="n">
        <v>45494.95077546296</v>
      </c>
      <c r="C4184" s="1" t="n">
        <v>45895</v>
      </c>
      <c r="D4184" t="inlineStr">
        <is>
          <t>NORRBOTTENS LÄN</t>
        </is>
      </c>
      <c r="E4184" t="inlineStr">
        <is>
          <t>ÄLVSBYN</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58037-2024</t>
        </is>
      </c>
      <c r="B4185" s="1" t="n">
        <v>45631</v>
      </c>
      <c r="C4185" s="1" t="n">
        <v>45895</v>
      </c>
      <c r="D4185" t="inlineStr">
        <is>
          <t>NORRBOTTENS LÄN</t>
        </is>
      </c>
      <c r="E4185" t="inlineStr">
        <is>
          <t>ÖVERKALIX</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58052-2024</t>
        </is>
      </c>
      <c r="B4186" s="1" t="n">
        <v>45631.83989583333</v>
      </c>
      <c r="C4186" s="1" t="n">
        <v>45895</v>
      </c>
      <c r="D4186" t="inlineStr">
        <is>
          <t>NORRBOTTENS LÄN</t>
        </is>
      </c>
      <c r="E4186" t="inlineStr">
        <is>
          <t>PAJALA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29450-2025</t>
        </is>
      </c>
      <c r="B4187" s="1" t="n">
        <v>45824</v>
      </c>
      <c r="C4187" s="1" t="n">
        <v>45895</v>
      </c>
      <c r="D4187" t="inlineStr">
        <is>
          <t>NORRBOTTENS LÄN</t>
        </is>
      </c>
      <c r="E4187" t="inlineStr">
        <is>
          <t>BODEN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7442-2024</t>
        </is>
      </c>
      <c r="B4188" s="1" t="n">
        <v>45345</v>
      </c>
      <c r="C4188" s="1" t="n">
        <v>45895</v>
      </c>
      <c r="D4188" t="inlineStr">
        <is>
          <t>NORRBOTTENS LÄN</t>
        </is>
      </c>
      <c r="E4188" t="inlineStr">
        <is>
          <t>BODEN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58096-2024</t>
        </is>
      </c>
      <c r="B4189" s="1" t="n">
        <v>45632.36008101852</v>
      </c>
      <c r="C4189" s="1" t="n">
        <v>45895</v>
      </c>
      <c r="D4189" t="inlineStr">
        <is>
          <t>NORRBOTTENS LÄN</t>
        </is>
      </c>
      <c r="E4189" t="inlineStr">
        <is>
          <t>ÖVERTORNEÅ</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29478-2025</t>
        </is>
      </c>
      <c r="B4190" s="1" t="n">
        <v>45824</v>
      </c>
      <c r="C4190" s="1" t="n">
        <v>45895</v>
      </c>
      <c r="D4190" t="inlineStr">
        <is>
          <t>NORRBOTTENS LÄN</t>
        </is>
      </c>
      <c r="E4190" t="inlineStr">
        <is>
          <t>GÄLLIVARE</t>
        </is>
      </c>
      <c r="F4190" t="inlineStr">
        <is>
          <t>Allmännings- och besparingsskogar</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58038-2024</t>
        </is>
      </c>
      <c r="B4191" s="1" t="n">
        <v>45631.71950231482</v>
      </c>
      <c r="C4191" s="1" t="n">
        <v>45895</v>
      </c>
      <c r="D4191" t="inlineStr">
        <is>
          <t>NORRBOTTENS LÄN</t>
        </is>
      </c>
      <c r="E4191" t="inlineStr">
        <is>
          <t>ÖVERKALIX</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41698-2024</t>
        </is>
      </c>
      <c r="B4192" s="1" t="n">
        <v>45560.68814814815</v>
      </c>
      <c r="C4192" s="1" t="n">
        <v>45895</v>
      </c>
      <c r="D4192" t="inlineStr">
        <is>
          <t>NORRBOTTENS LÄN</t>
        </is>
      </c>
      <c r="E4192" t="inlineStr">
        <is>
          <t>ÖVERTORNEÅ</t>
        </is>
      </c>
      <c r="F4192" t="inlineStr">
        <is>
          <t>Sveaskog</t>
        </is>
      </c>
      <c r="G4192" t="n">
        <v>16.4</v>
      </c>
      <c r="H4192" t="n">
        <v>0</v>
      </c>
      <c r="I4192" t="n">
        <v>0</v>
      </c>
      <c r="J4192" t="n">
        <v>0</v>
      </c>
      <c r="K4192" t="n">
        <v>0</v>
      </c>
      <c r="L4192" t="n">
        <v>0</v>
      </c>
      <c r="M4192" t="n">
        <v>0</v>
      </c>
      <c r="N4192" t="n">
        <v>0</v>
      </c>
      <c r="O4192" t="n">
        <v>0</v>
      </c>
      <c r="P4192" t="n">
        <v>0</v>
      </c>
      <c r="Q4192" t="n">
        <v>0</v>
      </c>
      <c r="R4192" s="2" t="inlineStr"/>
    </row>
    <row r="4193" ht="15" customHeight="1">
      <c r="A4193" t="inlineStr">
        <is>
          <t>A 11949-2025</t>
        </is>
      </c>
      <c r="B4193" s="1" t="n">
        <v>45728.55405092592</v>
      </c>
      <c r="C4193" s="1" t="n">
        <v>45895</v>
      </c>
      <c r="D4193" t="inlineStr">
        <is>
          <t>NORRBOTTENS LÄN</t>
        </is>
      </c>
      <c r="E4193" t="inlineStr">
        <is>
          <t>PITEÅ</t>
        </is>
      </c>
      <c r="F4193" t="inlineStr">
        <is>
          <t>Kommuner</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27325-2024</t>
        </is>
      </c>
      <c r="B4194" s="1" t="n">
        <v>45472.38306712963</v>
      </c>
      <c r="C4194" s="1" t="n">
        <v>45895</v>
      </c>
      <c r="D4194" t="inlineStr">
        <is>
          <t>NORRBOTTENS LÄN</t>
        </is>
      </c>
      <c r="E4194" t="inlineStr">
        <is>
          <t>PAJALA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32681-2024</t>
        </is>
      </c>
      <c r="B4195" s="1" t="n">
        <v>45515</v>
      </c>
      <c r="C4195" s="1" t="n">
        <v>45895</v>
      </c>
      <c r="D4195" t="inlineStr">
        <is>
          <t>NORRBOTTENS LÄN</t>
        </is>
      </c>
      <c r="E4195" t="inlineStr">
        <is>
          <t>ÖVERTORNEÅ</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29368-2024</t>
        </is>
      </c>
      <c r="B4196" s="1" t="n">
        <v>45483.56891203704</v>
      </c>
      <c r="C4196" s="1" t="n">
        <v>45895</v>
      </c>
      <c r="D4196" t="inlineStr">
        <is>
          <t>NORRBOTTENS LÄN</t>
        </is>
      </c>
      <c r="E4196" t="inlineStr">
        <is>
          <t>ARVIDSJAUR</t>
        </is>
      </c>
      <c r="F4196" t="inlineStr">
        <is>
          <t>Sveaskog</t>
        </is>
      </c>
      <c r="G4196" t="n">
        <v>30.6</v>
      </c>
      <c r="H4196" t="n">
        <v>0</v>
      </c>
      <c r="I4196" t="n">
        <v>0</v>
      </c>
      <c r="J4196" t="n">
        <v>0</v>
      </c>
      <c r="K4196" t="n">
        <v>0</v>
      </c>
      <c r="L4196" t="n">
        <v>0</v>
      </c>
      <c r="M4196" t="n">
        <v>0</v>
      </c>
      <c r="N4196" t="n">
        <v>0</v>
      </c>
      <c r="O4196" t="n">
        <v>0</v>
      </c>
      <c r="P4196" t="n">
        <v>0</v>
      </c>
      <c r="Q4196" t="n">
        <v>0</v>
      </c>
      <c r="R4196" s="2" t="inlineStr"/>
    </row>
    <row r="4197" ht="15" customHeight="1">
      <c r="A4197" t="inlineStr">
        <is>
          <t>A 29377-2024</t>
        </is>
      </c>
      <c r="B4197" s="1" t="n">
        <v>45483</v>
      </c>
      <c r="C4197" s="1" t="n">
        <v>45895</v>
      </c>
      <c r="D4197" t="inlineStr">
        <is>
          <t>NORRBOTTENS LÄN</t>
        </is>
      </c>
      <c r="E4197" t="inlineStr">
        <is>
          <t>BODEN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30511-2023</t>
        </is>
      </c>
      <c r="B4198" s="1" t="n">
        <v>45111</v>
      </c>
      <c r="C4198" s="1" t="n">
        <v>45895</v>
      </c>
      <c r="D4198" t="inlineStr">
        <is>
          <t>NORRBOTTENS LÄN</t>
        </is>
      </c>
      <c r="E4198" t="inlineStr">
        <is>
          <t>JOKKMOKK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57254-2021</t>
        </is>
      </c>
      <c r="B4199" s="1" t="n">
        <v>44482</v>
      </c>
      <c r="C4199" s="1" t="n">
        <v>45895</v>
      </c>
      <c r="D4199" t="inlineStr">
        <is>
          <t>NORRBOTTENS LÄN</t>
        </is>
      </c>
      <c r="E4199" t="inlineStr">
        <is>
          <t>HAPARANDA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62880-2023</t>
        </is>
      </c>
      <c r="B4200" s="1" t="n">
        <v>45272.3881712963</v>
      </c>
      <c r="C4200" s="1" t="n">
        <v>45895</v>
      </c>
      <c r="D4200" t="inlineStr">
        <is>
          <t>NORRBOTTENS LÄN</t>
        </is>
      </c>
      <c r="E4200" t="inlineStr">
        <is>
          <t>ÄLVSBYN</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29172-2025</t>
        </is>
      </c>
      <c r="B4201" s="1" t="n">
        <v>45821.70695601852</v>
      </c>
      <c r="C4201" s="1" t="n">
        <v>45895</v>
      </c>
      <c r="D4201" t="inlineStr">
        <is>
          <t>NORRBOTTENS LÄN</t>
        </is>
      </c>
      <c r="E4201" t="inlineStr">
        <is>
          <t>PAJALA</t>
        </is>
      </c>
      <c r="F4201" t="inlineStr">
        <is>
          <t>Sveaskog</t>
        </is>
      </c>
      <c r="G4201" t="n">
        <v>40.3</v>
      </c>
      <c r="H4201" t="n">
        <v>0</v>
      </c>
      <c r="I4201" t="n">
        <v>0</v>
      </c>
      <c r="J4201" t="n">
        <v>0</v>
      </c>
      <c r="K4201" t="n">
        <v>0</v>
      </c>
      <c r="L4201" t="n">
        <v>0</v>
      </c>
      <c r="M4201" t="n">
        <v>0</v>
      </c>
      <c r="N4201" t="n">
        <v>0</v>
      </c>
      <c r="O4201" t="n">
        <v>0</v>
      </c>
      <c r="P4201" t="n">
        <v>0</v>
      </c>
      <c r="Q4201" t="n">
        <v>0</v>
      </c>
      <c r="R4201" s="2" t="inlineStr"/>
    </row>
    <row r="4202" ht="15" customHeight="1">
      <c r="A4202" t="inlineStr">
        <is>
          <t>A 36014-2025</t>
        </is>
      </c>
      <c r="B4202" s="1" t="n">
        <v>45863.6125</v>
      </c>
      <c r="C4202" s="1" t="n">
        <v>45895</v>
      </c>
      <c r="D4202" t="inlineStr">
        <is>
          <t>NORRBOTTENS LÄN</t>
        </is>
      </c>
      <c r="E4202" t="inlineStr">
        <is>
          <t>BODEN</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36019-2025</t>
        </is>
      </c>
      <c r="B4203" s="1" t="n">
        <v>45863.67741898148</v>
      </c>
      <c r="C4203" s="1" t="n">
        <v>45895</v>
      </c>
      <c r="D4203" t="inlineStr">
        <is>
          <t>NORRBOTTENS LÄN</t>
        </is>
      </c>
      <c r="E4203" t="inlineStr">
        <is>
          <t>BODEN</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59926-2020</t>
        </is>
      </c>
      <c r="B4204" s="1" t="n">
        <v>44151</v>
      </c>
      <c r="C4204" s="1" t="n">
        <v>45895</v>
      </c>
      <c r="D4204" t="inlineStr">
        <is>
          <t>NORRBOTTENS LÄN</t>
        </is>
      </c>
      <c r="E4204" t="inlineStr">
        <is>
          <t>ARVIDSJAUR</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29212-2025</t>
        </is>
      </c>
      <c r="B4205" s="1" t="n">
        <v>45824.28274305556</v>
      </c>
      <c r="C4205" s="1" t="n">
        <v>45895</v>
      </c>
      <c r="D4205" t="inlineStr">
        <is>
          <t>NORRBOTTENS LÄN</t>
        </is>
      </c>
      <c r="E4205" t="inlineStr">
        <is>
          <t>ÖVERKALIX</t>
        </is>
      </c>
      <c r="F4205" t="inlineStr">
        <is>
          <t>Sveaskog</t>
        </is>
      </c>
      <c r="G4205" t="n">
        <v>24.4</v>
      </c>
      <c r="H4205" t="n">
        <v>0</v>
      </c>
      <c r="I4205" t="n">
        <v>0</v>
      </c>
      <c r="J4205" t="n">
        <v>0</v>
      </c>
      <c r="K4205" t="n">
        <v>0</v>
      </c>
      <c r="L4205" t="n">
        <v>0</v>
      </c>
      <c r="M4205" t="n">
        <v>0</v>
      </c>
      <c r="N4205" t="n">
        <v>0</v>
      </c>
      <c r="O4205" t="n">
        <v>0</v>
      </c>
      <c r="P4205" t="n">
        <v>0</v>
      </c>
      <c r="Q4205" t="n">
        <v>0</v>
      </c>
      <c r="R4205" s="2" t="inlineStr"/>
    </row>
    <row r="4206" ht="15" customHeight="1">
      <c r="A4206" t="inlineStr">
        <is>
          <t>A 42826-2024</t>
        </is>
      </c>
      <c r="B4206" s="1" t="n">
        <v>45566</v>
      </c>
      <c r="C4206" s="1" t="n">
        <v>45895</v>
      </c>
      <c r="D4206" t="inlineStr">
        <is>
          <t>NORRBOTTENS LÄN</t>
        </is>
      </c>
      <c r="E4206" t="inlineStr">
        <is>
          <t>KALIX</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64975-2023</t>
        </is>
      </c>
      <c r="B4207" s="1" t="n">
        <v>45285</v>
      </c>
      <c r="C4207" s="1" t="n">
        <v>45895</v>
      </c>
      <c r="D4207" t="inlineStr">
        <is>
          <t>NORRBOTTENS LÄN</t>
        </is>
      </c>
      <c r="E4207" t="inlineStr">
        <is>
          <t>BODEN</t>
        </is>
      </c>
      <c r="G4207" t="n">
        <v>9.4</v>
      </c>
      <c r="H4207" t="n">
        <v>0</v>
      </c>
      <c r="I4207" t="n">
        <v>0</v>
      </c>
      <c r="J4207" t="n">
        <v>0</v>
      </c>
      <c r="K4207" t="n">
        <v>0</v>
      </c>
      <c r="L4207" t="n">
        <v>0</v>
      </c>
      <c r="M4207" t="n">
        <v>0</v>
      </c>
      <c r="N4207" t="n">
        <v>0</v>
      </c>
      <c r="O4207" t="n">
        <v>0</v>
      </c>
      <c r="P4207" t="n">
        <v>0</v>
      </c>
      <c r="Q4207" t="n">
        <v>0</v>
      </c>
      <c r="R4207" s="2" t="inlineStr"/>
    </row>
    <row r="4208" ht="15" customHeight="1">
      <c r="A4208" t="inlineStr">
        <is>
          <t>A 38975-2024</t>
        </is>
      </c>
      <c r="B4208" s="1" t="n">
        <v>45548</v>
      </c>
      <c r="C4208" s="1" t="n">
        <v>45895</v>
      </c>
      <c r="D4208" t="inlineStr">
        <is>
          <t>NORRBOTTENS LÄN</t>
        </is>
      </c>
      <c r="E4208" t="inlineStr">
        <is>
          <t>ÖVERKALIX</t>
        </is>
      </c>
      <c r="F4208" t="inlineStr">
        <is>
          <t>SCA</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29463-2025</t>
        </is>
      </c>
      <c r="B4209" s="1" t="n">
        <v>45824.69834490741</v>
      </c>
      <c r="C4209" s="1" t="n">
        <v>45895</v>
      </c>
      <c r="D4209" t="inlineStr">
        <is>
          <t>NORRBOTTENS LÄN</t>
        </is>
      </c>
      <c r="E4209" t="inlineStr">
        <is>
          <t>ÖVERKALIX</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29476-2025</t>
        </is>
      </c>
      <c r="B4210" s="1" t="n">
        <v>45824</v>
      </c>
      <c r="C4210" s="1" t="n">
        <v>45895</v>
      </c>
      <c r="D4210" t="inlineStr">
        <is>
          <t>NORRBOTTENS LÄN</t>
        </is>
      </c>
      <c r="E4210" t="inlineStr">
        <is>
          <t>GÄLLIVARE</t>
        </is>
      </c>
      <c r="F4210" t="inlineStr">
        <is>
          <t>Allmännings- och besparingsskogar</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28313-2023</t>
        </is>
      </c>
      <c r="B4211" s="1" t="n">
        <v>45099</v>
      </c>
      <c r="C4211" s="1" t="n">
        <v>45895</v>
      </c>
      <c r="D4211" t="inlineStr">
        <is>
          <t>NORRBOTTENS LÄN</t>
        </is>
      </c>
      <c r="E4211" t="inlineStr">
        <is>
          <t>ARVIDSJAUR</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29155-2025</t>
        </is>
      </c>
      <c r="B4212" s="1" t="n">
        <v>45821.65634259259</v>
      </c>
      <c r="C4212" s="1" t="n">
        <v>45895</v>
      </c>
      <c r="D4212" t="inlineStr">
        <is>
          <t>NORRBOTTENS LÄN</t>
        </is>
      </c>
      <c r="E4212" t="inlineStr">
        <is>
          <t>PAJALA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29376-2025</t>
        </is>
      </c>
      <c r="B4213" s="1" t="n">
        <v>45824</v>
      </c>
      <c r="C4213" s="1" t="n">
        <v>45895</v>
      </c>
      <c r="D4213" t="inlineStr">
        <is>
          <t>NORRBOTTENS LÄN</t>
        </is>
      </c>
      <c r="E4213" t="inlineStr">
        <is>
          <t>BODEN</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64907-2021</t>
        </is>
      </c>
      <c r="B4214" s="1" t="n">
        <v>44512</v>
      </c>
      <c r="C4214" s="1" t="n">
        <v>45895</v>
      </c>
      <c r="D4214" t="inlineStr">
        <is>
          <t>NORRBOTTENS LÄN</t>
        </is>
      </c>
      <c r="E4214" t="inlineStr">
        <is>
          <t>KALIX</t>
        </is>
      </c>
      <c r="G4214" t="n">
        <v>11.5</v>
      </c>
      <c r="H4214" t="n">
        <v>0</v>
      </c>
      <c r="I4214" t="n">
        <v>0</v>
      </c>
      <c r="J4214" t="n">
        <v>0</v>
      </c>
      <c r="K4214" t="n">
        <v>0</v>
      </c>
      <c r="L4214" t="n">
        <v>0</v>
      </c>
      <c r="M4214" t="n">
        <v>0</v>
      </c>
      <c r="N4214" t="n">
        <v>0</v>
      </c>
      <c r="O4214" t="n">
        <v>0</v>
      </c>
      <c r="P4214" t="n">
        <v>0</v>
      </c>
      <c r="Q4214" t="n">
        <v>0</v>
      </c>
      <c r="R4214" s="2" t="inlineStr"/>
    </row>
    <row r="4215" ht="15" customHeight="1">
      <c r="A4215" t="inlineStr">
        <is>
          <t>A 41599-2024</t>
        </is>
      </c>
      <c r="B4215" s="1" t="n">
        <v>45560</v>
      </c>
      <c r="C4215" s="1" t="n">
        <v>45895</v>
      </c>
      <c r="D4215" t="inlineStr">
        <is>
          <t>NORRBOTTENS LÄN</t>
        </is>
      </c>
      <c r="E4215" t="inlineStr">
        <is>
          <t>ARVIDSJAUR</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14404-2023</t>
        </is>
      </c>
      <c r="B4216" s="1" t="n">
        <v>45009</v>
      </c>
      <c r="C4216" s="1" t="n">
        <v>45895</v>
      </c>
      <c r="D4216" t="inlineStr">
        <is>
          <t>NORRBOTTENS LÄN</t>
        </is>
      </c>
      <c r="E4216" t="inlineStr">
        <is>
          <t>KALIX</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30080-2025</t>
        </is>
      </c>
      <c r="B4217" s="1" t="n">
        <v>45826.65047453704</v>
      </c>
      <c r="C4217" s="1" t="n">
        <v>45895</v>
      </c>
      <c r="D4217" t="inlineStr">
        <is>
          <t>NORRBOTTENS LÄN</t>
        </is>
      </c>
      <c r="E4217" t="inlineStr">
        <is>
          <t>LULEÅ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48373-2024</t>
        </is>
      </c>
      <c r="B4218" s="1" t="n">
        <v>45590</v>
      </c>
      <c r="C4218" s="1" t="n">
        <v>45895</v>
      </c>
      <c r="D4218" t="inlineStr">
        <is>
          <t>NORRBOTTENS LÄN</t>
        </is>
      </c>
      <c r="E4218" t="inlineStr">
        <is>
          <t>ARVIDSJAUR</t>
        </is>
      </c>
      <c r="F4218" t="inlineStr">
        <is>
          <t>Sveaskog</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4242-2024</t>
        </is>
      </c>
      <c r="B4219" s="1" t="n">
        <v>45324.46291666666</v>
      </c>
      <c r="C4219" s="1" t="n">
        <v>45895</v>
      </c>
      <c r="D4219" t="inlineStr">
        <is>
          <t>NORRBOTTENS LÄN</t>
        </is>
      </c>
      <c r="E4219" t="inlineStr">
        <is>
          <t>PITEÅ</t>
        </is>
      </c>
      <c r="F4219" t="inlineStr">
        <is>
          <t>Sveaskog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54256-2024</t>
        </is>
      </c>
      <c r="B4220" s="1" t="n">
        <v>45616</v>
      </c>
      <c r="C4220" s="1" t="n">
        <v>45895</v>
      </c>
      <c r="D4220" t="inlineStr">
        <is>
          <t>NORRBOTTENS LÄN</t>
        </is>
      </c>
      <c r="E4220" t="inlineStr">
        <is>
          <t>PAJALA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30099-2025</t>
        </is>
      </c>
      <c r="B4221" s="1" t="n">
        <v>45826.67755787037</v>
      </c>
      <c r="C4221" s="1" t="n">
        <v>45895</v>
      </c>
      <c r="D4221" t="inlineStr">
        <is>
          <t>NORRBOTTENS LÄN</t>
        </is>
      </c>
      <c r="E4221" t="inlineStr">
        <is>
          <t>ÖVERKALIX</t>
        </is>
      </c>
      <c r="F4221" t="inlineStr">
        <is>
          <t>SCA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61068-2024</t>
        </is>
      </c>
      <c r="B4222" s="1" t="n">
        <v>45645.50035879629</v>
      </c>
      <c r="C4222" s="1" t="n">
        <v>45895</v>
      </c>
      <c r="D4222" t="inlineStr">
        <is>
          <t>NORRBOTTENS LÄN</t>
        </is>
      </c>
      <c r="E4222" t="inlineStr">
        <is>
          <t>HAPARANDA</t>
        </is>
      </c>
      <c r="G4222" t="n">
        <v>10.5</v>
      </c>
      <c r="H4222" t="n">
        <v>0</v>
      </c>
      <c r="I4222" t="n">
        <v>0</v>
      </c>
      <c r="J4222" t="n">
        <v>0</v>
      </c>
      <c r="K4222" t="n">
        <v>0</v>
      </c>
      <c r="L4222" t="n">
        <v>0</v>
      </c>
      <c r="M4222" t="n">
        <v>0</v>
      </c>
      <c r="N4222" t="n">
        <v>0</v>
      </c>
      <c r="O4222" t="n">
        <v>0</v>
      </c>
      <c r="P4222" t="n">
        <v>0</v>
      </c>
      <c r="Q4222" t="n">
        <v>0</v>
      </c>
      <c r="R4222" s="2" t="inlineStr"/>
    </row>
    <row r="4223" ht="15" customHeight="1">
      <c r="A4223" t="inlineStr">
        <is>
          <t>A 39775-2023</t>
        </is>
      </c>
      <c r="B4223" s="1" t="n">
        <v>45167</v>
      </c>
      <c r="C4223" s="1" t="n">
        <v>45895</v>
      </c>
      <c r="D4223" t="inlineStr">
        <is>
          <t>NORRBOTTENS LÄN</t>
        </is>
      </c>
      <c r="E4223" t="inlineStr">
        <is>
          <t>ÖVERTORNEÅ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34142-2023</t>
        </is>
      </c>
      <c r="B4224" s="1" t="n">
        <v>45136.43844907408</v>
      </c>
      <c r="C4224" s="1" t="n">
        <v>45895</v>
      </c>
      <c r="D4224" t="inlineStr">
        <is>
          <t>NORRBOTTENS LÄN</t>
        </is>
      </c>
      <c r="E4224" t="inlineStr">
        <is>
          <t>ÖVERTORNEÅ</t>
        </is>
      </c>
      <c r="G4224" t="n">
        <v>22.5</v>
      </c>
      <c r="H4224" t="n">
        <v>0</v>
      </c>
      <c r="I4224" t="n">
        <v>0</v>
      </c>
      <c r="J4224" t="n">
        <v>0</v>
      </c>
      <c r="K4224" t="n">
        <v>0</v>
      </c>
      <c r="L4224" t="n">
        <v>0</v>
      </c>
      <c r="M4224" t="n">
        <v>0</v>
      </c>
      <c r="N4224" t="n">
        <v>0</v>
      </c>
      <c r="O4224" t="n">
        <v>0</v>
      </c>
      <c r="P4224" t="n">
        <v>0</v>
      </c>
      <c r="Q4224" t="n">
        <v>0</v>
      </c>
      <c r="R4224" s="2" t="inlineStr"/>
    </row>
    <row r="4225" ht="15" customHeight="1">
      <c r="A4225" t="inlineStr">
        <is>
          <t>A 57518-2024</t>
        </is>
      </c>
      <c r="B4225" s="1" t="n">
        <v>45629</v>
      </c>
      <c r="C4225" s="1" t="n">
        <v>45895</v>
      </c>
      <c r="D4225" t="inlineStr">
        <is>
          <t>NORRBOTTENS LÄN</t>
        </is>
      </c>
      <c r="E4225" t="inlineStr">
        <is>
          <t>LULEÅ</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34152-2023</t>
        </is>
      </c>
      <c r="B4226" s="1" t="n">
        <v>45136.86875</v>
      </c>
      <c r="C4226" s="1" t="n">
        <v>45895</v>
      </c>
      <c r="D4226" t="inlineStr">
        <is>
          <t>NORRBOTTENS LÄN</t>
        </is>
      </c>
      <c r="E4226" t="inlineStr">
        <is>
          <t>PAJALA</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24273-2024</t>
        </is>
      </c>
      <c r="B4227" s="1" t="n">
        <v>45457.43016203704</v>
      </c>
      <c r="C4227" s="1" t="n">
        <v>45895</v>
      </c>
      <c r="D4227" t="inlineStr">
        <is>
          <t>NORRBOTTENS LÄN</t>
        </is>
      </c>
      <c r="E4227" t="inlineStr">
        <is>
          <t>KALIX</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29906-2025</t>
        </is>
      </c>
      <c r="B4228" s="1" t="n">
        <v>45826.3965625</v>
      </c>
      <c r="C4228" s="1" t="n">
        <v>45895</v>
      </c>
      <c r="D4228" t="inlineStr">
        <is>
          <t>NORRBOTTENS LÄN</t>
        </is>
      </c>
      <c r="E4228" t="inlineStr">
        <is>
          <t>ÖVERTORNEÅ</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29841-2025</t>
        </is>
      </c>
      <c r="B4229" s="1" t="n">
        <v>45826.30746527778</v>
      </c>
      <c r="C4229" s="1" t="n">
        <v>45895</v>
      </c>
      <c r="D4229" t="inlineStr">
        <is>
          <t>NORRBOTTENS LÄN</t>
        </is>
      </c>
      <c r="E4229" t="inlineStr">
        <is>
          <t>GÄLLIVARE</t>
        </is>
      </c>
      <c r="F4229" t="inlineStr">
        <is>
          <t>Sveaskog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9738-2025</t>
        </is>
      </c>
      <c r="B4230" s="1" t="n">
        <v>45716.44008101852</v>
      </c>
      <c r="C4230" s="1" t="n">
        <v>45895</v>
      </c>
      <c r="D4230" t="inlineStr">
        <is>
          <t>NORRBOTTENS LÄN</t>
        </is>
      </c>
      <c r="E4230" t="inlineStr">
        <is>
          <t>HAPARANDA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9739-2025</t>
        </is>
      </c>
      <c r="B4231" s="1" t="n">
        <v>45716.44365740741</v>
      </c>
      <c r="C4231" s="1" t="n">
        <v>45895</v>
      </c>
      <c r="D4231" t="inlineStr">
        <is>
          <t>NORRBOTTENS LÄN</t>
        </is>
      </c>
      <c r="E4231" t="inlineStr">
        <is>
          <t>HAPARANDA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36351-2025</t>
        </is>
      </c>
      <c r="B4232" s="1" t="n">
        <v>45868.48922453704</v>
      </c>
      <c r="C4232" s="1" t="n">
        <v>45895</v>
      </c>
      <c r="D4232" t="inlineStr">
        <is>
          <t>NORRBOTTENS LÄN</t>
        </is>
      </c>
      <c r="E4232" t="inlineStr">
        <is>
          <t>GÄLLIVARE</t>
        </is>
      </c>
      <c r="F4232" t="inlineStr">
        <is>
          <t>Sveaskog</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18397-2022</t>
        </is>
      </c>
      <c r="B4233" s="1" t="n">
        <v>44685</v>
      </c>
      <c r="C4233" s="1" t="n">
        <v>45895</v>
      </c>
      <c r="D4233" t="inlineStr">
        <is>
          <t>NORRBOTTENS LÄN</t>
        </is>
      </c>
      <c r="E4233" t="inlineStr">
        <is>
          <t>PITEÅ</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29421-2025</t>
        </is>
      </c>
      <c r="B4234" s="1" t="n">
        <v>45824</v>
      </c>
      <c r="C4234" s="1" t="n">
        <v>45895</v>
      </c>
      <c r="D4234" t="inlineStr">
        <is>
          <t>NORRBOTTENS LÄN</t>
        </is>
      </c>
      <c r="E4234" t="inlineStr">
        <is>
          <t>PAJALA</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23469-2022</t>
        </is>
      </c>
      <c r="B4235" s="1" t="n">
        <v>44721</v>
      </c>
      <c r="C4235" s="1" t="n">
        <v>45895</v>
      </c>
      <c r="D4235" t="inlineStr">
        <is>
          <t>NORRBOTTENS LÄN</t>
        </is>
      </c>
      <c r="E4235" t="inlineStr">
        <is>
          <t>KIRUNA</t>
        </is>
      </c>
      <c r="G4235" t="n">
        <v>11.8</v>
      </c>
      <c r="H4235" t="n">
        <v>0</v>
      </c>
      <c r="I4235" t="n">
        <v>0</v>
      </c>
      <c r="J4235" t="n">
        <v>0</v>
      </c>
      <c r="K4235" t="n">
        <v>0</v>
      </c>
      <c r="L4235" t="n">
        <v>0</v>
      </c>
      <c r="M4235" t="n">
        <v>0</v>
      </c>
      <c r="N4235" t="n">
        <v>0</v>
      </c>
      <c r="O4235" t="n">
        <v>0</v>
      </c>
      <c r="P4235" t="n">
        <v>0</v>
      </c>
      <c r="Q4235" t="n">
        <v>0</v>
      </c>
      <c r="R4235" s="2" t="inlineStr"/>
    </row>
    <row r="4236" ht="15" customHeight="1">
      <c r="A4236" t="inlineStr">
        <is>
          <t>A 36229-2025</t>
        </is>
      </c>
      <c r="B4236" s="1" t="n">
        <v>45867.53866898148</v>
      </c>
      <c r="C4236" s="1" t="n">
        <v>45895</v>
      </c>
      <c r="D4236" t="inlineStr">
        <is>
          <t>NORRBOTTENS LÄN</t>
        </is>
      </c>
      <c r="E4236" t="inlineStr">
        <is>
          <t>KALIX</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29951-2025</t>
        </is>
      </c>
      <c r="B4237" s="1" t="n">
        <v>45826.46918981482</v>
      </c>
      <c r="C4237" s="1" t="n">
        <v>45895</v>
      </c>
      <c r="D4237" t="inlineStr">
        <is>
          <t>NORRBOTTENS LÄN</t>
        </is>
      </c>
      <c r="E4237" t="inlineStr">
        <is>
          <t>BODEN</t>
        </is>
      </c>
      <c r="F4237" t="inlineStr">
        <is>
          <t>SCA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30059-2025</t>
        </is>
      </c>
      <c r="B4238" s="1" t="n">
        <v>45826.61388888889</v>
      </c>
      <c r="C4238" s="1" t="n">
        <v>45895</v>
      </c>
      <c r="D4238" t="inlineStr">
        <is>
          <t>NORRBOTTENS LÄN</t>
        </is>
      </c>
      <c r="E4238" t="inlineStr">
        <is>
          <t>LULEÅ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30065-2025</t>
        </is>
      </c>
      <c r="B4239" s="1" t="n">
        <v>45826.6207175926</v>
      </c>
      <c r="C4239" s="1" t="n">
        <v>45895</v>
      </c>
      <c r="D4239" t="inlineStr">
        <is>
          <t>NORRBOTTENS LÄN</t>
        </is>
      </c>
      <c r="E4239" t="inlineStr">
        <is>
          <t>LULEÅ</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35115-2024</t>
        </is>
      </c>
      <c r="B4240" s="1" t="n">
        <v>45529.93233796296</v>
      </c>
      <c r="C4240" s="1" t="n">
        <v>45895</v>
      </c>
      <c r="D4240" t="inlineStr">
        <is>
          <t>NORRBOTTENS LÄN</t>
        </is>
      </c>
      <c r="E4240" t="inlineStr">
        <is>
          <t>BODEN</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38370-2023</t>
        </is>
      </c>
      <c r="B4241" s="1" t="n">
        <v>45161</v>
      </c>
      <c r="C4241" s="1" t="n">
        <v>45895</v>
      </c>
      <c r="D4241" t="inlineStr">
        <is>
          <t>NORRBOTTENS LÄN</t>
        </is>
      </c>
      <c r="E4241" t="inlineStr">
        <is>
          <t>BODEN</t>
        </is>
      </c>
      <c r="F4241" t="inlineStr">
        <is>
          <t>SCA</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29975-2025</t>
        </is>
      </c>
      <c r="B4242" s="1" t="n">
        <v>45826</v>
      </c>
      <c r="C4242" s="1" t="n">
        <v>45895</v>
      </c>
      <c r="D4242" t="inlineStr">
        <is>
          <t>NORRBOTTENS LÄN</t>
        </is>
      </c>
      <c r="E4242" t="inlineStr">
        <is>
          <t>LULEÅ</t>
        </is>
      </c>
      <c r="F4242" t="inlineStr">
        <is>
          <t>SCA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30030-2025</t>
        </is>
      </c>
      <c r="B4243" s="1" t="n">
        <v>45826.56829861111</v>
      </c>
      <c r="C4243" s="1" t="n">
        <v>45895</v>
      </c>
      <c r="D4243" t="inlineStr">
        <is>
          <t>NORRBOTTENS LÄN</t>
        </is>
      </c>
      <c r="E4243" t="inlineStr">
        <is>
          <t>GÄLLIVARE</t>
        </is>
      </c>
      <c r="F4243" t="inlineStr">
        <is>
          <t>Sveaskog</t>
        </is>
      </c>
      <c r="G4243" t="n">
        <v>17.4</v>
      </c>
      <c r="H4243" t="n">
        <v>0</v>
      </c>
      <c r="I4243" t="n">
        <v>0</v>
      </c>
      <c r="J4243" t="n">
        <v>0</v>
      </c>
      <c r="K4243" t="n">
        <v>0</v>
      </c>
      <c r="L4243" t="n">
        <v>0</v>
      </c>
      <c r="M4243" t="n">
        <v>0</v>
      </c>
      <c r="N4243" t="n">
        <v>0</v>
      </c>
      <c r="O4243" t="n">
        <v>0</v>
      </c>
      <c r="P4243" t="n">
        <v>0</v>
      </c>
      <c r="Q4243" t="n">
        <v>0</v>
      </c>
      <c r="R4243" s="2" t="inlineStr"/>
    </row>
    <row r="4244" ht="15" customHeight="1">
      <c r="A4244" t="inlineStr">
        <is>
          <t>A 30038-2025</t>
        </is>
      </c>
      <c r="B4244" s="1" t="n">
        <v>45826.57212962963</v>
      </c>
      <c r="C4244" s="1" t="n">
        <v>45895</v>
      </c>
      <c r="D4244" t="inlineStr">
        <is>
          <t>NORRBOTTENS LÄN</t>
        </is>
      </c>
      <c r="E4244" t="inlineStr">
        <is>
          <t>ÖVERKALIX</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29743-2025</t>
        </is>
      </c>
      <c r="B4245" s="1" t="n">
        <v>45825</v>
      </c>
      <c r="C4245" s="1" t="n">
        <v>45895</v>
      </c>
      <c r="D4245" t="inlineStr">
        <is>
          <t>NORRBOTTENS LÄN</t>
        </is>
      </c>
      <c r="E4245" t="inlineStr">
        <is>
          <t>ÄLVSBYN</t>
        </is>
      </c>
      <c r="F4245" t="inlineStr">
        <is>
          <t>Sveaskog</t>
        </is>
      </c>
      <c r="G4245" t="n">
        <v>34.6</v>
      </c>
      <c r="H4245" t="n">
        <v>0</v>
      </c>
      <c r="I4245" t="n">
        <v>0</v>
      </c>
      <c r="J4245" t="n">
        <v>0</v>
      </c>
      <c r="K4245" t="n">
        <v>0</v>
      </c>
      <c r="L4245" t="n">
        <v>0</v>
      </c>
      <c r="M4245" t="n">
        <v>0</v>
      </c>
      <c r="N4245" t="n">
        <v>0</v>
      </c>
      <c r="O4245" t="n">
        <v>0</v>
      </c>
      <c r="P4245" t="n">
        <v>0</v>
      </c>
      <c r="Q4245" t="n">
        <v>0</v>
      </c>
      <c r="R4245" s="2" t="inlineStr"/>
    </row>
    <row r="4246" ht="15" customHeight="1">
      <c r="A4246" t="inlineStr">
        <is>
          <t>A 43885-2023</t>
        </is>
      </c>
      <c r="B4246" s="1" t="n">
        <v>45187</v>
      </c>
      <c r="C4246" s="1" t="n">
        <v>45895</v>
      </c>
      <c r="D4246" t="inlineStr">
        <is>
          <t>NORRBOTTENS LÄN</t>
        </is>
      </c>
      <c r="E4246" t="inlineStr">
        <is>
          <t>PITEÅ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6739-2024</t>
        </is>
      </c>
      <c r="B4247" s="1" t="n">
        <v>45342</v>
      </c>
      <c r="C4247" s="1" t="n">
        <v>45895</v>
      </c>
      <c r="D4247" t="inlineStr">
        <is>
          <t>NORRBOTTENS LÄN</t>
        </is>
      </c>
      <c r="E4247" t="inlineStr">
        <is>
          <t>LULEÅ</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26552-2025</t>
        </is>
      </c>
      <c r="B4248" s="1" t="n">
        <v>45807</v>
      </c>
      <c r="C4248" s="1" t="n">
        <v>45895</v>
      </c>
      <c r="D4248" t="inlineStr">
        <is>
          <t>NORRBOTTENS LÄN</t>
        </is>
      </c>
      <c r="E4248" t="inlineStr">
        <is>
          <t>JOKKMOKK</t>
        </is>
      </c>
      <c r="F4248" t="inlineStr">
        <is>
          <t>SCA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44110-2024</t>
        </is>
      </c>
      <c r="B4249" s="1" t="n">
        <v>45572.63494212963</v>
      </c>
      <c r="C4249" s="1" t="n">
        <v>45895</v>
      </c>
      <c r="D4249" t="inlineStr">
        <is>
          <t>NORRBOTTENS LÄN</t>
        </is>
      </c>
      <c r="E4249" t="inlineStr">
        <is>
          <t>PAJALA</t>
        </is>
      </c>
      <c r="F4249" t="inlineStr">
        <is>
          <t>Sveaskog</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30086-2025</t>
        </is>
      </c>
      <c r="B4250" s="1" t="n">
        <v>45826.65725694445</v>
      </c>
      <c r="C4250" s="1" t="n">
        <v>45895</v>
      </c>
      <c r="D4250" t="inlineStr">
        <is>
          <t>NORRBOTTENS LÄN</t>
        </is>
      </c>
      <c r="E4250" t="inlineStr">
        <is>
          <t>ÖVERKALIX</t>
        </is>
      </c>
      <c r="F4250" t="inlineStr">
        <is>
          <t>SCA</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30089-2025</t>
        </is>
      </c>
      <c r="B4251" s="1" t="n">
        <v>45826</v>
      </c>
      <c r="C4251" s="1" t="n">
        <v>45895</v>
      </c>
      <c r="D4251" t="inlineStr">
        <is>
          <t>NORRBOTTENS LÄN</t>
        </is>
      </c>
      <c r="E4251" t="inlineStr">
        <is>
          <t>BODEN</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23014-2024</t>
        </is>
      </c>
      <c r="B4252" s="1" t="n">
        <v>45449</v>
      </c>
      <c r="C4252" s="1" t="n">
        <v>45895</v>
      </c>
      <c r="D4252" t="inlineStr">
        <is>
          <t>NORRBOTTENS LÄN</t>
        </is>
      </c>
      <c r="E4252" t="inlineStr">
        <is>
          <t>ÖVERTORNEÅ</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29853-2025</t>
        </is>
      </c>
      <c r="B4253" s="1" t="n">
        <v>45826.34438657408</v>
      </c>
      <c r="C4253" s="1" t="n">
        <v>45895</v>
      </c>
      <c r="D4253" t="inlineStr">
        <is>
          <t>NORRBOTTENS LÄN</t>
        </is>
      </c>
      <c r="E4253" t="inlineStr">
        <is>
          <t>JOKKMOKK</t>
        </is>
      </c>
      <c r="F4253" t="inlineStr">
        <is>
          <t>SCA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29857-2025</t>
        </is>
      </c>
      <c r="B4254" s="1" t="n">
        <v>45826.3453125</v>
      </c>
      <c r="C4254" s="1" t="n">
        <v>45895</v>
      </c>
      <c r="D4254" t="inlineStr">
        <is>
          <t>NORRBOTTENS LÄN</t>
        </is>
      </c>
      <c r="E4254" t="inlineStr">
        <is>
          <t>JOKKMOKK</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34863-2022</t>
        </is>
      </c>
      <c r="B4255" s="1" t="n">
        <v>44795</v>
      </c>
      <c r="C4255" s="1" t="n">
        <v>45895</v>
      </c>
      <c r="D4255" t="inlineStr">
        <is>
          <t>NORRBOTTENS LÄN</t>
        </is>
      </c>
      <c r="E4255" t="inlineStr">
        <is>
          <t>ÄLVSBYN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29896-2025</t>
        </is>
      </c>
      <c r="B4256" s="1" t="n">
        <v>45826.38290509259</v>
      </c>
      <c r="C4256" s="1" t="n">
        <v>45895</v>
      </c>
      <c r="D4256" t="inlineStr">
        <is>
          <t>NORRBOTTENS LÄN</t>
        </is>
      </c>
      <c r="E4256" t="inlineStr">
        <is>
          <t>LULEÅ</t>
        </is>
      </c>
      <c r="G4256" t="n">
        <v>17.9</v>
      </c>
      <c r="H4256" t="n">
        <v>0</v>
      </c>
      <c r="I4256" t="n">
        <v>0</v>
      </c>
      <c r="J4256" t="n">
        <v>0</v>
      </c>
      <c r="K4256" t="n">
        <v>0</v>
      </c>
      <c r="L4256" t="n">
        <v>0</v>
      </c>
      <c r="M4256" t="n">
        <v>0</v>
      </c>
      <c r="N4256" t="n">
        <v>0</v>
      </c>
      <c r="O4256" t="n">
        <v>0</v>
      </c>
      <c r="P4256" t="n">
        <v>0</v>
      </c>
      <c r="Q4256" t="n">
        <v>0</v>
      </c>
      <c r="R4256" s="2" t="inlineStr"/>
    </row>
    <row r="4257" ht="15" customHeight="1">
      <c r="A4257" t="inlineStr">
        <is>
          <t>A 27448-2024</t>
        </is>
      </c>
      <c r="B4257" s="1" t="n">
        <v>45474</v>
      </c>
      <c r="C4257" s="1" t="n">
        <v>45895</v>
      </c>
      <c r="D4257" t="inlineStr">
        <is>
          <t>NORRBOTTENS LÄN</t>
        </is>
      </c>
      <c r="E4257" t="inlineStr">
        <is>
          <t>PAJALA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52733-2024</t>
        </is>
      </c>
      <c r="B4258" s="1" t="n">
        <v>45610</v>
      </c>
      <c r="C4258" s="1" t="n">
        <v>45895</v>
      </c>
      <c r="D4258" t="inlineStr">
        <is>
          <t>NORRBOTTENS LÄN</t>
        </is>
      </c>
      <c r="E4258" t="inlineStr">
        <is>
          <t>JOKKMOKK</t>
        </is>
      </c>
      <c r="F4258" t="inlineStr">
        <is>
          <t>Allmännings- och besparingsskogar</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25627-2022</t>
        </is>
      </c>
      <c r="B4259" s="1" t="n">
        <v>44732.92724537037</v>
      </c>
      <c r="C4259" s="1" t="n">
        <v>45895</v>
      </c>
      <c r="D4259" t="inlineStr">
        <is>
          <t>NORRBOTTENS LÄN</t>
        </is>
      </c>
      <c r="E4259" t="inlineStr">
        <is>
          <t>BODEN</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52855-2024</t>
        </is>
      </c>
      <c r="B4260" s="1" t="n">
        <v>45610</v>
      </c>
      <c r="C4260" s="1" t="n">
        <v>45895</v>
      </c>
      <c r="D4260" t="inlineStr">
        <is>
          <t>NORRBOTTENS LÄN</t>
        </is>
      </c>
      <c r="E4260" t="inlineStr">
        <is>
          <t>JOKKMOKK</t>
        </is>
      </c>
      <c r="F4260" t="inlineStr">
        <is>
          <t>Allmännings- och besparingsskogar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34145-2023</t>
        </is>
      </c>
      <c r="B4261" s="1" t="n">
        <v>45136</v>
      </c>
      <c r="C4261" s="1" t="n">
        <v>45895</v>
      </c>
      <c r="D4261" t="inlineStr">
        <is>
          <t>NORRBOTTENS LÄN</t>
        </is>
      </c>
      <c r="E4261" t="inlineStr">
        <is>
          <t>ÖVERTORNEÅ</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16006-2024</t>
        </is>
      </c>
      <c r="B4262" s="1" t="n">
        <v>45405</v>
      </c>
      <c r="C4262" s="1" t="n">
        <v>45895</v>
      </c>
      <c r="D4262" t="inlineStr">
        <is>
          <t>NORRBOTTENS LÄN</t>
        </is>
      </c>
      <c r="E4262" t="inlineStr">
        <is>
          <t>ÖVERTORNEÅ</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53824-2024</t>
        </is>
      </c>
      <c r="B4263" s="1" t="n">
        <v>45615.61038194445</v>
      </c>
      <c r="C4263" s="1" t="n">
        <v>45895</v>
      </c>
      <c r="D4263" t="inlineStr">
        <is>
          <t>NORRBOTTENS LÄN</t>
        </is>
      </c>
      <c r="E4263" t="inlineStr">
        <is>
          <t>GÄLLIVARE</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11919-2023</t>
        </is>
      </c>
      <c r="B4264" s="1" t="n">
        <v>44993</v>
      </c>
      <c r="C4264" s="1" t="n">
        <v>45895</v>
      </c>
      <c r="D4264" t="inlineStr">
        <is>
          <t>NORRBOTTENS LÄN</t>
        </is>
      </c>
      <c r="E4264" t="inlineStr">
        <is>
          <t>ÖVERKALIX</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11930-2023</t>
        </is>
      </c>
      <c r="B4265" s="1" t="n">
        <v>44994</v>
      </c>
      <c r="C4265" s="1" t="n">
        <v>45895</v>
      </c>
      <c r="D4265" t="inlineStr">
        <is>
          <t>NORRBOTTENS LÄN</t>
        </is>
      </c>
      <c r="E4265" t="inlineStr">
        <is>
          <t>BODEN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52200-2024</t>
        </is>
      </c>
      <c r="B4266" s="1" t="n">
        <v>45607</v>
      </c>
      <c r="C4266" s="1" t="n">
        <v>45895</v>
      </c>
      <c r="D4266" t="inlineStr">
        <is>
          <t>NORRBOTTENS LÄN</t>
        </is>
      </c>
      <c r="E4266" t="inlineStr">
        <is>
          <t>PITEÅ</t>
        </is>
      </c>
      <c r="G4266" t="n">
        <v>19.4</v>
      </c>
      <c r="H4266" t="n">
        <v>0</v>
      </c>
      <c r="I4266" t="n">
        <v>0</v>
      </c>
      <c r="J4266" t="n">
        <v>0</v>
      </c>
      <c r="K4266" t="n">
        <v>0</v>
      </c>
      <c r="L4266" t="n">
        <v>0</v>
      </c>
      <c r="M4266" t="n">
        <v>0</v>
      </c>
      <c r="N4266" t="n">
        <v>0</v>
      </c>
      <c r="O4266" t="n">
        <v>0</v>
      </c>
      <c r="P4266" t="n">
        <v>0</v>
      </c>
      <c r="Q4266" t="n">
        <v>0</v>
      </c>
      <c r="R4266" s="2" t="inlineStr"/>
    </row>
    <row r="4267" ht="15" customHeight="1">
      <c r="A4267" t="inlineStr">
        <is>
          <t>A 36357-2025</t>
        </is>
      </c>
      <c r="B4267" s="1" t="n">
        <v>45868.5107175926</v>
      </c>
      <c r="C4267" s="1" t="n">
        <v>45895</v>
      </c>
      <c r="D4267" t="inlineStr">
        <is>
          <t>NORRBOTTENS LÄN</t>
        </is>
      </c>
      <c r="E4267" t="inlineStr">
        <is>
          <t>JOKKMOKK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62452-2022</t>
        </is>
      </c>
      <c r="B4268" s="1" t="n">
        <v>44916</v>
      </c>
      <c r="C4268" s="1" t="n">
        <v>45895</v>
      </c>
      <c r="D4268" t="inlineStr">
        <is>
          <t>NORRBOTTENS LÄN</t>
        </is>
      </c>
      <c r="E4268" t="inlineStr">
        <is>
          <t>KIRUNA</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2547-2025</t>
        </is>
      </c>
      <c r="B4269" s="1" t="n">
        <v>45674.63210648148</v>
      </c>
      <c r="C4269" s="1" t="n">
        <v>45895</v>
      </c>
      <c r="D4269" t="inlineStr">
        <is>
          <t>NORRBOTTENS LÄN</t>
        </is>
      </c>
      <c r="E4269" t="inlineStr">
        <is>
          <t>BODEN</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29518-2025</t>
        </is>
      </c>
      <c r="B4270" s="1" t="n">
        <v>45825.32150462963</v>
      </c>
      <c r="C4270" s="1" t="n">
        <v>45895</v>
      </c>
      <c r="D4270" t="inlineStr">
        <is>
          <t>NORRBOTTENS LÄN</t>
        </is>
      </c>
      <c r="E4270" t="inlineStr">
        <is>
          <t>ARVIDSJAUR</t>
        </is>
      </c>
      <c r="F4270" t="inlineStr">
        <is>
          <t>Sveaskog</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30035-2025</t>
        </is>
      </c>
      <c r="B4271" s="1" t="n">
        <v>45826.57041666667</v>
      </c>
      <c r="C4271" s="1" t="n">
        <v>45895</v>
      </c>
      <c r="D4271" t="inlineStr">
        <is>
          <t>NORRBOTTENS LÄN</t>
        </is>
      </c>
      <c r="E4271" t="inlineStr">
        <is>
          <t>LULEÅ</t>
        </is>
      </c>
      <c r="G4271" t="n">
        <v>16.6</v>
      </c>
      <c r="H4271" t="n">
        <v>0</v>
      </c>
      <c r="I4271" t="n">
        <v>0</v>
      </c>
      <c r="J4271" t="n">
        <v>0</v>
      </c>
      <c r="K4271" t="n">
        <v>0</v>
      </c>
      <c r="L4271" t="n">
        <v>0</v>
      </c>
      <c r="M4271" t="n">
        <v>0</v>
      </c>
      <c r="N4271" t="n">
        <v>0</v>
      </c>
      <c r="O4271" t="n">
        <v>0</v>
      </c>
      <c r="P4271" t="n">
        <v>0</v>
      </c>
      <c r="Q4271" t="n">
        <v>0</v>
      </c>
      <c r="R4271" s="2" t="inlineStr"/>
    </row>
    <row r="4272" ht="15" customHeight="1">
      <c r="A4272" t="inlineStr">
        <is>
          <t>A 30048-2025</t>
        </is>
      </c>
      <c r="B4272" s="1" t="n">
        <v>45826.58424768518</v>
      </c>
      <c r="C4272" s="1" t="n">
        <v>45895</v>
      </c>
      <c r="D4272" t="inlineStr">
        <is>
          <t>NORRBOTTENS LÄN</t>
        </is>
      </c>
      <c r="E4272" t="inlineStr">
        <is>
          <t>LULEÅ</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30052-2025</t>
        </is>
      </c>
      <c r="B4273" s="1" t="n">
        <v>45826.59502314815</v>
      </c>
      <c r="C4273" s="1" t="n">
        <v>45895</v>
      </c>
      <c r="D4273" t="inlineStr">
        <is>
          <t>NORRBOTTENS LÄN</t>
        </is>
      </c>
      <c r="E4273" t="inlineStr">
        <is>
          <t>LULEÅ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62460-2022</t>
        </is>
      </c>
      <c r="B4274" s="1" t="n">
        <v>44916</v>
      </c>
      <c r="C4274" s="1" t="n">
        <v>45895</v>
      </c>
      <c r="D4274" t="inlineStr">
        <is>
          <t>NORRBOTTENS LÄN</t>
        </is>
      </c>
      <c r="E4274" t="inlineStr">
        <is>
          <t>KIRUNA</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31635-2022</t>
        </is>
      </c>
      <c r="B4275" s="1" t="n">
        <v>44775.92741898148</v>
      </c>
      <c r="C4275" s="1" t="n">
        <v>45895</v>
      </c>
      <c r="D4275" t="inlineStr">
        <is>
          <t>NORRBOTTENS LÄN</t>
        </is>
      </c>
      <c r="E4275" t="inlineStr">
        <is>
          <t>PITEÅ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21275-2025</t>
        </is>
      </c>
      <c r="B4276" s="1" t="n">
        <v>45779</v>
      </c>
      <c r="C4276" s="1" t="n">
        <v>45895</v>
      </c>
      <c r="D4276" t="inlineStr">
        <is>
          <t>NORRBOTTENS LÄN</t>
        </is>
      </c>
      <c r="E4276" t="inlineStr">
        <is>
          <t>GÄLLIVARE</t>
        </is>
      </c>
      <c r="F4276" t="inlineStr">
        <is>
          <t>SCA</t>
        </is>
      </c>
      <c r="G4276" t="n">
        <v>18.2</v>
      </c>
      <c r="H4276" t="n">
        <v>0</v>
      </c>
      <c r="I4276" t="n">
        <v>0</v>
      </c>
      <c r="J4276" t="n">
        <v>0</v>
      </c>
      <c r="K4276" t="n">
        <v>0</v>
      </c>
      <c r="L4276" t="n">
        <v>0</v>
      </c>
      <c r="M4276" t="n">
        <v>0</v>
      </c>
      <c r="N4276" t="n">
        <v>0</v>
      </c>
      <c r="O4276" t="n">
        <v>0</v>
      </c>
      <c r="P4276" t="n">
        <v>0</v>
      </c>
      <c r="Q4276" t="n">
        <v>0</v>
      </c>
      <c r="R4276" s="2" t="inlineStr"/>
    </row>
    <row r="4277" ht="15" customHeight="1">
      <c r="A4277" t="inlineStr">
        <is>
          <t>A 53683-2024</t>
        </is>
      </c>
      <c r="B4277" s="1" t="n">
        <v>45612</v>
      </c>
      <c r="C4277" s="1" t="n">
        <v>45895</v>
      </c>
      <c r="D4277" t="inlineStr">
        <is>
          <t>NORRBOTTENS LÄN</t>
        </is>
      </c>
      <c r="E4277" t="inlineStr">
        <is>
          <t>ARVIDSJAUR</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472-2023</t>
        </is>
      </c>
      <c r="B4278" s="1" t="n">
        <v>44929.92539351852</v>
      </c>
      <c r="C4278" s="1" t="n">
        <v>45895</v>
      </c>
      <c r="D4278" t="inlineStr">
        <is>
          <t>NORRBOTTENS LÄN</t>
        </is>
      </c>
      <c r="E4278" t="inlineStr">
        <is>
          <t>PITEÅ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473-2023</t>
        </is>
      </c>
      <c r="B4279" s="1" t="n">
        <v>44929.92534722222</v>
      </c>
      <c r="C4279" s="1" t="n">
        <v>45895</v>
      </c>
      <c r="D4279" t="inlineStr">
        <is>
          <t>NORRBOTTENS LÄN</t>
        </is>
      </c>
      <c r="E4279" t="inlineStr">
        <is>
          <t>PITEÅ</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49575-2020</t>
        </is>
      </c>
      <c r="B4280" s="1" t="n">
        <v>44099</v>
      </c>
      <c r="C4280" s="1" t="n">
        <v>45895</v>
      </c>
      <c r="D4280" t="inlineStr">
        <is>
          <t>NORRBOTTENS LÄN</t>
        </is>
      </c>
      <c r="E4280" t="inlineStr">
        <is>
          <t>HAPARANDA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29971-2025</t>
        </is>
      </c>
      <c r="B4281" s="1" t="n">
        <v>45826.49025462963</v>
      </c>
      <c r="C4281" s="1" t="n">
        <v>45895</v>
      </c>
      <c r="D4281" t="inlineStr">
        <is>
          <t>NORRBOTTENS LÄN</t>
        </is>
      </c>
      <c r="E4281" t="inlineStr">
        <is>
          <t>BODEN</t>
        </is>
      </c>
      <c r="F4281" t="inlineStr">
        <is>
          <t>SCA</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5702-2024</t>
        </is>
      </c>
      <c r="B4282" s="1" t="n">
        <v>45334</v>
      </c>
      <c r="C4282" s="1" t="n">
        <v>45895</v>
      </c>
      <c r="D4282" t="inlineStr">
        <is>
          <t>NORRBOTTENS LÄN</t>
        </is>
      </c>
      <c r="E4282" t="inlineStr">
        <is>
          <t>ARVIDSJAUR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1195-2025</t>
        </is>
      </c>
      <c r="B4283" s="1" t="n">
        <v>45667.37811342593</v>
      </c>
      <c r="C4283" s="1" t="n">
        <v>45895</v>
      </c>
      <c r="D4283" t="inlineStr">
        <is>
          <t>NORRBOTTENS LÄN</t>
        </is>
      </c>
      <c r="E4283" t="inlineStr">
        <is>
          <t>BODEN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29625-2025</t>
        </is>
      </c>
      <c r="B4284" s="1" t="n">
        <v>45825.44418981481</v>
      </c>
      <c r="C4284" s="1" t="n">
        <v>45895</v>
      </c>
      <c r="D4284" t="inlineStr">
        <is>
          <t>NORRBOTTENS LÄN</t>
        </is>
      </c>
      <c r="E4284" t="inlineStr">
        <is>
          <t>KALIX</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29655-2025</t>
        </is>
      </c>
      <c r="B4285" s="1" t="n">
        <v>45825.4837962963</v>
      </c>
      <c r="C4285" s="1" t="n">
        <v>45895</v>
      </c>
      <c r="D4285" t="inlineStr">
        <is>
          <t>NORRBOTTENS LÄN</t>
        </is>
      </c>
      <c r="E4285" t="inlineStr">
        <is>
          <t>KALIX</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4055-2024</t>
        </is>
      </c>
      <c r="B4286" s="1" t="n">
        <v>45323</v>
      </c>
      <c r="C4286" s="1" t="n">
        <v>45895</v>
      </c>
      <c r="D4286" t="inlineStr">
        <is>
          <t>NORRBOTTENS LÄN</t>
        </is>
      </c>
      <c r="E4286" t="inlineStr">
        <is>
          <t>BODEN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64816-2023</t>
        </is>
      </c>
      <c r="B4287" s="1" t="n">
        <v>45281</v>
      </c>
      <c r="C4287" s="1" t="n">
        <v>45895</v>
      </c>
      <c r="D4287" t="inlineStr">
        <is>
          <t>NORRBOTTENS LÄN</t>
        </is>
      </c>
      <c r="E4287" t="inlineStr">
        <is>
          <t>ARJEPLOG</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3185-2025</t>
        </is>
      </c>
      <c r="B4288" s="1" t="n">
        <v>45679.40358796297</v>
      </c>
      <c r="C4288" s="1" t="n">
        <v>45895</v>
      </c>
      <c r="D4288" t="inlineStr">
        <is>
          <t>NORRBOTTENS LÄN</t>
        </is>
      </c>
      <c r="E4288" t="inlineStr">
        <is>
          <t>LULEÅ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29532-2025</t>
        </is>
      </c>
      <c r="B4289" s="1" t="n">
        <v>45825.34456018519</v>
      </c>
      <c r="C4289" s="1" t="n">
        <v>45895</v>
      </c>
      <c r="D4289" t="inlineStr">
        <is>
          <t>NORRBOTTENS LÄN</t>
        </is>
      </c>
      <c r="E4289" t="inlineStr">
        <is>
          <t>ÖVERKALIX</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838-2025</t>
        </is>
      </c>
      <c r="B4290" s="1" t="n">
        <v>45665</v>
      </c>
      <c r="C4290" s="1" t="n">
        <v>45895</v>
      </c>
      <c r="D4290" t="inlineStr">
        <is>
          <t>NORRBOTTENS LÄN</t>
        </is>
      </c>
      <c r="E4290" t="inlineStr">
        <is>
          <t>GÄLLIVARE</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54026-2023</t>
        </is>
      </c>
      <c r="B4291" s="1" t="n">
        <v>45231</v>
      </c>
      <c r="C4291" s="1" t="n">
        <v>45895</v>
      </c>
      <c r="D4291" t="inlineStr">
        <is>
          <t>NORRBOTTENS LÄN</t>
        </is>
      </c>
      <c r="E4291" t="inlineStr">
        <is>
          <t>ÖVERKALIX</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40240-2023</t>
        </is>
      </c>
      <c r="B4292" s="1" t="n">
        <v>45169.48806712963</v>
      </c>
      <c r="C4292" s="1" t="n">
        <v>45895</v>
      </c>
      <c r="D4292" t="inlineStr">
        <is>
          <t>NORRBOTTENS LÄN</t>
        </is>
      </c>
      <c r="E4292" t="inlineStr">
        <is>
          <t>PAJALA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42796-2022</t>
        </is>
      </c>
      <c r="B4293" s="1" t="n">
        <v>44832.58216435185</v>
      </c>
      <c r="C4293" s="1" t="n">
        <v>45895</v>
      </c>
      <c r="D4293" t="inlineStr">
        <is>
          <t>NORRBOTTENS LÄN</t>
        </is>
      </c>
      <c r="E4293" t="inlineStr">
        <is>
          <t>PAJALA</t>
        </is>
      </c>
      <c r="G4293" t="n">
        <v>31.1</v>
      </c>
      <c r="H4293" t="n">
        <v>0</v>
      </c>
      <c r="I4293" t="n">
        <v>0</v>
      </c>
      <c r="J4293" t="n">
        <v>0</v>
      </c>
      <c r="K4293" t="n">
        <v>0</v>
      </c>
      <c r="L4293" t="n">
        <v>0</v>
      </c>
      <c r="M4293" t="n">
        <v>0</v>
      </c>
      <c r="N4293" t="n">
        <v>0</v>
      </c>
      <c r="O4293" t="n">
        <v>0</v>
      </c>
      <c r="P4293" t="n">
        <v>0</v>
      </c>
      <c r="Q4293" t="n">
        <v>0</v>
      </c>
      <c r="R4293" s="2" t="inlineStr"/>
    </row>
    <row r="4294" ht="15" customHeight="1">
      <c r="A4294" t="inlineStr">
        <is>
          <t>A 29504-2025</t>
        </is>
      </c>
      <c r="B4294" s="1" t="n">
        <v>45825</v>
      </c>
      <c r="C4294" s="1" t="n">
        <v>45895</v>
      </c>
      <c r="D4294" t="inlineStr">
        <is>
          <t>NORRBOTTENS LÄN</t>
        </is>
      </c>
      <c r="E4294" t="inlineStr">
        <is>
          <t>ARVIDSJAUR</t>
        </is>
      </c>
      <c r="F4294" t="inlineStr">
        <is>
          <t>Sveaskog</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8272-2023</t>
        </is>
      </c>
      <c r="B4295" s="1" t="n">
        <v>44974.63518518519</v>
      </c>
      <c r="C4295" s="1" t="n">
        <v>45895</v>
      </c>
      <c r="D4295" t="inlineStr">
        <is>
          <t>NORRBOTTENS LÄN</t>
        </is>
      </c>
      <c r="E4295" t="inlineStr">
        <is>
          <t>KALIX</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60476-2022</t>
        </is>
      </c>
      <c r="B4296" s="1" t="n">
        <v>44911.4128587963</v>
      </c>
      <c r="C4296" s="1" t="n">
        <v>45895</v>
      </c>
      <c r="D4296" t="inlineStr">
        <is>
          <t>NORRBOTTENS LÄN</t>
        </is>
      </c>
      <c r="E4296" t="inlineStr">
        <is>
          <t>PITEÅ</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23730-2023</t>
        </is>
      </c>
      <c r="B4297" s="1" t="n">
        <v>45077</v>
      </c>
      <c r="C4297" s="1" t="n">
        <v>45895</v>
      </c>
      <c r="D4297" t="inlineStr">
        <is>
          <t>NORRBOTTENS LÄN</t>
        </is>
      </c>
      <c r="E4297" t="inlineStr">
        <is>
          <t>LULEÅ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16265-2021</t>
        </is>
      </c>
      <c r="B4298" s="1" t="n">
        <v>44292</v>
      </c>
      <c r="C4298" s="1" t="n">
        <v>45895</v>
      </c>
      <c r="D4298" t="inlineStr">
        <is>
          <t>NORRBOTTENS LÄN</t>
        </is>
      </c>
      <c r="E4298" t="inlineStr">
        <is>
          <t>PITEÅ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30056-2025</t>
        </is>
      </c>
      <c r="B4299" s="1" t="n">
        <v>45826.6047800926</v>
      </c>
      <c r="C4299" s="1" t="n">
        <v>45895</v>
      </c>
      <c r="D4299" t="inlineStr">
        <is>
          <t>NORRBOTTENS LÄN</t>
        </is>
      </c>
      <c r="E4299" t="inlineStr">
        <is>
          <t>LULEÅ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29907-2025</t>
        </is>
      </c>
      <c r="B4300" s="1" t="n">
        <v>45826.40111111111</v>
      </c>
      <c r="C4300" s="1" t="n">
        <v>45895</v>
      </c>
      <c r="D4300" t="inlineStr">
        <is>
          <t>NORRBOTTENS LÄN</t>
        </is>
      </c>
      <c r="E4300" t="inlineStr">
        <is>
          <t>ÖVERTORNEÅ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50496-2024</t>
        </is>
      </c>
      <c r="B4301" s="1" t="n">
        <v>45601.51266203704</v>
      </c>
      <c r="C4301" s="1" t="n">
        <v>45895</v>
      </c>
      <c r="D4301" t="inlineStr">
        <is>
          <t>NORRBOTTENS LÄN</t>
        </is>
      </c>
      <c r="E4301" t="inlineStr">
        <is>
          <t>JOKKMOKK</t>
        </is>
      </c>
      <c r="F4301" t="inlineStr">
        <is>
          <t>Allmännings- och besparingsskogar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29530-2025</t>
        </is>
      </c>
      <c r="B4302" s="1" t="n">
        <v>45825.3443287037</v>
      </c>
      <c r="C4302" s="1" t="n">
        <v>45895</v>
      </c>
      <c r="D4302" t="inlineStr">
        <is>
          <t>NORRBOTTENS LÄN</t>
        </is>
      </c>
      <c r="E4302" t="inlineStr">
        <is>
          <t>LULEÅ</t>
        </is>
      </c>
      <c r="F4302" t="inlineStr">
        <is>
          <t>SCA</t>
        </is>
      </c>
      <c r="G4302" t="n">
        <v>17.5</v>
      </c>
      <c r="H4302" t="n">
        <v>0</v>
      </c>
      <c r="I4302" t="n">
        <v>0</v>
      </c>
      <c r="J4302" t="n">
        <v>0</v>
      </c>
      <c r="K4302" t="n">
        <v>0</v>
      </c>
      <c r="L4302" t="n">
        <v>0</v>
      </c>
      <c r="M4302" t="n">
        <v>0</v>
      </c>
      <c r="N4302" t="n">
        <v>0</v>
      </c>
      <c r="O4302" t="n">
        <v>0</v>
      </c>
      <c r="P4302" t="n">
        <v>0</v>
      </c>
      <c r="Q4302" t="n">
        <v>0</v>
      </c>
      <c r="R4302" s="2" t="inlineStr"/>
    </row>
    <row r="4303" ht="15" customHeight="1">
      <c r="A4303" t="inlineStr">
        <is>
          <t>A 63197-2023</t>
        </is>
      </c>
      <c r="B4303" s="1" t="n">
        <v>45273.60528935185</v>
      </c>
      <c r="C4303" s="1" t="n">
        <v>45895</v>
      </c>
      <c r="D4303" t="inlineStr">
        <is>
          <t>NORRBOTTENS LÄN</t>
        </is>
      </c>
      <c r="E4303" t="inlineStr">
        <is>
          <t>PITEÅ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59516-2022</t>
        </is>
      </c>
      <c r="B4304" s="1" t="n">
        <v>44907.52800925926</v>
      </c>
      <c r="C4304" s="1" t="n">
        <v>45895</v>
      </c>
      <c r="D4304" t="inlineStr">
        <is>
          <t>NORRBOTTENS LÄN</t>
        </is>
      </c>
      <c r="E4304" t="inlineStr">
        <is>
          <t>PITEÅ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21441-2021</t>
        </is>
      </c>
      <c r="B4305" s="1" t="n">
        <v>44321</v>
      </c>
      <c r="C4305" s="1" t="n">
        <v>45895</v>
      </c>
      <c r="D4305" t="inlineStr">
        <is>
          <t>NORRBOTTENS LÄN</t>
        </is>
      </c>
      <c r="E4305" t="inlineStr">
        <is>
          <t>GÄLLIVARE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4405-2023</t>
        </is>
      </c>
      <c r="B4306" s="1" t="n">
        <v>44956.36164351852</v>
      </c>
      <c r="C4306" s="1" t="n">
        <v>45895</v>
      </c>
      <c r="D4306" t="inlineStr">
        <is>
          <t>NORRBOTTENS LÄN</t>
        </is>
      </c>
      <c r="E4306" t="inlineStr">
        <is>
          <t>KALIX</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40926-2024</t>
        </is>
      </c>
      <c r="B4307" s="1" t="n">
        <v>45558</v>
      </c>
      <c r="C4307" s="1" t="n">
        <v>45895</v>
      </c>
      <c r="D4307" t="inlineStr">
        <is>
          <t>NORRBOTTENS LÄN</t>
        </is>
      </c>
      <c r="E4307" t="inlineStr">
        <is>
          <t>PAJALA</t>
        </is>
      </c>
      <c r="G4307" t="n">
        <v>28.7</v>
      </c>
      <c r="H4307" t="n">
        <v>0</v>
      </c>
      <c r="I4307" t="n">
        <v>0</v>
      </c>
      <c r="J4307" t="n">
        <v>0</v>
      </c>
      <c r="K4307" t="n">
        <v>0</v>
      </c>
      <c r="L4307" t="n">
        <v>0</v>
      </c>
      <c r="M4307" t="n">
        <v>0</v>
      </c>
      <c r="N4307" t="n">
        <v>0</v>
      </c>
      <c r="O4307" t="n">
        <v>0</v>
      </c>
      <c r="P4307" t="n">
        <v>0</v>
      </c>
      <c r="Q4307" t="n">
        <v>0</v>
      </c>
      <c r="R4307" s="2" t="inlineStr"/>
    </row>
    <row r="4308" ht="15" customHeight="1">
      <c r="A4308" t="inlineStr">
        <is>
          <t>A 53794-2024</t>
        </is>
      </c>
      <c r="B4308" s="1" t="n">
        <v>45615.57726851852</v>
      </c>
      <c r="C4308" s="1" t="n">
        <v>45895</v>
      </c>
      <c r="D4308" t="inlineStr">
        <is>
          <t>NORRBOTTENS LÄN</t>
        </is>
      </c>
      <c r="E4308" t="inlineStr">
        <is>
          <t>GÄLLIVARE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53822-2024</t>
        </is>
      </c>
      <c r="B4309" s="1" t="n">
        <v>45614</v>
      </c>
      <c r="C4309" s="1" t="n">
        <v>45895</v>
      </c>
      <c r="D4309" t="inlineStr">
        <is>
          <t>NORRBOTTENS LÄN</t>
        </is>
      </c>
      <c r="E4309" t="inlineStr">
        <is>
          <t>ARJEPLOG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44952-2024</t>
        </is>
      </c>
      <c r="B4310" s="1" t="n">
        <v>45575.4482175926</v>
      </c>
      <c r="C4310" s="1" t="n">
        <v>45895</v>
      </c>
      <c r="D4310" t="inlineStr">
        <is>
          <t>NORRBOTTENS LÄN</t>
        </is>
      </c>
      <c r="E4310" t="inlineStr">
        <is>
          <t>ÖVERKALIX</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7159-2023</t>
        </is>
      </c>
      <c r="B4311" s="1" t="n">
        <v>44970</v>
      </c>
      <c r="C4311" s="1" t="n">
        <v>45895</v>
      </c>
      <c r="D4311" t="inlineStr">
        <is>
          <t>NORRBOTTENS LÄN</t>
        </is>
      </c>
      <c r="E4311" t="inlineStr">
        <is>
          <t>BODEN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7184-2023</t>
        </is>
      </c>
      <c r="B4312" s="1" t="n">
        <v>44970.52166666667</v>
      </c>
      <c r="C4312" s="1" t="n">
        <v>45895</v>
      </c>
      <c r="D4312" t="inlineStr">
        <is>
          <t>NORRBOTTENS LÄN</t>
        </is>
      </c>
      <c r="E4312" t="inlineStr">
        <is>
          <t>KALIX</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7196-2023</t>
        </is>
      </c>
      <c r="B4313" s="1" t="n">
        <v>44970.54061342592</v>
      </c>
      <c r="C4313" s="1" t="n">
        <v>45895</v>
      </c>
      <c r="D4313" t="inlineStr">
        <is>
          <t>NORRBOTTENS LÄN</t>
        </is>
      </c>
      <c r="E4313" t="inlineStr">
        <is>
          <t>KALIX</t>
        </is>
      </c>
      <c r="G4313" t="n">
        <v>16.9</v>
      </c>
      <c r="H4313" t="n">
        <v>0</v>
      </c>
      <c r="I4313" t="n">
        <v>0</v>
      </c>
      <c r="J4313" t="n">
        <v>0</v>
      </c>
      <c r="K4313" t="n">
        <v>0</v>
      </c>
      <c r="L4313" t="n">
        <v>0</v>
      </c>
      <c r="M4313" t="n">
        <v>0</v>
      </c>
      <c r="N4313" t="n">
        <v>0</v>
      </c>
      <c r="O4313" t="n">
        <v>0</v>
      </c>
      <c r="P4313" t="n">
        <v>0</v>
      </c>
      <c r="Q4313" t="n">
        <v>0</v>
      </c>
      <c r="R4313" s="2" t="inlineStr"/>
    </row>
    <row r="4314" ht="15" customHeight="1">
      <c r="A4314" t="inlineStr">
        <is>
          <t>A 26435-2024</t>
        </is>
      </c>
      <c r="B4314" s="1" t="n">
        <v>45469.48792824074</v>
      </c>
      <c r="C4314" s="1" t="n">
        <v>45895</v>
      </c>
      <c r="D4314" t="inlineStr">
        <is>
          <t>NORRBOTTENS LÄN</t>
        </is>
      </c>
      <c r="E4314" t="inlineStr">
        <is>
          <t>GÄLLIVARE</t>
        </is>
      </c>
      <c r="G4314" t="n">
        <v>31.9</v>
      </c>
      <c r="H4314" t="n">
        <v>0</v>
      </c>
      <c r="I4314" t="n">
        <v>0</v>
      </c>
      <c r="J4314" t="n">
        <v>0</v>
      </c>
      <c r="K4314" t="n">
        <v>0</v>
      </c>
      <c r="L4314" t="n">
        <v>0</v>
      </c>
      <c r="M4314" t="n">
        <v>0</v>
      </c>
      <c r="N4314" t="n">
        <v>0</v>
      </c>
      <c r="O4314" t="n">
        <v>0</v>
      </c>
      <c r="P4314" t="n">
        <v>0</v>
      </c>
      <c r="Q4314" t="n">
        <v>0</v>
      </c>
      <c r="R4314" s="2" t="inlineStr"/>
    </row>
    <row r="4315" ht="15" customHeight="1">
      <c r="A4315" t="inlineStr">
        <is>
          <t>A 26479-2024</t>
        </is>
      </c>
      <c r="B4315" s="1" t="n">
        <v>45468</v>
      </c>
      <c r="C4315" s="1" t="n">
        <v>45895</v>
      </c>
      <c r="D4315" t="inlineStr">
        <is>
          <t>NORRBOTTENS LÄN</t>
        </is>
      </c>
      <c r="E4315" t="inlineStr">
        <is>
          <t>ARJEPLOG</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51561-2024</t>
        </is>
      </c>
      <c r="B4316" s="1" t="n">
        <v>45604</v>
      </c>
      <c r="C4316" s="1" t="n">
        <v>45895</v>
      </c>
      <c r="D4316" t="inlineStr">
        <is>
          <t>NORRBOTTENS LÄN</t>
        </is>
      </c>
      <c r="E4316" t="inlineStr">
        <is>
          <t>ÖVERKALIX</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48358-2024</t>
        </is>
      </c>
      <c r="B4317" s="1" t="n">
        <v>45590</v>
      </c>
      <c r="C4317" s="1" t="n">
        <v>45895</v>
      </c>
      <c r="D4317" t="inlineStr">
        <is>
          <t>NORRBOTTENS LÄN</t>
        </is>
      </c>
      <c r="E4317" t="inlineStr">
        <is>
          <t>ARVIDSJAUR</t>
        </is>
      </c>
      <c r="F4317" t="inlineStr">
        <is>
          <t>Sveaskog</t>
        </is>
      </c>
      <c r="G4317" t="n">
        <v>20.3</v>
      </c>
      <c r="H4317" t="n">
        <v>0</v>
      </c>
      <c r="I4317" t="n">
        <v>0</v>
      </c>
      <c r="J4317" t="n">
        <v>0</v>
      </c>
      <c r="K4317" t="n">
        <v>0</v>
      </c>
      <c r="L4317" t="n">
        <v>0</v>
      </c>
      <c r="M4317" t="n">
        <v>0</v>
      </c>
      <c r="N4317" t="n">
        <v>0</v>
      </c>
      <c r="O4317" t="n">
        <v>0</v>
      </c>
      <c r="P4317" t="n">
        <v>0</v>
      </c>
      <c r="Q4317" t="n">
        <v>0</v>
      </c>
      <c r="R4317" s="2" t="inlineStr"/>
    </row>
    <row r="4318" ht="15" customHeight="1">
      <c r="A4318" t="inlineStr">
        <is>
          <t>A 36325-2025</t>
        </is>
      </c>
      <c r="B4318" s="1" t="n">
        <v>45868.40723379629</v>
      </c>
      <c r="C4318" s="1" t="n">
        <v>45895</v>
      </c>
      <c r="D4318" t="inlineStr">
        <is>
          <t>NORRBOTTENS LÄN</t>
        </is>
      </c>
      <c r="E4318" t="inlineStr">
        <is>
          <t>JOKKMOKK</t>
        </is>
      </c>
      <c r="F4318" t="inlineStr">
        <is>
          <t>SCA</t>
        </is>
      </c>
      <c r="G4318" t="n">
        <v>14.4</v>
      </c>
      <c r="H4318" t="n">
        <v>0</v>
      </c>
      <c r="I4318" t="n">
        <v>0</v>
      </c>
      <c r="J4318" t="n">
        <v>0</v>
      </c>
      <c r="K4318" t="n">
        <v>0</v>
      </c>
      <c r="L4318" t="n">
        <v>0</v>
      </c>
      <c r="M4318" t="n">
        <v>0</v>
      </c>
      <c r="N4318" t="n">
        <v>0</v>
      </c>
      <c r="O4318" t="n">
        <v>0</v>
      </c>
      <c r="P4318" t="n">
        <v>0</v>
      </c>
      <c r="Q4318" t="n">
        <v>0</v>
      </c>
      <c r="R4318" s="2" t="inlineStr"/>
    </row>
    <row r="4319" ht="15" customHeight="1">
      <c r="A4319" t="inlineStr">
        <is>
          <t>A 72212-2021</t>
        </is>
      </c>
      <c r="B4319" s="1" t="n">
        <v>44543</v>
      </c>
      <c r="C4319" s="1" t="n">
        <v>45895</v>
      </c>
      <c r="D4319" t="inlineStr">
        <is>
          <t>NORRBOTTENS LÄN</t>
        </is>
      </c>
      <c r="E4319" t="inlineStr">
        <is>
          <t>ÖVERKALIX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61488-2024</t>
        </is>
      </c>
      <c r="B4320" s="1" t="n">
        <v>45646.54873842592</v>
      </c>
      <c r="C4320" s="1" t="n">
        <v>45895</v>
      </c>
      <c r="D4320" t="inlineStr">
        <is>
          <t>NORRBOTTENS LÄN</t>
        </is>
      </c>
      <c r="E4320" t="inlineStr">
        <is>
          <t>LULEÅ</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59832-2023</t>
        </is>
      </c>
      <c r="B4321" s="1" t="n">
        <v>45257</v>
      </c>
      <c r="C4321" s="1" t="n">
        <v>45895</v>
      </c>
      <c r="D4321" t="inlineStr">
        <is>
          <t>NORRBOTTENS LÄN</t>
        </is>
      </c>
      <c r="E4321" t="inlineStr">
        <is>
          <t>PITEÅ</t>
        </is>
      </c>
      <c r="G4321" t="n">
        <v>10.6</v>
      </c>
      <c r="H4321" t="n">
        <v>0</v>
      </c>
      <c r="I4321" t="n">
        <v>0</v>
      </c>
      <c r="J4321" t="n">
        <v>0</v>
      </c>
      <c r="K4321" t="n">
        <v>0</v>
      </c>
      <c r="L4321" t="n">
        <v>0</v>
      </c>
      <c r="M4321" t="n">
        <v>0</v>
      </c>
      <c r="N4321" t="n">
        <v>0</v>
      </c>
      <c r="O4321" t="n">
        <v>0</v>
      </c>
      <c r="P4321" t="n">
        <v>0</v>
      </c>
      <c r="Q4321" t="n">
        <v>0</v>
      </c>
      <c r="R4321" s="2" t="inlineStr"/>
    </row>
    <row r="4322" ht="15" customHeight="1">
      <c r="A4322" t="inlineStr">
        <is>
          <t>A 61500-2024</t>
        </is>
      </c>
      <c r="B4322" s="1" t="n">
        <v>45645</v>
      </c>
      <c r="C4322" s="1" t="n">
        <v>45895</v>
      </c>
      <c r="D4322" t="inlineStr">
        <is>
          <t>NORRBOTTENS LÄN</t>
        </is>
      </c>
      <c r="E4322" t="inlineStr">
        <is>
          <t>JOKKMOKK</t>
        </is>
      </c>
      <c r="G4322" t="n">
        <v>39.8</v>
      </c>
      <c r="H4322" t="n">
        <v>0</v>
      </c>
      <c r="I4322" t="n">
        <v>0</v>
      </c>
      <c r="J4322" t="n">
        <v>0</v>
      </c>
      <c r="K4322" t="n">
        <v>0</v>
      </c>
      <c r="L4322" t="n">
        <v>0</v>
      </c>
      <c r="M4322" t="n">
        <v>0</v>
      </c>
      <c r="N4322" t="n">
        <v>0</v>
      </c>
      <c r="O4322" t="n">
        <v>0</v>
      </c>
      <c r="P4322" t="n">
        <v>0</v>
      </c>
      <c r="Q4322" t="n">
        <v>0</v>
      </c>
      <c r="R4322" s="2" t="inlineStr"/>
    </row>
    <row r="4323" ht="15" customHeight="1">
      <c r="A4323" t="inlineStr">
        <is>
          <t>A 61513-2024</t>
        </is>
      </c>
      <c r="B4323" s="1" t="n">
        <v>45646.57136574074</v>
      </c>
      <c r="C4323" s="1" t="n">
        <v>45895</v>
      </c>
      <c r="D4323" t="inlineStr">
        <is>
          <t>NORRBOTTENS LÄN</t>
        </is>
      </c>
      <c r="E4323" t="inlineStr">
        <is>
          <t>BODEN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49172-2024</t>
        </is>
      </c>
      <c r="B4324" s="1" t="n">
        <v>45595.31174768518</v>
      </c>
      <c r="C4324" s="1" t="n">
        <v>45895</v>
      </c>
      <c r="D4324" t="inlineStr">
        <is>
          <t>NORRBOTTENS LÄN</t>
        </is>
      </c>
      <c r="E4324" t="inlineStr">
        <is>
          <t>ARVIDSJAUR</t>
        </is>
      </c>
      <c r="F4324" t="inlineStr">
        <is>
          <t>Sveaskog</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29856-2025</t>
        </is>
      </c>
      <c r="B4325" s="1" t="n">
        <v>45826.345</v>
      </c>
      <c r="C4325" s="1" t="n">
        <v>45895</v>
      </c>
      <c r="D4325" t="inlineStr">
        <is>
          <t>NORRBOTTENS LÄN</t>
        </is>
      </c>
      <c r="E4325" t="inlineStr">
        <is>
          <t>JOKKMOKK</t>
        </is>
      </c>
      <c r="F4325" t="inlineStr">
        <is>
          <t>SCA</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29858-2025</t>
        </is>
      </c>
      <c r="B4326" s="1" t="n">
        <v>45826.34565972222</v>
      </c>
      <c r="C4326" s="1" t="n">
        <v>45895</v>
      </c>
      <c r="D4326" t="inlineStr">
        <is>
          <t>NORRBOTTENS LÄN</t>
        </is>
      </c>
      <c r="E4326" t="inlineStr">
        <is>
          <t>JOKKMOKK</t>
        </is>
      </c>
      <c r="F4326" t="inlineStr">
        <is>
          <t>SCA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11741-2025</t>
        </is>
      </c>
      <c r="B4327" s="1" t="n">
        <v>45727</v>
      </c>
      <c r="C4327" s="1" t="n">
        <v>45895</v>
      </c>
      <c r="D4327" t="inlineStr">
        <is>
          <t>NORRBOTTENS LÄN</t>
        </is>
      </c>
      <c r="E4327" t="inlineStr">
        <is>
          <t>ARVIDSJAUR</t>
        </is>
      </c>
      <c r="F4327" t="inlineStr">
        <is>
          <t>Sveaskog</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52976-2024</t>
        </is>
      </c>
      <c r="B4328" s="1" t="n">
        <v>45611.34413194445</v>
      </c>
      <c r="C4328" s="1" t="n">
        <v>45895</v>
      </c>
      <c r="D4328" t="inlineStr">
        <is>
          <t>NORRBOTTENS LÄN</t>
        </is>
      </c>
      <c r="E4328" t="inlineStr">
        <is>
          <t>ÖVERKALIX</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36168-2025</t>
        </is>
      </c>
      <c r="B4329" s="1" t="n">
        <v>45867.38582175926</v>
      </c>
      <c r="C4329" s="1" t="n">
        <v>45895</v>
      </c>
      <c r="D4329" t="inlineStr">
        <is>
          <t>NORRBOTTENS LÄN</t>
        </is>
      </c>
      <c r="E4329" t="inlineStr">
        <is>
          <t>JOKKMOKK</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50255-2023</t>
        </is>
      </c>
      <c r="B4330" s="1" t="n">
        <v>45216</v>
      </c>
      <c r="C4330" s="1" t="n">
        <v>45895</v>
      </c>
      <c r="D4330" t="inlineStr">
        <is>
          <t>NORRBOTTENS LÄN</t>
        </is>
      </c>
      <c r="E4330" t="inlineStr">
        <is>
          <t>ARJEPLOG</t>
        </is>
      </c>
      <c r="G4330" t="n">
        <v>20</v>
      </c>
      <c r="H4330" t="n">
        <v>0</v>
      </c>
      <c r="I4330" t="n">
        <v>0</v>
      </c>
      <c r="J4330" t="n">
        <v>0</v>
      </c>
      <c r="K4330" t="n">
        <v>0</v>
      </c>
      <c r="L4330" t="n">
        <v>0</v>
      </c>
      <c r="M4330" t="n">
        <v>0</v>
      </c>
      <c r="N4330" t="n">
        <v>0</v>
      </c>
      <c r="O4330" t="n">
        <v>0</v>
      </c>
      <c r="P4330" t="n">
        <v>0</v>
      </c>
      <c r="Q4330" t="n">
        <v>0</v>
      </c>
      <c r="R4330" s="2" t="inlineStr"/>
    </row>
    <row r="4331" ht="15" customHeight="1">
      <c r="A4331" t="inlineStr">
        <is>
          <t>A 45929-2023</t>
        </is>
      </c>
      <c r="B4331" s="1" t="n">
        <v>45195.94517361111</v>
      </c>
      <c r="C4331" s="1" t="n">
        <v>45895</v>
      </c>
      <c r="D4331" t="inlineStr">
        <is>
          <t>NORRBOTTENS LÄN</t>
        </is>
      </c>
      <c r="E4331" t="inlineStr">
        <is>
          <t>BODEN</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29667-2025</t>
        </is>
      </c>
      <c r="B4332" s="1" t="n">
        <v>45825</v>
      </c>
      <c r="C4332" s="1" t="n">
        <v>45895</v>
      </c>
      <c r="D4332" t="inlineStr">
        <is>
          <t>NORRBOTTENS LÄN</t>
        </is>
      </c>
      <c r="E4332" t="inlineStr">
        <is>
          <t>ARJEPLOG</t>
        </is>
      </c>
      <c r="F4332" t="inlineStr">
        <is>
          <t>Allmännings- och besparingsskogar</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60-2025</t>
        </is>
      </c>
      <c r="B4333" s="1" t="n">
        <v>45659</v>
      </c>
      <c r="C4333" s="1" t="n">
        <v>45895</v>
      </c>
      <c r="D4333" t="inlineStr">
        <is>
          <t>NORRBOTTENS LÄN</t>
        </is>
      </c>
      <c r="E4333" t="inlineStr">
        <is>
          <t>ÖVERKALIX</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656-2025</t>
        </is>
      </c>
      <c r="B4334" s="1" t="n">
        <v>45661</v>
      </c>
      <c r="C4334" s="1" t="n">
        <v>45895</v>
      </c>
      <c r="D4334" t="inlineStr">
        <is>
          <t>NORRBOTTENS LÄN</t>
        </is>
      </c>
      <c r="E4334" t="inlineStr">
        <is>
          <t>LULEÅ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57906-2023</t>
        </is>
      </c>
      <c r="B4335" s="1" t="n">
        <v>45247.50337962963</v>
      </c>
      <c r="C4335" s="1" t="n">
        <v>45895</v>
      </c>
      <c r="D4335" t="inlineStr">
        <is>
          <t>NORRBOTTENS LÄN</t>
        </is>
      </c>
      <c r="E4335" t="inlineStr">
        <is>
          <t>PAJALA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57911-2023</t>
        </is>
      </c>
      <c r="B4336" s="1" t="n">
        <v>45247</v>
      </c>
      <c r="C4336" s="1" t="n">
        <v>45895</v>
      </c>
      <c r="D4336" t="inlineStr">
        <is>
          <t>NORRBOTTENS LÄN</t>
        </is>
      </c>
      <c r="E4336" t="inlineStr">
        <is>
          <t>LULEÅ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23112-2021</t>
        </is>
      </c>
      <c r="B4337" s="1" t="n">
        <v>44330</v>
      </c>
      <c r="C4337" s="1" t="n">
        <v>45895</v>
      </c>
      <c r="D4337" t="inlineStr">
        <is>
          <t>NORRBOTTENS LÄN</t>
        </is>
      </c>
      <c r="E4337" t="inlineStr">
        <is>
          <t>PAJALA</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8277-2023</t>
        </is>
      </c>
      <c r="B4338" s="1" t="n">
        <v>44974.63965277778</v>
      </c>
      <c r="C4338" s="1" t="n">
        <v>45895</v>
      </c>
      <c r="D4338" t="inlineStr">
        <is>
          <t>NORRBOTTENS LÄN</t>
        </is>
      </c>
      <c r="E4338" t="inlineStr">
        <is>
          <t>KALIX</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28354-2022</t>
        </is>
      </c>
      <c r="B4339" s="1" t="n">
        <v>44735</v>
      </c>
      <c r="C4339" s="1" t="n">
        <v>45895</v>
      </c>
      <c r="D4339" t="inlineStr">
        <is>
          <t>NORRBOTTENS LÄN</t>
        </is>
      </c>
      <c r="E4339" t="inlineStr">
        <is>
          <t>ARJEPLOG</t>
        </is>
      </c>
      <c r="F4339" t="inlineStr">
        <is>
          <t>Övriga statliga verk och myndigheter</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19808-2025</t>
        </is>
      </c>
      <c r="B4340" s="1" t="n">
        <v>45771.4549537037</v>
      </c>
      <c r="C4340" s="1" t="n">
        <v>45895</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17898-2025</t>
        </is>
      </c>
      <c r="B4341" s="1" t="n">
        <v>45758</v>
      </c>
      <c r="C4341" s="1" t="n">
        <v>45895</v>
      </c>
      <c r="D4341" t="inlineStr">
        <is>
          <t>NORRBOTTENS LÄN</t>
        </is>
      </c>
      <c r="E4341" t="inlineStr">
        <is>
          <t>LULEÅ</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59197-2024</t>
        </is>
      </c>
      <c r="B4342" s="1" t="n">
        <v>45637</v>
      </c>
      <c r="C4342" s="1" t="n">
        <v>45895</v>
      </c>
      <c r="D4342" t="inlineStr">
        <is>
          <t>NORRBOTTENS LÄN</t>
        </is>
      </c>
      <c r="E4342" t="inlineStr">
        <is>
          <t>PAJALA</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8331-2025</t>
        </is>
      </c>
      <c r="B4343" s="1" t="n">
        <v>45708.64608796296</v>
      </c>
      <c r="C4343" s="1" t="n">
        <v>45895</v>
      </c>
      <c r="D4343" t="inlineStr">
        <is>
          <t>NORRBOTTENS LÄN</t>
        </is>
      </c>
      <c r="E4343" t="inlineStr">
        <is>
          <t>PITEÅ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32195-2024</t>
        </is>
      </c>
      <c r="B4344" s="1" t="n">
        <v>45511</v>
      </c>
      <c r="C4344" s="1" t="n">
        <v>45895</v>
      </c>
      <c r="D4344" t="inlineStr">
        <is>
          <t>NORRBOTTENS LÄN</t>
        </is>
      </c>
      <c r="E4344" t="inlineStr">
        <is>
          <t>ÄLVSBYN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53630-2024</t>
        </is>
      </c>
      <c r="B4345" s="1" t="n">
        <v>45614.81146990741</v>
      </c>
      <c r="C4345" s="1" t="n">
        <v>45895</v>
      </c>
      <c r="D4345" t="inlineStr">
        <is>
          <t>NORRBOTTENS LÄN</t>
        </is>
      </c>
      <c r="E4345" t="inlineStr">
        <is>
          <t>BODEN</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53633-2022</t>
        </is>
      </c>
      <c r="B4346" s="1" t="n">
        <v>44879.9275</v>
      </c>
      <c r="C4346" s="1" t="n">
        <v>45895</v>
      </c>
      <c r="D4346" t="inlineStr">
        <is>
          <t>NORRBOTTENS LÄN</t>
        </is>
      </c>
      <c r="E4346" t="inlineStr">
        <is>
          <t>PITEÅ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53674-2024</t>
        </is>
      </c>
      <c r="B4347" s="1" t="n">
        <v>45612</v>
      </c>
      <c r="C4347" s="1" t="n">
        <v>45895</v>
      </c>
      <c r="D4347" t="inlineStr">
        <is>
          <t>NORRBOTTENS LÄN</t>
        </is>
      </c>
      <c r="E4347" t="inlineStr">
        <is>
          <t>GÄLLIVARE</t>
        </is>
      </c>
      <c r="F4347" t="inlineStr">
        <is>
          <t>Allmännings- och besparingsskogar</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30091-2025</t>
        </is>
      </c>
      <c r="B4348" s="1" t="n">
        <v>45826</v>
      </c>
      <c r="C4348" s="1" t="n">
        <v>45895</v>
      </c>
      <c r="D4348" t="inlineStr">
        <is>
          <t>NORRBOTTENS LÄN</t>
        </is>
      </c>
      <c r="E4348" t="inlineStr">
        <is>
          <t>LULEÅ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35876-2022</t>
        </is>
      </c>
      <c r="B4349" s="1" t="n">
        <v>44802</v>
      </c>
      <c r="C4349" s="1" t="n">
        <v>45895</v>
      </c>
      <c r="D4349" t="inlineStr">
        <is>
          <t>NORRBOTTENS LÄN</t>
        </is>
      </c>
      <c r="E4349" t="inlineStr">
        <is>
          <t>JOKKMOKK</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1319-2025</t>
        </is>
      </c>
      <c r="B4350" s="1" t="n">
        <v>45667</v>
      </c>
      <c r="C4350" s="1" t="n">
        <v>45895</v>
      </c>
      <c r="D4350" t="inlineStr">
        <is>
          <t>NORRBOTTENS LÄN</t>
        </is>
      </c>
      <c r="E4350" t="inlineStr">
        <is>
          <t>ÖVERTORNEÅ</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31297-2023</t>
        </is>
      </c>
      <c r="B4351" s="1" t="n">
        <v>45114</v>
      </c>
      <c r="C4351" s="1" t="n">
        <v>45895</v>
      </c>
      <c r="D4351" t="inlineStr">
        <is>
          <t>NORRBOTTENS LÄN</t>
        </is>
      </c>
      <c r="E4351" t="inlineStr">
        <is>
          <t>BODEN</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31347-2023</t>
        </is>
      </c>
      <c r="B4352" s="1" t="n">
        <v>45104</v>
      </c>
      <c r="C4352" s="1" t="n">
        <v>45895</v>
      </c>
      <c r="D4352" t="inlineStr">
        <is>
          <t>NORRBOTTENS LÄN</t>
        </is>
      </c>
      <c r="E4352" t="inlineStr">
        <is>
          <t>LULEÅ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46395-2020</t>
        </is>
      </c>
      <c r="B4353" s="1" t="n">
        <v>44094</v>
      </c>
      <c r="C4353" s="1" t="n">
        <v>45895</v>
      </c>
      <c r="D4353" t="inlineStr">
        <is>
          <t>NORRBOTTENS LÄN</t>
        </is>
      </c>
      <c r="E4353" t="inlineStr">
        <is>
          <t>LULEÅ</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4771-2024</t>
        </is>
      </c>
      <c r="B4354" s="1" t="n">
        <v>45328</v>
      </c>
      <c r="C4354" s="1" t="n">
        <v>45895</v>
      </c>
      <c r="D4354" t="inlineStr">
        <is>
          <t>NORRBOTTENS LÄN</t>
        </is>
      </c>
      <c r="E4354" t="inlineStr">
        <is>
          <t>LULEÅ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29550-2024</t>
        </is>
      </c>
      <c r="B4355" s="1" t="n">
        <v>45484</v>
      </c>
      <c r="C4355" s="1" t="n">
        <v>45895</v>
      </c>
      <c r="D4355" t="inlineStr">
        <is>
          <t>NORRBOTTENS LÄN</t>
        </is>
      </c>
      <c r="E4355" t="inlineStr">
        <is>
          <t>LULEÅ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29552-2024</t>
        </is>
      </c>
      <c r="B4356" s="1" t="n">
        <v>45484</v>
      </c>
      <c r="C4356" s="1" t="n">
        <v>45895</v>
      </c>
      <c r="D4356" t="inlineStr">
        <is>
          <t>NORRBOTTENS LÄN</t>
        </is>
      </c>
      <c r="E4356" t="inlineStr">
        <is>
          <t>PITEÅ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29516-2025</t>
        </is>
      </c>
      <c r="B4357" s="1" t="n">
        <v>45825.31756944444</v>
      </c>
      <c r="C4357" s="1" t="n">
        <v>45895</v>
      </c>
      <c r="D4357" t="inlineStr">
        <is>
          <t>NORRBOTTENS LÄN</t>
        </is>
      </c>
      <c r="E4357" t="inlineStr">
        <is>
          <t>ARVIDSJAUR</t>
        </is>
      </c>
      <c r="F4357" t="inlineStr">
        <is>
          <t>Sveaskog</t>
        </is>
      </c>
      <c r="G4357" t="n">
        <v>17.1</v>
      </c>
      <c r="H4357" t="n">
        <v>0</v>
      </c>
      <c r="I4357" t="n">
        <v>0</v>
      </c>
      <c r="J4357" t="n">
        <v>0</v>
      </c>
      <c r="K4357" t="n">
        <v>0</v>
      </c>
      <c r="L4357" t="n">
        <v>0</v>
      </c>
      <c r="M4357" t="n">
        <v>0</v>
      </c>
      <c r="N4357" t="n">
        <v>0</v>
      </c>
      <c r="O4357" t="n">
        <v>0</v>
      </c>
      <c r="P4357" t="n">
        <v>0</v>
      </c>
      <c r="Q4357" t="n">
        <v>0</v>
      </c>
      <c r="R4357" s="2" t="inlineStr"/>
    </row>
    <row r="4358" ht="15" customHeight="1">
      <c r="A4358" t="inlineStr">
        <is>
          <t>A 29604-2024</t>
        </is>
      </c>
      <c r="B4358" s="1" t="n">
        <v>45484.60921296296</v>
      </c>
      <c r="C4358" s="1" t="n">
        <v>45895</v>
      </c>
      <c r="D4358" t="inlineStr">
        <is>
          <t>NORRBOTTENS LÄN</t>
        </is>
      </c>
      <c r="E4358" t="inlineStr">
        <is>
          <t>PAJALA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50527-2024</t>
        </is>
      </c>
      <c r="B4359" s="1" t="n">
        <v>45601.56194444445</v>
      </c>
      <c r="C4359" s="1" t="n">
        <v>45895</v>
      </c>
      <c r="D4359" t="inlineStr">
        <is>
          <t>NORRBOTTENS LÄN</t>
        </is>
      </c>
      <c r="E4359" t="inlineStr">
        <is>
          <t>ARVIDSJAUR</t>
        </is>
      </c>
      <c r="F4359" t="inlineStr">
        <is>
          <t>Sveaskog</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36326-2025</t>
        </is>
      </c>
      <c r="B4360" s="1" t="n">
        <v>45868.42105324074</v>
      </c>
      <c r="C4360" s="1" t="n">
        <v>45895</v>
      </c>
      <c r="D4360" t="inlineStr">
        <is>
          <t>NORRBOTTENS LÄN</t>
        </is>
      </c>
      <c r="E4360" t="inlineStr">
        <is>
          <t>GÄLLIVARE</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29768-2025</t>
        </is>
      </c>
      <c r="B4361" s="1" t="n">
        <v>45825.6278587963</v>
      </c>
      <c r="C4361" s="1" t="n">
        <v>45895</v>
      </c>
      <c r="D4361" t="inlineStr">
        <is>
          <t>NORRBOTTENS LÄN</t>
        </is>
      </c>
      <c r="E4361" t="inlineStr">
        <is>
          <t>PITEÅ</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49124-2023</t>
        </is>
      </c>
      <c r="B4362" s="1" t="n">
        <v>45210.46891203704</v>
      </c>
      <c r="C4362" s="1" t="n">
        <v>45895</v>
      </c>
      <c r="D4362" t="inlineStr">
        <is>
          <t>NORRBOTTENS LÄN</t>
        </is>
      </c>
      <c r="E4362" t="inlineStr">
        <is>
          <t>BODEN</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23632-2021</t>
        </is>
      </c>
      <c r="B4363" s="1" t="n">
        <v>44334</v>
      </c>
      <c r="C4363" s="1" t="n">
        <v>45895</v>
      </c>
      <c r="D4363" t="inlineStr">
        <is>
          <t>NORRBOTTENS LÄN</t>
        </is>
      </c>
      <c r="E4363" t="inlineStr">
        <is>
          <t>LULEÅ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29514-2025</t>
        </is>
      </c>
      <c r="B4364" s="1" t="n">
        <v>45825.3119212963</v>
      </c>
      <c r="C4364" s="1" t="n">
        <v>45895</v>
      </c>
      <c r="D4364" t="inlineStr">
        <is>
          <t>NORRBOTTENS LÄN</t>
        </is>
      </c>
      <c r="E4364" t="inlineStr">
        <is>
          <t>ARVIDSJAUR</t>
        </is>
      </c>
      <c r="F4364" t="inlineStr">
        <is>
          <t>Sveaskog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22691-2024</t>
        </is>
      </c>
      <c r="B4365" s="1" t="n">
        <v>45448</v>
      </c>
      <c r="C4365" s="1" t="n">
        <v>45895</v>
      </c>
      <c r="D4365" t="inlineStr">
        <is>
          <t>NORRBOTTENS LÄN</t>
        </is>
      </c>
      <c r="E4365" t="inlineStr">
        <is>
          <t>ARVIDSJAUR</t>
        </is>
      </c>
      <c r="F4365" t="inlineStr">
        <is>
          <t>Sveaskog</t>
        </is>
      </c>
      <c r="G4365" t="n">
        <v>11.2</v>
      </c>
      <c r="H4365" t="n">
        <v>0</v>
      </c>
      <c r="I4365" t="n">
        <v>0</v>
      </c>
      <c r="J4365" t="n">
        <v>0</v>
      </c>
      <c r="K4365" t="n">
        <v>0</v>
      </c>
      <c r="L4365" t="n">
        <v>0</v>
      </c>
      <c r="M4365" t="n">
        <v>0</v>
      </c>
      <c r="N4365" t="n">
        <v>0</v>
      </c>
      <c r="O4365" t="n">
        <v>0</v>
      </c>
      <c r="P4365" t="n">
        <v>0</v>
      </c>
      <c r="Q4365" t="n">
        <v>0</v>
      </c>
      <c r="R4365" s="2" t="inlineStr"/>
    </row>
    <row r="4366" ht="15" customHeight="1">
      <c r="A4366" t="inlineStr">
        <is>
          <t>A 25935-2024</t>
        </is>
      </c>
      <c r="B4366" s="1" t="n">
        <v>45467</v>
      </c>
      <c r="C4366" s="1" t="n">
        <v>45895</v>
      </c>
      <c r="D4366" t="inlineStr">
        <is>
          <t>NORRBOTTENS LÄN</t>
        </is>
      </c>
      <c r="E4366" t="inlineStr">
        <is>
          <t>GÄLLIVARE</t>
        </is>
      </c>
      <c r="F4366" t="inlineStr">
        <is>
          <t>Allmännings- och besparingsskogar</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2040-2025</t>
        </is>
      </c>
      <c r="B4367" s="1" t="n">
        <v>45671</v>
      </c>
      <c r="C4367" s="1" t="n">
        <v>45895</v>
      </c>
      <c r="D4367" t="inlineStr">
        <is>
          <t>NORRBOTTENS LÄN</t>
        </is>
      </c>
      <c r="E4367" t="inlineStr">
        <is>
          <t>JOKKMOKK</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14341-2024</t>
        </is>
      </c>
      <c r="B4368" s="1" t="n">
        <v>45393</v>
      </c>
      <c r="C4368" s="1" t="n">
        <v>45895</v>
      </c>
      <c r="D4368" t="inlineStr">
        <is>
          <t>NORRBOTTENS LÄN</t>
        </is>
      </c>
      <c r="E4368" t="inlineStr">
        <is>
          <t>PITEÅ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36517-2025</t>
        </is>
      </c>
      <c r="B4369" s="1" t="n">
        <v>45869.59483796296</v>
      </c>
      <c r="C4369" s="1" t="n">
        <v>45895</v>
      </c>
      <c r="D4369" t="inlineStr">
        <is>
          <t>NORRBOTTENS LÄN</t>
        </is>
      </c>
      <c r="E4369" t="inlineStr">
        <is>
          <t>KALIX</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36518-2025</t>
        </is>
      </c>
      <c r="B4370" s="1" t="n">
        <v>45869.598125</v>
      </c>
      <c r="C4370" s="1" t="n">
        <v>45895</v>
      </c>
      <c r="D4370" t="inlineStr">
        <is>
          <t>NORRBOTTENS LÄN</t>
        </is>
      </c>
      <c r="E4370" t="inlineStr">
        <is>
          <t>PITEÅ</t>
        </is>
      </c>
      <c r="F4370" t="inlineStr">
        <is>
          <t>Sveaskog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36519-2025</t>
        </is>
      </c>
      <c r="B4371" s="1" t="n">
        <v>45869.59835648148</v>
      </c>
      <c r="C4371" s="1" t="n">
        <v>45895</v>
      </c>
      <c r="D4371" t="inlineStr">
        <is>
          <t>NORRBOTTENS LÄN</t>
        </is>
      </c>
      <c r="E4371" t="inlineStr">
        <is>
          <t>KALIX</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30459-2025</t>
        </is>
      </c>
      <c r="B4372" s="1" t="n">
        <v>45827</v>
      </c>
      <c r="C4372" s="1" t="n">
        <v>45895</v>
      </c>
      <c r="D4372" t="inlineStr">
        <is>
          <t>NORRBOTTENS LÄN</t>
        </is>
      </c>
      <c r="E4372" t="inlineStr">
        <is>
          <t>PITEÅ</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53632-2022</t>
        </is>
      </c>
      <c r="B4373" s="1" t="n">
        <v>44879</v>
      </c>
      <c r="C4373" s="1" t="n">
        <v>45895</v>
      </c>
      <c r="D4373" t="inlineStr">
        <is>
          <t>NORRBOTTENS LÄN</t>
        </is>
      </c>
      <c r="E4373" t="inlineStr">
        <is>
          <t>PITEÅ</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27054-2024</t>
        </is>
      </c>
      <c r="B4374" s="1" t="n">
        <v>45471.45269675926</v>
      </c>
      <c r="C4374" s="1" t="n">
        <v>45895</v>
      </c>
      <c r="D4374" t="inlineStr">
        <is>
          <t>NORRBOTTENS LÄN</t>
        </is>
      </c>
      <c r="E4374" t="inlineStr">
        <is>
          <t>ÖVERKALIX</t>
        </is>
      </c>
      <c r="F4374" t="inlineStr">
        <is>
          <t>Sveaskog</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27057-2024</t>
        </is>
      </c>
      <c r="B4375" s="1" t="n">
        <v>45471.4519212963</v>
      </c>
      <c r="C4375" s="1" t="n">
        <v>45895</v>
      </c>
      <c r="D4375" t="inlineStr">
        <is>
          <t>NORRBOTTENS LÄN</t>
        </is>
      </c>
      <c r="E4375" t="inlineStr">
        <is>
          <t>ÖVERKALIX</t>
        </is>
      </c>
      <c r="F4375" t="inlineStr">
        <is>
          <t>Sveaskog</t>
        </is>
      </c>
      <c r="G4375" t="n">
        <v>32.6</v>
      </c>
      <c r="H4375" t="n">
        <v>0</v>
      </c>
      <c r="I4375" t="n">
        <v>0</v>
      </c>
      <c r="J4375" t="n">
        <v>0</v>
      </c>
      <c r="K4375" t="n">
        <v>0</v>
      </c>
      <c r="L4375" t="n">
        <v>0</v>
      </c>
      <c r="M4375" t="n">
        <v>0</v>
      </c>
      <c r="N4375" t="n">
        <v>0</v>
      </c>
      <c r="O4375" t="n">
        <v>0</v>
      </c>
      <c r="P4375" t="n">
        <v>0</v>
      </c>
      <c r="Q4375" t="n">
        <v>0</v>
      </c>
      <c r="R4375" s="2" t="inlineStr"/>
    </row>
    <row r="4376" ht="15" customHeight="1">
      <c r="A4376" t="inlineStr">
        <is>
          <t>A 19051-2024</t>
        </is>
      </c>
      <c r="B4376" s="1" t="n">
        <v>45427</v>
      </c>
      <c r="C4376" s="1" t="n">
        <v>45895</v>
      </c>
      <c r="D4376" t="inlineStr">
        <is>
          <t>NORRBOTTENS LÄN</t>
        </is>
      </c>
      <c r="E4376" t="inlineStr">
        <is>
          <t>ÖVERTORNEÅ</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52645-2023</t>
        </is>
      </c>
      <c r="B4377" s="1" t="n">
        <v>45225</v>
      </c>
      <c r="C4377" s="1" t="n">
        <v>45895</v>
      </c>
      <c r="D4377" t="inlineStr">
        <is>
          <t>NORRBOTTENS LÄN</t>
        </is>
      </c>
      <c r="E4377" t="inlineStr">
        <is>
          <t>ARVIDSJAUR</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58007-2024</t>
        </is>
      </c>
      <c r="B4378" s="1" t="n">
        <v>45631</v>
      </c>
      <c r="C4378" s="1" t="n">
        <v>45895</v>
      </c>
      <c r="D4378" t="inlineStr">
        <is>
          <t>NORRBOTTENS LÄN</t>
        </is>
      </c>
      <c r="E4378" t="inlineStr">
        <is>
          <t>ÄLVSBYN</t>
        </is>
      </c>
      <c r="G4378" t="n">
        <v>11.3</v>
      </c>
      <c r="H4378" t="n">
        <v>0</v>
      </c>
      <c r="I4378" t="n">
        <v>0</v>
      </c>
      <c r="J4378" t="n">
        <v>0</v>
      </c>
      <c r="K4378" t="n">
        <v>0</v>
      </c>
      <c r="L4378" t="n">
        <v>0</v>
      </c>
      <c r="M4378" t="n">
        <v>0</v>
      </c>
      <c r="N4378" t="n">
        <v>0</v>
      </c>
      <c r="O4378" t="n">
        <v>0</v>
      </c>
      <c r="P4378" t="n">
        <v>0</v>
      </c>
      <c r="Q4378" t="n">
        <v>0</v>
      </c>
      <c r="R4378" s="2" t="inlineStr"/>
    </row>
    <row r="4379" ht="15" customHeight="1">
      <c r="A4379" t="inlineStr">
        <is>
          <t>A 57705-2024</t>
        </is>
      </c>
      <c r="B4379" s="1" t="n">
        <v>45630</v>
      </c>
      <c r="C4379" s="1" t="n">
        <v>45895</v>
      </c>
      <c r="D4379" t="inlineStr">
        <is>
          <t>NORRBOTTENS LÄN</t>
        </is>
      </c>
      <c r="E4379" t="inlineStr">
        <is>
          <t>GÄLLIVARE</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44708-2024</t>
        </is>
      </c>
      <c r="B4380" s="1" t="n">
        <v>45574.5735300926</v>
      </c>
      <c r="C4380" s="1" t="n">
        <v>45895</v>
      </c>
      <c r="D4380" t="inlineStr">
        <is>
          <t>NORRBOTTENS LÄN</t>
        </is>
      </c>
      <c r="E4380" t="inlineStr">
        <is>
          <t>BODEN</t>
        </is>
      </c>
      <c r="F4380" t="inlineStr">
        <is>
          <t>SCA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44711-2024</t>
        </is>
      </c>
      <c r="B4381" s="1" t="n">
        <v>45574</v>
      </c>
      <c r="C4381" s="1" t="n">
        <v>45895</v>
      </c>
      <c r="D4381" t="inlineStr">
        <is>
          <t>NORRBOTTENS LÄN</t>
        </is>
      </c>
      <c r="E4381" t="inlineStr">
        <is>
          <t>KALIX</t>
        </is>
      </c>
      <c r="F4381" t="inlineStr">
        <is>
          <t>Sveaskog</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18772-2023</t>
        </is>
      </c>
      <c r="B4382" s="1" t="n">
        <v>45043</v>
      </c>
      <c r="C4382" s="1" t="n">
        <v>45895</v>
      </c>
      <c r="D4382" t="inlineStr">
        <is>
          <t>NORRBOTTENS LÄN</t>
        </is>
      </c>
      <c r="E4382" t="inlineStr">
        <is>
          <t>JOKKMOKK</t>
        </is>
      </c>
      <c r="F4382" t="inlineStr">
        <is>
          <t>SCA</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58031-2024</t>
        </is>
      </c>
      <c r="B4383" s="1" t="n">
        <v>45631.70746527778</v>
      </c>
      <c r="C4383" s="1" t="n">
        <v>45895</v>
      </c>
      <c r="D4383" t="inlineStr">
        <is>
          <t>NORRBOTTENS LÄN</t>
        </is>
      </c>
      <c r="E4383" t="inlineStr">
        <is>
          <t>PAJALA</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6026-2025</t>
        </is>
      </c>
      <c r="B4384" s="1" t="n">
        <v>45695.62141203704</v>
      </c>
      <c r="C4384" s="1" t="n">
        <v>45895</v>
      </c>
      <c r="D4384" t="inlineStr">
        <is>
          <t>NORRBOTTENS LÄN</t>
        </is>
      </c>
      <c r="E4384" t="inlineStr">
        <is>
          <t>PITEÅ</t>
        </is>
      </c>
      <c r="F4384" t="inlineStr">
        <is>
          <t>Övriga Aktiebolag</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8407-2025</t>
        </is>
      </c>
      <c r="B4385" s="1" t="n">
        <v>45709.3868287037</v>
      </c>
      <c r="C4385" s="1" t="n">
        <v>45895</v>
      </c>
      <c r="D4385" t="inlineStr">
        <is>
          <t>NORRBOTTENS LÄN</t>
        </is>
      </c>
      <c r="E4385" t="inlineStr">
        <is>
          <t>ÖVERKALIX</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30189-2025</t>
        </is>
      </c>
      <c r="B4386" s="1" t="n">
        <v>45827.34756944444</v>
      </c>
      <c r="C4386" s="1" t="n">
        <v>45895</v>
      </c>
      <c r="D4386" t="inlineStr">
        <is>
          <t>NORRBOTTENS LÄN</t>
        </is>
      </c>
      <c r="E4386" t="inlineStr">
        <is>
          <t>JOKKMOKK</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5452-2025</t>
        </is>
      </c>
      <c r="B4387" s="1" t="n">
        <v>45692.92622685185</v>
      </c>
      <c r="C4387" s="1" t="n">
        <v>45895</v>
      </c>
      <c r="D4387" t="inlineStr">
        <is>
          <t>NORRBOTTENS LÄN</t>
        </is>
      </c>
      <c r="E4387" t="inlineStr">
        <is>
          <t>BODEN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30162-2025</t>
        </is>
      </c>
      <c r="B4388" s="1" t="n">
        <v>45827.32677083334</v>
      </c>
      <c r="C4388" s="1" t="n">
        <v>45895</v>
      </c>
      <c r="D4388" t="inlineStr">
        <is>
          <t>NORRBOTTENS LÄN</t>
        </is>
      </c>
      <c r="E4388" t="inlineStr">
        <is>
          <t>KALIX</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30164-2025</t>
        </is>
      </c>
      <c r="B4389" s="1" t="n">
        <v>45827.32819444445</v>
      </c>
      <c r="C4389" s="1" t="n">
        <v>45895</v>
      </c>
      <c r="D4389" t="inlineStr">
        <is>
          <t>NORRBOTTENS LÄN</t>
        </is>
      </c>
      <c r="E4389" t="inlineStr">
        <is>
          <t>KALIX</t>
        </is>
      </c>
      <c r="G4389" t="n">
        <v>26.1</v>
      </c>
      <c r="H4389" t="n">
        <v>0</v>
      </c>
      <c r="I4389" t="n">
        <v>0</v>
      </c>
      <c r="J4389" t="n">
        <v>0</v>
      </c>
      <c r="K4389" t="n">
        <v>0</v>
      </c>
      <c r="L4389" t="n">
        <v>0</v>
      </c>
      <c r="M4389" t="n">
        <v>0</v>
      </c>
      <c r="N4389" t="n">
        <v>0</v>
      </c>
      <c r="O4389" t="n">
        <v>0</v>
      </c>
      <c r="P4389" t="n">
        <v>0</v>
      </c>
      <c r="Q4389" t="n">
        <v>0</v>
      </c>
      <c r="R4389" s="2" t="inlineStr"/>
    </row>
    <row r="4390" ht="15" customHeight="1">
      <c r="A4390" t="inlineStr">
        <is>
          <t>A 30178-2025</t>
        </is>
      </c>
      <c r="B4390" s="1" t="n">
        <v>45827.34571759259</v>
      </c>
      <c r="C4390" s="1" t="n">
        <v>45895</v>
      </c>
      <c r="D4390" t="inlineStr">
        <is>
          <t>NORRBOTTENS LÄN</t>
        </is>
      </c>
      <c r="E4390" t="inlineStr">
        <is>
          <t>JOKKMOKK</t>
        </is>
      </c>
      <c r="F4390" t="inlineStr">
        <is>
          <t>SCA</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6453-2025</t>
        </is>
      </c>
      <c r="B4391" s="1" t="n">
        <v>45699.55245370371</v>
      </c>
      <c r="C4391" s="1" t="n">
        <v>45895</v>
      </c>
      <c r="D4391" t="inlineStr">
        <is>
          <t>NORRBOTTENS LÄN</t>
        </is>
      </c>
      <c r="E4391" t="inlineStr">
        <is>
          <t>ÖVERKALIX</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30253-2025</t>
        </is>
      </c>
      <c r="B4392" s="1" t="n">
        <v>45827.4234375</v>
      </c>
      <c r="C4392" s="1" t="n">
        <v>45895</v>
      </c>
      <c r="D4392" t="inlineStr">
        <is>
          <t>NORRBOTTENS LÄN</t>
        </is>
      </c>
      <c r="E4392" t="inlineStr">
        <is>
          <t>GÄLLIVARE</t>
        </is>
      </c>
      <c r="F4392" t="inlineStr">
        <is>
          <t>Sveaskog</t>
        </is>
      </c>
      <c r="G4392" t="n">
        <v>25.6</v>
      </c>
      <c r="H4392" t="n">
        <v>0</v>
      </c>
      <c r="I4392" t="n">
        <v>0</v>
      </c>
      <c r="J4392" t="n">
        <v>0</v>
      </c>
      <c r="K4392" t="n">
        <v>0</v>
      </c>
      <c r="L4392" t="n">
        <v>0</v>
      </c>
      <c r="M4392" t="n">
        <v>0</v>
      </c>
      <c r="N4392" t="n">
        <v>0</v>
      </c>
      <c r="O4392" t="n">
        <v>0</v>
      </c>
      <c r="P4392" t="n">
        <v>0</v>
      </c>
      <c r="Q4392" t="n">
        <v>0</v>
      </c>
      <c r="R4392" s="2" t="inlineStr"/>
    </row>
    <row r="4393" ht="15" customHeight="1">
      <c r="A4393" t="inlineStr">
        <is>
          <t>A 30305-2025</t>
        </is>
      </c>
      <c r="B4393" s="1" t="n">
        <v>45827.48145833334</v>
      </c>
      <c r="C4393" s="1" t="n">
        <v>45895</v>
      </c>
      <c r="D4393" t="inlineStr">
        <is>
          <t>NORRBOTTENS LÄN</t>
        </is>
      </c>
      <c r="E4393" t="inlineStr">
        <is>
          <t>GÄLLIVARE</t>
        </is>
      </c>
      <c r="F4393" t="inlineStr">
        <is>
          <t>Sveaskog</t>
        </is>
      </c>
      <c r="G4393" t="n">
        <v>33.6</v>
      </c>
      <c r="H4393" t="n">
        <v>0</v>
      </c>
      <c r="I4393" t="n">
        <v>0</v>
      </c>
      <c r="J4393" t="n">
        <v>0</v>
      </c>
      <c r="K4393" t="n">
        <v>0</v>
      </c>
      <c r="L4393" t="n">
        <v>0</v>
      </c>
      <c r="M4393" t="n">
        <v>0</v>
      </c>
      <c r="N4393" t="n">
        <v>0</v>
      </c>
      <c r="O4393" t="n">
        <v>0</v>
      </c>
      <c r="P4393" t="n">
        <v>0</v>
      </c>
      <c r="Q4393" t="n">
        <v>0</v>
      </c>
      <c r="R4393" s="2" t="inlineStr"/>
    </row>
    <row r="4394" ht="15" customHeight="1">
      <c r="A4394" t="inlineStr">
        <is>
          <t>A 30372-2025</t>
        </is>
      </c>
      <c r="B4394" s="1" t="n">
        <v>45827.56185185185</v>
      </c>
      <c r="C4394" s="1" t="n">
        <v>45895</v>
      </c>
      <c r="D4394" t="inlineStr">
        <is>
          <t>NORRBOTTENS LÄN</t>
        </is>
      </c>
      <c r="E4394" t="inlineStr">
        <is>
          <t>PAJALA</t>
        </is>
      </c>
      <c r="F4394" t="inlineStr">
        <is>
          <t>Sveaskog</t>
        </is>
      </c>
      <c r="G4394" t="n">
        <v>32.2</v>
      </c>
      <c r="H4394" t="n">
        <v>0</v>
      </c>
      <c r="I4394" t="n">
        <v>0</v>
      </c>
      <c r="J4394" t="n">
        <v>0</v>
      </c>
      <c r="K4394" t="n">
        <v>0</v>
      </c>
      <c r="L4394" t="n">
        <v>0</v>
      </c>
      <c r="M4394" t="n">
        <v>0</v>
      </c>
      <c r="N4394" t="n">
        <v>0</v>
      </c>
      <c r="O4394" t="n">
        <v>0</v>
      </c>
      <c r="P4394" t="n">
        <v>0</v>
      </c>
      <c r="Q4394" t="n">
        <v>0</v>
      </c>
      <c r="R4394" s="2" t="inlineStr"/>
    </row>
    <row r="4395" ht="15" customHeight="1">
      <c r="A4395" t="inlineStr">
        <is>
          <t>A 36489-2025</t>
        </is>
      </c>
      <c r="B4395" s="1" t="n">
        <v>45869.52704861111</v>
      </c>
      <c r="C4395" s="1" t="n">
        <v>45895</v>
      </c>
      <c r="D4395" t="inlineStr">
        <is>
          <t>NORRBOTTENS LÄN</t>
        </is>
      </c>
      <c r="E4395" t="inlineStr">
        <is>
          <t>ARVIDSJAUR</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8190-2025</t>
        </is>
      </c>
      <c r="B4396" s="1" t="n">
        <v>45708.40659722222</v>
      </c>
      <c r="C4396" s="1" t="n">
        <v>45895</v>
      </c>
      <c r="D4396" t="inlineStr">
        <is>
          <t>NORRBOTTENS LÄN</t>
        </is>
      </c>
      <c r="E4396" t="inlineStr">
        <is>
          <t>GÄLLIVARE</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50696-2023</t>
        </is>
      </c>
      <c r="B4397" s="1" t="n">
        <v>45210</v>
      </c>
      <c r="C4397" s="1" t="n">
        <v>45895</v>
      </c>
      <c r="D4397" t="inlineStr">
        <is>
          <t>NORRBOTTENS LÄN</t>
        </is>
      </c>
      <c r="E4397" t="inlineStr">
        <is>
          <t>PAJALA</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61374-2024</t>
        </is>
      </c>
      <c r="B4398" s="1" t="n">
        <v>45646</v>
      </c>
      <c r="C4398" s="1" t="n">
        <v>45895</v>
      </c>
      <c r="D4398" t="inlineStr">
        <is>
          <t>NORRBOTTENS LÄN</t>
        </is>
      </c>
      <c r="E4398" t="inlineStr">
        <is>
          <t>ARVIDSJAUR</t>
        </is>
      </c>
      <c r="G4398" t="n">
        <v>13.9</v>
      </c>
      <c r="H4398" t="n">
        <v>0</v>
      </c>
      <c r="I4398" t="n">
        <v>0</v>
      </c>
      <c r="J4398" t="n">
        <v>0</v>
      </c>
      <c r="K4398" t="n">
        <v>0</v>
      </c>
      <c r="L4398" t="n">
        <v>0</v>
      </c>
      <c r="M4398" t="n">
        <v>0</v>
      </c>
      <c r="N4398" t="n">
        <v>0</v>
      </c>
      <c r="O4398" t="n">
        <v>0</v>
      </c>
      <c r="P4398" t="n">
        <v>0</v>
      </c>
      <c r="Q4398" t="n">
        <v>0</v>
      </c>
      <c r="R4398" s="2" t="inlineStr"/>
    </row>
    <row r="4399" ht="15" customHeight="1">
      <c r="A4399" t="inlineStr">
        <is>
          <t>A 30477-2025</t>
        </is>
      </c>
      <c r="B4399" s="1" t="n">
        <v>45828.40693287037</v>
      </c>
      <c r="C4399" s="1" t="n">
        <v>45895</v>
      </c>
      <c r="D4399" t="inlineStr">
        <is>
          <t>NORRBOTTENS LÄN</t>
        </is>
      </c>
      <c r="E4399" t="inlineStr">
        <is>
          <t>PITEÅ</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62406-2023</t>
        </is>
      </c>
      <c r="B4400" s="1" t="n">
        <v>45266</v>
      </c>
      <c r="C4400" s="1" t="n">
        <v>45895</v>
      </c>
      <c r="D4400" t="inlineStr">
        <is>
          <t>NORRBOTTENS LÄN</t>
        </is>
      </c>
      <c r="E4400" t="inlineStr">
        <is>
          <t>ÄLVSBYN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61473-2024</t>
        </is>
      </c>
      <c r="B4401" s="1" t="n">
        <v>45646</v>
      </c>
      <c r="C4401" s="1" t="n">
        <v>45895</v>
      </c>
      <c r="D4401" t="inlineStr">
        <is>
          <t>NORRBOTTENS LÄN</t>
        </is>
      </c>
      <c r="E4401" t="inlineStr">
        <is>
          <t>GÄLLIVARE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61504-2024</t>
        </is>
      </c>
      <c r="B4402" s="1" t="n">
        <v>45646.56238425926</v>
      </c>
      <c r="C4402" s="1" t="n">
        <v>45895</v>
      </c>
      <c r="D4402" t="inlineStr">
        <is>
          <t>NORRBOTTENS LÄN</t>
        </is>
      </c>
      <c r="E4402" t="inlineStr">
        <is>
          <t>LULEÅ</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28859-2024</t>
        </is>
      </c>
      <c r="B4403" s="1" t="n">
        <v>45478.92868055555</v>
      </c>
      <c r="C4403" s="1" t="n">
        <v>45895</v>
      </c>
      <c r="D4403" t="inlineStr">
        <is>
          <t>NORRBOTTENS LÄN</t>
        </is>
      </c>
      <c r="E4403" t="inlineStr">
        <is>
          <t>PITEÅ</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64939-2023</t>
        </is>
      </c>
      <c r="B4404" s="1" t="n">
        <v>45282</v>
      </c>
      <c r="C4404" s="1" t="n">
        <v>45895</v>
      </c>
      <c r="D4404" t="inlineStr">
        <is>
          <t>NORRBOTTENS LÄN</t>
        </is>
      </c>
      <c r="E4404" t="inlineStr">
        <is>
          <t>KALIX</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8764-2025</t>
        </is>
      </c>
      <c r="B4405" s="1" t="n">
        <v>45712.58021990741</v>
      </c>
      <c r="C4405" s="1" t="n">
        <v>45895</v>
      </c>
      <c r="D4405" t="inlineStr">
        <is>
          <t>NORRBOTTENS LÄN</t>
        </is>
      </c>
      <c r="E4405" t="inlineStr">
        <is>
          <t>LULEÅ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17435-2023</t>
        </is>
      </c>
      <c r="B4406" s="1" t="n">
        <v>45035.92694444444</v>
      </c>
      <c r="C4406" s="1" t="n">
        <v>45895</v>
      </c>
      <c r="D4406" t="inlineStr">
        <is>
          <t>NORRBOTTENS LÄN</t>
        </is>
      </c>
      <c r="E4406" t="inlineStr">
        <is>
          <t>KALIX</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30383-2025</t>
        </is>
      </c>
      <c r="B4407" s="1" t="n">
        <v>45827.57081018519</v>
      </c>
      <c r="C4407" s="1" t="n">
        <v>45895</v>
      </c>
      <c r="D4407" t="inlineStr">
        <is>
          <t>NORRBOTTENS LÄN</t>
        </is>
      </c>
      <c r="E4407" t="inlineStr">
        <is>
          <t>ARVIDSJAUR</t>
        </is>
      </c>
      <c r="G4407" t="n">
        <v>20</v>
      </c>
      <c r="H4407" t="n">
        <v>0</v>
      </c>
      <c r="I4407" t="n">
        <v>0</v>
      </c>
      <c r="J4407" t="n">
        <v>0</v>
      </c>
      <c r="K4407" t="n">
        <v>0</v>
      </c>
      <c r="L4407" t="n">
        <v>0</v>
      </c>
      <c r="M4407" t="n">
        <v>0</v>
      </c>
      <c r="N4407" t="n">
        <v>0</v>
      </c>
      <c r="O4407" t="n">
        <v>0</v>
      </c>
      <c r="P4407" t="n">
        <v>0</v>
      </c>
      <c r="Q4407" t="n">
        <v>0</v>
      </c>
      <c r="R4407" s="2" t="inlineStr"/>
    </row>
    <row r="4408" ht="15" customHeight="1">
      <c r="A4408" t="inlineStr">
        <is>
          <t>A 35040-2022</t>
        </is>
      </c>
      <c r="B4408" s="1" t="n">
        <v>44796</v>
      </c>
      <c r="C4408" s="1" t="n">
        <v>45895</v>
      </c>
      <c r="D4408" t="inlineStr">
        <is>
          <t>NORRBOTTENS LÄN</t>
        </is>
      </c>
      <c r="E4408" t="inlineStr">
        <is>
          <t>BODEN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36464-2025</t>
        </is>
      </c>
      <c r="B4409" s="1" t="n">
        <v>45869.46420138889</v>
      </c>
      <c r="C4409" s="1" t="n">
        <v>45895</v>
      </c>
      <c r="D4409" t="inlineStr">
        <is>
          <t>NORRBOTTENS LÄN</t>
        </is>
      </c>
      <c r="E4409" t="inlineStr">
        <is>
          <t>ÄLVSBYN</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39005-2023</t>
        </is>
      </c>
      <c r="B4410" s="1" t="n">
        <v>45162</v>
      </c>
      <c r="C4410" s="1" t="n">
        <v>45895</v>
      </c>
      <c r="D4410" t="inlineStr">
        <is>
          <t>NORRBOTTENS LÄN</t>
        </is>
      </c>
      <c r="E4410" t="inlineStr">
        <is>
          <t>ÄLVSBYN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36564-2025</t>
        </is>
      </c>
      <c r="B4411" s="1" t="n">
        <v>45870.37630787037</v>
      </c>
      <c r="C4411" s="1" t="n">
        <v>45895</v>
      </c>
      <c r="D4411" t="inlineStr">
        <is>
          <t>NORRBOTTENS LÄN</t>
        </is>
      </c>
      <c r="E4411" t="inlineStr">
        <is>
          <t>BODEN</t>
        </is>
      </c>
      <c r="F4411" t="inlineStr">
        <is>
          <t>Sveaskog</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60964-2024</t>
        </is>
      </c>
      <c r="B4412" s="1" t="n">
        <v>45645.39828703704</v>
      </c>
      <c r="C4412" s="1" t="n">
        <v>45895</v>
      </c>
      <c r="D4412" t="inlineStr">
        <is>
          <t>NORRBOTTENS LÄN</t>
        </is>
      </c>
      <c r="E4412" t="inlineStr">
        <is>
          <t>KALIX</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57117-2024</t>
        </is>
      </c>
      <c r="B4413" s="1" t="n">
        <v>45629</v>
      </c>
      <c r="C4413" s="1" t="n">
        <v>45895</v>
      </c>
      <c r="D4413" t="inlineStr">
        <is>
          <t>NORRBOTTENS LÄN</t>
        </is>
      </c>
      <c r="E4413" t="inlineStr">
        <is>
          <t>KALIX</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31067-2023</t>
        </is>
      </c>
      <c r="B4414" s="1" t="n">
        <v>45113</v>
      </c>
      <c r="C4414" s="1" t="n">
        <v>45895</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59180-2024</t>
        </is>
      </c>
      <c r="B4415" s="1" t="n">
        <v>45637</v>
      </c>
      <c r="C4415" s="1" t="n">
        <v>45895</v>
      </c>
      <c r="D4415" t="inlineStr">
        <is>
          <t>NORRBOTTENS LÄN</t>
        </is>
      </c>
      <c r="E4415" t="inlineStr">
        <is>
          <t>ÄLVSBYN</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30460-2025</t>
        </is>
      </c>
      <c r="B4416" s="1" t="n">
        <v>45827</v>
      </c>
      <c r="C4416" s="1" t="n">
        <v>45895</v>
      </c>
      <c r="D4416" t="inlineStr">
        <is>
          <t>NORRBOTTENS LÄN</t>
        </is>
      </c>
      <c r="E4416" t="inlineStr">
        <is>
          <t>PITEÅ</t>
        </is>
      </c>
      <c r="F4416" t="inlineStr">
        <is>
          <t>Kommuner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30461-2025</t>
        </is>
      </c>
      <c r="B4417" s="1" t="n">
        <v>45827</v>
      </c>
      <c r="C4417" s="1" t="n">
        <v>45895</v>
      </c>
      <c r="D4417" t="inlineStr">
        <is>
          <t>NORRBOTTENS LÄN</t>
        </is>
      </c>
      <c r="E4417" t="inlineStr">
        <is>
          <t>PITEÅ</t>
        </is>
      </c>
      <c r="F4417" t="inlineStr">
        <is>
          <t>Kommuner</t>
        </is>
      </c>
      <c r="G4417" t="n">
        <v>9.800000000000001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30181-2025</t>
        </is>
      </c>
      <c r="B4418" s="1" t="n">
        <v>45827.34607638889</v>
      </c>
      <c r="C4418" s="1" t="n">
        <v>45895</v>
      </c>
      <c r="D4418" t="inlineStr">
        <is>
          <t>NORRBOTTENS LÄN</t>
        </is>
      </c>
      <c r="E4418" t="inlineStr">
        <is>
          <t>JOKKMOKK</t>
        </is>
      </c>
      <c r="F4418" t="inlineStr">
        <is>
          <t>SCA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30232-2025</t>
        </is>
      </c>
      <c r="B4419" s="1" t="n">
        <v>45827.38586805556</v>
      </c>
      <c r="C4419" s="1" t="n">
        <v>45895</v>
      </c>
      <c r="D4419" t="inlineStr">
        <is>
          <t>NORRBOTTENS LÄN</t>
        </is>
      </c>
      <c r="E4419" t="inlineStr">
        <is>
          <t>KALIX</t>
        </is>
      </c>
      <c r="G4419" t="n">
        <v>10.6</v>
      </c>
      <c r="H4419" t="n">
        <v>0</v>
      </c>
      <c r="I4419" t="n">
        <v>0</v>
      </c>
      <c r="J4419" t="n">
        <v>0</v>
      </c>
      <c r="K4419" t="n">
        <v>0</v>
      </c>
      <c r="L4419" t="n">
        <v>0</v>
      </c>
      <c r="M4419" t="n">
        <v>0</v>
      </c>
      <c r="N4419" t="n">
        <v>0</v>
      </c>
      <c r="O4419" t="n">
        <v>0</v>
      </c>
      <c r="P4419" t="n">
        <v>0</v>
      </c>
      <c r="Q4419" t="n">
        <v>0</v>
      </c>
      <c r="R4419" s="2" t="inlineStr"/>
    </row>
    <row r="4420" ht="15" customHeight="1">
      <c r="A4420" t="inlineStr">
        <is>
          <t>A 30182-2025</t>
        </is>
      </c>
      <c r="B4420" s="1" t="n">
        <v>45827.34640046296</v>
      </c>
      <c r="C4420" s="1" t="n">
        <v>45895</v>
      </c>
      <c r="D4420" t="inlineStr">
        <is>
          <t>NORRBOTTENS LÄN</t>
        </is>
      </c>
      <c r="E4420" t="inlineStr">
        <is>
          <t>JOKKMOKK</t>
        </is>
      </c>
      <c r="F4420" t="inlineStr">
        <is>
          <t>SCA</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9854-2023</t>
        </is>
      </c>
      <c r="B4421" s="1" t="n">
        <v>44984</v>
      </c>
      <c r="C4421" s="1" t="n">
        <v>45895</v>
      </c>
      <c r="D4421" t="inlineStr">
        <is>
          <t>NORRBOTTENS LÄN</t>
        </is>
      </c>
      <c r="E4421" t="inlineStr">
        <is>
          <t>JOKKMOKK</t>
        </is>
      </c>
      <c r="F4421" t="inlineStr">
        <is>
          <t>SCA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52411-2022</t>
        </is>
      </c>
      <c r="B4422" s="1" t="n">
        <v>44874</v>
      </c>
      <c r="C4422" s="1" t="n">
        <v>45895</v>
      </c>
      <c r="D4422" t="inlineStr">
        <is>
          <t>NORRBOTTENS LÄN</t>
        </is>
      </c>
      <c r="E4422" t="inlineStr">
        <is>
          <t>PITEÅ</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10713-2023</t>
        </is>
      </c>
      <c r="B4423" s="1" t="n">
        <v>44984</v>
      </c>
      <c r="C4423" s="1" t="n">
        <v>45895</v>
      </c>
      <c r="D4423" t="inlineStr">
        <is>
          <t>NORRBOTTENS LÄN</t>
        </is>
      </c>
      <c r="E4423" t="inlineStr">
        <is>
          <t>PITEÅ</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30476-2025</t>
        </is>
      </c>
      <c r="B4424" s="1" t="n">
        <v>45828</v>
      </c>
      <c r="C4424" s="1" t="n">
        <v>45895</v>
      </c>
      <c r="D4424" t="inlineStr">
        <is>
          <t>NORRBOTTENS LÄN</t>
        </is>
      </c>
      <c r="E4424" t="inlineStr">
        <is>
          <t>GÄLLIVARE</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36555-2025</t>
        </is>
      </c>
      <c r="B4425" s="1" t="n">
        <v>45870.34471064815</v>
      </c>
      <c r="C4425" s="1" t="n">
        <v>45895</v>
      </c>
      <c r="D4425" t="inlineStr">
        <is>
          <t>NORRBOTTENS LÄN</t>
        </is>
      </c>
      <c r="E4425" t="inlineStr">
        <is>
          <t>GÄLLIVARE</t>
        </is>
      </c>
      <c r="G4425" t="n">
        <v>9.4</v>
      </c>
      <c r="H4425" t="n">
        <v>0</v>
      </c>
      <c r="I4425" t="n">
        <v>0</v>
      </c>
      <c r="J4425" t="n">
        <v>0</v>
      </c>
      <c r="K4425" t="n">
        <v>0</v>
      </c>
      <c r="L4425" t="n">
        <v>0</v>
      </c>
      <c r="M4425" t="n">
        <v>0</v>
      </c>
      <c r="N4425" t="n">
        <v>0</v>
      </c>
      <c r="O4425" t="n">
        <v>0</v>
      </c>
      <c r="P4425" t="n">
        <v>0</v>
      </c>
      <c r="Q4425" t="n">
        <v>0</v>
      </c>
      <c r="R4425" s="2" t="inlineStr"/>
    </row>
    <row r="4426" ht="15" customHeight="1">
      <c r="A4426" t="inlineStr">
        <is>
          <t>A 36556-2025</t>
        </is>
      </c>
      <c r="B4426" s="1" t="n">
        <v>45870.34478009259</v>
      </c>
      <c r="C4426" s="1" t="n">
        <v>45895</v>
      </c>
      <c r="D4426" t="inlineStr">
        <is>
          <t>NORRBOTTENS LÄN</t>
        </is>
      </c>
      <c r="E4426" t="inlineStr">
        <is>
          <t>GÄLLIVARE</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898-2025</t>
        </is>
      </c>
      <c r="B4427" s="1" t="n">
        <v>45665</v>
      </c>
      <c r="C4427" s="1" t="n">
        <v>45895</v>
      </c>
      <c r="D4427" t="inlineStr">
        <is>
          <t>NORRBOTTENS LÄN</t>
        </is>
      </c>
      <c r="E4427" t="inlineStr">
        <is>
          <t>PAJALA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30241-2025</t>
        </is>
      </c>
      <c r="B4428" s="1" t="n">
        <v>45827.40512731481</v>
      </c>
      <c r="C4428" s="1" t="n">
        <v>45895</v>
      </c>
      <c r="D4428" t="inlineStr">
        <is>
          <t>NORRBOTTENS LÄN</t>
        </is>
      </c>
      <c r="E4428" t="inlineStr">
        <is>
          <t>LULEÅ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30373-2025</t>
        </is>
      </c>
      <c r="B4429" s="1" t="n">
        <v>45827.56239583333</v>
      </c>
      <c r="C4429" s="1" t="n">
        <v>45895</v>
      </c>
      <c r="D4429" t="inlineStr">
        <is>
          <t>NORRBOTTENS LÄN</t>
        </is>
      </c>
      <c r="E4429" t="inlineStr">
        <is>
          <t>PITEÅ</t>
        </is>
      </c>
      <c r="F4429" t="inlineStr">
        <is>
          <t>Övriga Aktiebolag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61040-2022</t>
        </is>
      </c>
      <c r="B4430" s="1" t="n">
        <v>44914.92462962963</v>
      </c>
      <c r="C4430" s="1" t="n">
        <v>45895</v>
      </c>
      <c r="D4430" t="inlineStr">
        <is>
          <t>NORRBOTTENS LÄN</t>
        </is>
      </c>
      <c r="E4430" t="inlineStr">
        <is>
          <t>ÖVERTORNEÅ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12549-2024</t>
        </is>
      </c>
      <c r="B4431" s="1" t="n">
        <v>45379</v>
      </c>
      <c r="C4431" s="1" t="n">
        <v>45895</v>
      </c>
      <c r="D4431" t="inlineStr">
        <is>
          <t>NORRBOTTENS LÄN</t>
        </is>
      </c>
      <c r="E4431" t="inlineStr">
        <is>
          <t>LULEÅ</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30408-2025</t>
        </is>
      </c>
      <c r="B4432" s="1" t="n">
        <v>45827.59447916667</v>
      </c>
      <c r="C4432" s="1" t="n">
        <v>45895</v>
      </c>
      <c r="D4432" t="inlineStr">
        <is>
          <t>NORRBOTTENS LÄN</t>
        </is>
      </c>
      <c r="E4432" t="inlineStr">
        <is>
          <t>PITEÅ</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34096-2024</t>
        </is>
      </c>
      <c r="B4433" s="1" t="n">
        <v>45523</v>
      </c>
      <c r="C4433" s="1" t="n">
        <v>45895</v>
      </c>
      <c r="D4433" t="inlineStr">
        <is>
          <t>NORRBOTTENS LÄN</t>
        </is>
      </c>
      <c r="E4433" t="inlineStr">
        <is>
          <t>PAJALA</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34097-2024</t>
        </is>
      </c>
      <c r="B4434" s="1" t="n">
        <v>45523</v>
      </c>
      <c r="C4434" s="1" t="n">
        <v>45895</v>
      </c>
      <c r="D4434" t="inlineStr">
        <is>
          <t>NORRBOTTENS LÄN</t>
        </is>
      </c>
      <c r="E4434" t="inlineStr">
        <is>
          <t>PAJALA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30147-2025</t>
        </is>
      </c>
      <c r="B4435" s="1" t="n">
        <v>45827</v>
      </c>
      <c r="C4435" s="1" t="n">
        <v>45895</v>
      </c>
      <c r="D4435" t="inlineStr">
        <is>
          <t>NORRBOTTENS LÄN</t>
        </is>
      </c>
      <c r="E4435" t="inlineStr">
        <is>
          <t>ÄLVSBYN</t>
        </is>
      </c>
      <c r="F4435" t="inlineStr">
        <is>
          <t>Sveaskog</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4123-2024</t>
        </is>
      </c>
      <c r="B4436" s="1" t="n">
        <v>45323</v>
      </c>
      <c r="C4436" s="1" t="n">
        <v>45895</v>
      </c>
      <c r="D4436" t="inlineStr">
        <is>
          <t>NORRBOTTENS LÄN</t>
        </is>
      </c>
      <c r="E4436" t="inlineStr">
        <is>
          <t>LULEÅ</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31754-2024</t>
        </is>
      </c>
      <c r="B4437" s="1" t="n">
        <v>45509.43402777778</v>
      </c>
      <c r="C4437" s="1" t="n">
        <v>45895</v>
      </c>
      <c r="D4437" t="inlineStr">
        <is>
          <t>NORRBOTTENS LÄN</t>
        </is>
      </c>
      <c r="E4437" t="inlineStr">
        <is>
          <t>BODEN</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30184-2025</t>
        </is>
      </c>
      <c r="B4438" s="1" t="n">
        <v>45827.34695601852</v>
      </c>
      <c r="C4438" s="1" t="n">
        <v>45895</v>
      </c>
      <c r="D4438" t="inlineStr">
        <is>
          <t>NORRBOTTENS LÄN</t>
        </is>
      </c>
      <c r="E4438" t="inlineStr">
        <is>
          <t>JOKKMOKK</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25019-2024</t>
        </is>
      </c>
      <c r="B4439" s="1" t="n">
        <v>45461</v>
      </c>
      <c r="C4439" s="1" t="n">
        <v>45895</v>
      </c>
      <c r="D4439" t="inlineStr">
        <is>
          <t>NORRBOTTENS LÄN</t>
        </is>
      </c>
      <c r="E4439" t="inlineStr">
        <is>
          <t>KALIX</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36531-2025</t>
        </is>
      </c>
      <c r="B4440" s="1" t="n">
        <v>45869.61380787037</v>
      </c>
      <c r="C4440" s="1" t="n">
        <v>45895</v>
      </c>
      <c r="D4440" t="inlineStr">
        <is>
          <t>NORRBOTTENS LÄN</t>
        </is>
      </c>
      <c r="E4440" t="inlineStr">
        <is>
          <t>KALIX</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30177-2025</t>
        </is>
      </c>
      <c r="B4441" s="1" t="n">
        <v>45827.34537037037</v>
      </c>
      <c r="C4441" s="1" t="n">
        <v>45895</v>
      </c>
      <c r="D4441" t="inlineStr">
        <is>
          <t>NORRBOTTENS LÄN</t>
        </is>
      </c>
      <c r="E4441" t="inlineStr">
        <is>
          <t>JOKKMOKK</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30185-2025</t>
        </is>
      </c>
      <c r="B4442" s="1" t="n">
        <v>45827.34717592593</v>
      </c>
      <c r="C4442" s="1" t="n">
        <v>45895</v>
      </c>
      <c r="D4442" t="inlineStr">
        <is>
          <t>NORRBOTTENS LÄN</t>
        </is>
      </c>
      <c r="E4442" t="inlineStr">
        <is>
          <t>JOKKMOKK</t>
        </is>
      </c>
      <c r="F4442" t="inlineStr">
        <is>
          <t>SCA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36624-2025</t>
        </is>
      </c>
      <c r="B4443" s="1" t="n">
        <v>45870.65721064815</v>
      </c>
      <c r="C4443" s="1" t="n">
        <v>45895</v>
      </c>
      <c r="D4443" t="inlineStr">
        <is>
          <t>NORRBOTTENS LÄN</t>
        </is>
      </c>
      <c r="E4443" t="inlineStr">
        <is>
          <t>GÄLLIVARE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30354-2025</t>
        </is>
      </c>
      <c r="B4444" s="1" t="n">
        <v>45827</v>
      </c>
      <c r="C4444" s="1" t="n">
        <v>45895</v>
      </c>
      <c r="D4444" t="inlineStr">
        <is>
          <t>NORRBOTTENS LÄN</t>
        </is>
      </c>
      <c r="E4444" t="inlineStr">
        <is>
          <t>BODEN</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45713-2024</t>
        </is>
      </c>
      <c r="B4445" s="1" t="n">
        <v>45579.58488425926</v>
      </c>
      <c r="C4445" s="1" t="n">
        <v>45895</v>
      </c>
      <c r="D4445" t="inlineStr">
        <is>
          <t>NORRBOTTENS LÄN</t>
        </is>
      </c>
      <c r="E4445" t="inlineStr">
        <is>
          <t>PITEÅ</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45715-2024</t>
        </is>
      </c>
      <c r="B4446" s="1" t="n">
        <v>45579</v>
      </c>
      <c r="C4446" s="1" t="n">
        <v>45895</v>
      </c>
      <c r="D4446" t="inlineStr">
        <is>
          <t>NORRBOTTENS LÄN</t>
        </is>
      </c>
      <c r="E4446" t="inlineStr">
        <is>
          <t>PITEÅ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46367-2024</t>
        </is>
      </c>
      <c r="B4447" s="1" t="n">
        <v>45582</v>
      </c>
      <c r="C4447" s="1" t="n">
        <v>45895</v>
      </c>
      <c r="D4447" t="inlineStr">
        <is>
          <t>NORRBOTTENS LÄN</t>
        </is>
      </c>
      <c r="E4447" t="inlineStr">
        <is>
          <t>BODEN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46374-2024</t>
        </is>
      </c>
      <c r="B4448" s="1" t="n">
        <v>45582</v>
      </c>
      <c r="C4448" s="1" t="n">
        <v>45895</v>
      </c>
      <c r="D4448" t="inlineStr">
        <is>
          <t>NORRBOTTENS LÄN</t>
        </is>
      </c>
      <c r="E4448" t="inlineStr">
        <is>
          <t>LULEÅ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53821-2024</t>
        </is>
      </c>
      <c r="B4449" s="1" t="n">
        <v>45615</v>
      </c>
      <c r="C4449" s="1" t="n">
        <v>45895</v>
      </c>
      <c r="D4449" t="inlineStr">
        <is>
          <t>NORRBOTTENS LÄN</t>
        </is>
      </c>
      <c r="E4449" t="inlineStr">
        <is>
          <t>GÄLLIVARE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55076-2024</t>
        </is>
      </c>
      <c r="B4450" s="1" t="n">
        <v>45621.42574074074</v>
      </c>
      <c r="C4450" s="1" t="n">
        <v>45895</v>
      </c>
      <c r="D4450" t="inlineStr">
        <is>
          <t>NORRBOTTENS LÄN</t>
        </is>
      </c>
      <c r="E4450" t="inlineStr">
        <is>
          <t>LULEÅ</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55085-2024</t>
        </is>
      </c>
      <c r="B4451" s="1" t="n">
        <v>45621.43038194445</v>
      </c>
      <c r="C4451" s="1" t="n">
        <v>45895</v>
      </c>
      <c r="D4451" t="inlineStr">
        <is>
          <t>NORRBOTTENS LÄN</t>
        </is>
      </c>
      <c r="E4451" t="inlineStr">
        <is>
          <t>ÖVERKALIX</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36535-2025</t>
        </is>
      </c>
      <c r="B4452" s="1" t="n">
        <v>45869.61506944444</v>
      </c>
      <c r="C4452" s="1" t="n">
        <v>45895</v>
      </c>
      <c r="D4452" t="inlineStr">
        <is>
          <t>NORRBOTTENS LÄN</t>
        </is>
      </c>
      <c r="E4452" t="inlineStr">
        <is>
          <t>KALIX</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36557-2025</t>
        </is>
      </c>
      <c r="B4453" s="1" t="n">
        <v>45870.34482638889</v>
      </c>
      <c r="C4453" s="1" t="n">
        <v>45895</v>
      </c>
      <c r="D4453" t="inlineStr">
        <is>
          <t>NORRBOTTENS LÄN</t>
        </is>
      </c>
      <c r="E4453" t="inlineStr">
        <is>
          <t>GÄLLIVARE</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50559-2024</t>
        </is>
      </c>
      <c r="B4454" s="1" t="n">
        <v>45601.59634259259</v>
      </c>
      <c r="C4454" s="1" t="n">
        <v>45895</v>
      </c>
      <c r="D4454" t="inlineStr">
        <is>
          <t>NORRBOTTENS LÄN</t>
        </is>
      </c>
      <c r="E4454" t="inlineStr">
        <is>
          <t>PITEÅ</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36625-2025</t>
        </is>
      </c>
      <c r="B4455" s="1" t="n">
        <v>45870.65722222222</v>
      </c>
      <c r="C4455" s="1" t="n">
        <v>45895</v>
      </c>
      <c r="D4455" t="inlineStr">
        <is>
          <t>NORRBOTTENS LÄN</t>
        </is>
      </c>
      <c r="E4455" t="inlineStr">
        <is>
          <t>GÄLLIVARE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47730-2024</t>
        </is>
      </c>
      <c r="B4456" s="1" t="n">
        <v>45588</v>
      </c>
      <c r="C4456" s="1" t="n">
        <v>45895</v>
      </c>
      <c r="D4456" t="inlineStr">
        <is>
          <t>NORRBOTTENS LÄN</t>
        </is>
      </c>
      <c r="E4456" t="inlineStr">
        <is>
          <t>KIRUNA</t>
        </is>
      </c>
      <c r="F4456" t="inlineStr">
        <is>
          <t>Allmännings- och besparingsskogar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8267-2023</t>
        </is>
      </c>
      <c r="B4457" s="1" t="n">
        <v>44971</v>
      </c>
      <c r="C4457" s="1" t="n">
        <v>45895</v>
      </c>
      <c r="D4457" t="inlineStr">
        <is>
          <t>NORRBOTTENS LÄN</t>
        </is>
      </c>
      <c r="E4457" t="inlineStr">
        <is>
          <t>PITEÅ</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30257-2025</t>
        </is>
      </c>
      <c r="B4458" s="1" t="n">
        <v>45827.42748842593</v>
      </c>
      <c r="C4458" s="1" t="n">
        <v>45895</v>
      </c>
      <c r="D4458" t="inlineStr">
        <is>
          <t>NORRBOTTENS LÄN</t>
        </is>
      </c>
      <c r="E4458" t="inlineStr">
        <is>
          <t>ÖVERKALIX</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39891-2024</t>
        </is>
      </c>
      <c r="B4459" s="1" t="n">
        <v>45553</v>
      </c>
      <c r="C4459" s="1" t="n">
        <v>45895</v>
      </c>
      <c r="D4459" t="inlineStr">
        <is>
          <t>NORRBOTTENS LÄN</t>
        </is>
      </c>
      <c r="E4459" t="inlineStr">
        <is>
          <t>PITEÅ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30174-2025</t>
        </is>
      </c>
      <c r="B4460" s="1" t="n">
        <v>45827.34454861111</v>
      </c>
      <c r="C4460" s="1" t="n">
        <v>45895</v>
      </c>
      <c r="D4460" t="inlineStr">
        <is>
          <t>NORRBOTTENS LÄN</t>
        </is>
      </c>
      <c r="E4460" t="inlineStr">
        <is>
          <t>JOKKMOKK</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57713-2024</t>
        </is>
      </c>
      <c r="B4461" s="1" t="n">
        <v>45630.69038194444</v>
      </c>
      <c r="C4461" s="1" t="n">
        <v>45895</v>
      </c>
      <c r="D4461" t="inlineStr">
        <is>
          <t>NORRBOTTENS LÄN</t>
        </is>
      </c>
      <c r="E4461" t="inlineStr">
        <is>
          <t>BODEN</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42558-2024</t>
        </is>
      </c>
      <c r="B4462" s="1" t="n">
        <v>45565</v>
      </c>
      <c r="C4462" s="1" t="n">
        <v>45895</v>
      </c>
      <c r="D4462" t="inlineStr">
        <is>
          <t>NORRBOTTENS LÄN</t>
        </is>
      </c>
      <c r="E4462" t="inlineStr">
        <is>
          <t>ÄLVSBYN</t>
        </is>
      </c>
      <c r="F4462" t="inlineStr">
        <is>
          <t>Sveaskog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36529-2025</t>
        </is>
      </c>
      <c r="B4463" s="1" t="n">
        <v>45869.61163194444</v>
      </c>
      <c r="C4463" s="1" t="n">
        <v>45895</v>
      </c>
      <c r="D4463" t="inlineStr">
        <is>
          <t>NORRBOTTENS LÄN</t>
        </is>
      </c>
      <c r="E4463" t="inlineStr">
        <is>
          <t>KALIX</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30237-2025</t>
        </is>
      </c>
      <c r="B4464" s="1" t="n">
        <v>45827.39997685186</v>
      </c>
      <c r="C4464" s="1" t="n">
        <v>45895</v>
      </c>
      <c r="D4464" t="inlineStr">
        <is>
          <t>NORRBOTTENS LÄN</t>
        </is>
      </c>
      <c r="E4464" t="inlineStr">
        <is>
          <t>LULEÅ</t>
        </is>
      </c>
      <c r="G4464" t="n">
        <v>17.6</v>
      </c>
      <c r="H4464" t="n">
        <v>0</v>
      </c>
      <c r="I4464" t="n">
        <v>0</v>
      </c>
      <c r="J4464" t="n">
        <v>0</v>
      </c>
      <c r="K4464" t="n">
        <v>0</v>
      </c>
      <c r="L4464" t="n">
        <v>0</v>
      </c>
      <c r="M4464" t="n">
        <v>0</v>
      </c>
      <c r="N4464" t="n">
        <v>0</v>
      </c>
      <c r="O4464" t="n">
        <v>0</v>
      </c>
      <c r="P4464" t="n">
        <v>0</v>
      </c>
      <c r="Q4464" t="n">
        <v>0</v>
      </c>
      <c r="R4464" s="2" t="inlineStr"/>
    </row>
    <row r="4465" ht="15" customHeight="1">
      <c r="A4465" t="inlineStr">
        <is>
          <t>A 30238-2025</t>
        </is>
      </c>
      <c r="B4465" s="1" t="n">
        <v>45827.40238425926</v>
      </c>
      <c r="C4465" s="1" t="n">
        <v>45895</v>
      </c>
      <c r="D4465" t="inlineStr">
        <is>
          <t>NORRBOTTENS LÄN</t>
        </is>
      </c>
      <c r="E4465" t="inlineStr">
        <is>
          <t>LULEÅ</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30245-2025</t>
        </is>
      </c>
      <c r="B4466" s="1" t="n">
        <v>45827.4106712963</v>
      </c>
      <c r="C4466" s="1" t="n">
        <v>45895</v>
      </c>
      <c r="D4466" t="inlineStr">
        <is>
          <t>NORRBOTTENS LÄN</t>
        </is>
      </c>
      <c r="E4466" t="inlineStr">
        <is>
          <t>LULEÅ</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30356-2025</t>
        </is>
      </c>
      <c r="B4467" s="1" t="n">
        <v>45827</v>
      </c>
      <c r="C4467" s="1" t="n">
        <v>45895</v>
      </c>
      <c r="D4467" t="inlineStr">
        <is>
          <t>NORRBOTTENS LÄN</t>
        </is>
      </c>
      <c r="E4467" t="inlineStr">
        <is>
          <t>BODEN</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30360-2025</t>
        </is>
      </c>
      <c r="B4468" s="1" t="n">
        <v>45827</v>
      </c>
      <c r="C4468" s="1" t="n">
        <v>45895</v>
      </c>
      <c r="D4468" t="inlineStr">
        <is>
          <t>NORRBOTTENS LÄN</t>
        </is>
      </c>
      <c r="E4468" t="inlineStr">
        <is>
          <t>BODEN</t>
        </is>
      </c>
      <c r="F4468" t="inlineStr">
        <is>
          <t>Sveaskog</t>
        </is>
      </c>
      <c r="G4468" t="n">
        <v>10.3</v>
      </c>
      <c r="H4468" t="n">
        <v>0</v>
      </c>
      <c r="I4468" t="n">
        <v>0</v>
      </c>
      <c r="J4468" t="n">
        <v>0</v>
      </c>
      <c r="K4468" t="n">
        <v>0</v>
      </c>
      <c r="L4468" t="n">
        <v>0</v>
      </c>
      <c r="M4468" t="n">
        <v>0</v>
      </c>
      <c r="N4468" t="n">
        <v>0</v>
      </c>
      <c r="O4468" t="n">
        <v>0</v>
      </c>
      <c r="P4468" t="n">
        <v>0</v>
      </c>
      <c r="Q4468" t="n">
        <v>0</v>
      </c>
      <c r="R4468" s="2" t="inlineStr"/>
    </row>
    <row r="4469" ht="15" customHeight="1">
      <c r="A4469" t="inlineStr">
        <is>
          <t>A 36521-2025</t>
        </is>
      </c>
      <c r="B4469" s="1" t="n">
        <v>45869.60490740741</v>
      </c>
      <c r="C4469" s="1" t="n">
        <v>45895</v>
      </c>
      <c r="D4469" t="inlineStr">
        <is>
          <t>NORRBOTTENS LÄN</t>
        </is>
      </c>
      <c r="E4469" t="inlineStr">
        <is>
          <t>PITEÅ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36524-2025</t>
        </is>
      </c>
      <c r="B4470" s="1" t="n">
        <v>45869.60674768518</v>
      </c>
      <c r="C4470" s="1" t="n">
        <v>45895</v>
      </c>
      <c r="D4470" t="inlineStr">
        <is>
          <t>NORRBOTTENS LÄN</t>
        </is>
      </c>
      <c r="E4470" t="inlineStr">
        <is>
          <t>KALIX</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30387-2025</t>
        </is>
      </c>
      <c r="B4471" s="1" t="n">
        <v>45827.57340277778</v>
      </c>
      <c r="C4471" s="1" t="n">
        <v>45895</v>
      </c>
      <c r="D4471" t="inlineStr">
        <is>
          <t>NORRBOTTENS LÄN</t>
        </is>
      </c>
      <c r="E4471" t="inlineStr">
        <is>
          <t>KALIX</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30262-2025</t>
        </is>
      </c>
      <c r="B4472" s="1" t="n">
        <v>45827.43032407408</v>
      </c>
      <c r="C4472" s="1" t="n">
        <v>45895</v>
      </c>
      <c r="D4472" t="inlineStr">
        <is>
          <t>NORRBOTTENS LÄN</t>
        </is>
      </c>
      <c r="E4472" t="inlineStr">
        <is>
          <t>PITEÅ</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29140-2022</t>
        </is>
      </c>
      <c r="B4473" s="1" t="n">
        <v>44750</v>
      </c>
      <c r="C4473" s="1" t="n">
        <v>45895</v>
      </c>
      <c r="D4473" t="inlineStr">
        <is>
          <t>NORRBOTTENS LÄN</t>
        </is>
      </c>
      <c r="E4473" t="inlineStr">
        <is>
          <t>GÄLLIVARE</t>
        </is>
      </c>
      <c r="G4473" t="n">
        <v>13.6</v>
      </c>
      <c r="H4473" t="n">
        <v>0</v>
      </c>
      <c r="I4473" t="n">
        <v>0</v>
      </c>
      <c r="J4473" t="n">
        <v>0</v>
      </c>
      <c r="K4473" t="n">
        <v>0</v>
      </c>
      <c r="L4473" t="n">
        <v>0</v>
      </c>
      <c r="M4473" t="n">
        <v>0</v>
      </c>
      <c r="N4473" t="n">
        <v>0</v>
      </c>
      <c r="O4473" t="n">
        <v>0</v>
      </c>
      <c r="P4473" t="n">
        <v>0</v>
      </c>
      <c r="Q4473" t="n">
        <v>0</v>
      </c>
      <c r="R4473" s="2" t="inlineStr"/>
    </row>
    <row r="4474" ht="15" customHeight="1">
      <c r="A4474" t="inlineStr">
        <is>
          <t>A 29159-2022</t>
        </is>
      </c>
      <c r="B4474" s="1" t="n">
        <v>44750</v>
      </c>
      <c r="C4474" s="1" t="n">
        <v>45895</v>
      </c>
      <c r="D4474" t="inlineStr">
        <is>
          <t>NORRBOTTENS LÄN</t>
        </is>
      </c>
      <c r="E4474" t="inlineStr">
        <is>
          <t>HAPARANDA</t>
        </is>
      </c>
      <c r="F4474" t="inlineStr">
        <is>
          <t>Kommuner</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36990-2025</t>
        </is>
      </c>
      <c r="B4475" s="1" t="n">
        <v>45874.66177083334</v>
      </c>
      <c r="C4475" s="1" t="n">
        <v>45895</v>
      </c>
      <c r="D4475" t="inlineStr">
        <is>
          <t>NORRBOTTENS LÄN</t>
        </is>
      </c>
      <c r="E4475" t="inlineStr">
        <is>
          <t>PITEÅ</t>
        </is>
      </c>
      <c r="F4475" t="inlineStr">
        <is>
          <t>Sveaskog</t>
        </is>
      </c>
      <c r="G4475" t="n">
        <v>22.3</v>
      </c>
      <c r="H4475" t="n">
        <v>0</v>
      </c>
      <c r="I4475" t="n">
        <v>0</v>
      </c>
      <c r="J4475" t="n">
        <v>0</v>
      </c>
      <c r="K4475" t="n">
        <v>0</v>
      </c>
      <c r="L4475" t="n">
        <v>0</v>
      </c>
      <c r="M4475" t="n">
        <v>0</v>
      </c>
      <c r="N4475" t="n">
        <v>0</v>
      </c>
      <c r="O4475" t="n">
        <v>0</v>
      </c>
      <c r="P4475" t="n">
        <v>0</v>
      </c>
      <c r="Q4475" t="n">
        <v>0</v>
      </c>
      <c r="R4475" s="2" t="inlineStr"/>
    </row>
    <row r="4476" ht="15" customHeight="1">
      <c r="A4476" t="inlineStr">
        <is>
          <t>A 30700-2025</t>
        </is>
      </c>
      <c r="B4476" s="1" t="n">
        <v>45831.5465625</v>
      </c>
      <c r="C4476" s="1" t="n">
        <v>45895</v>
      </c>
      <c r="D4476" t="inlineStr">
        <is>
          <t>NORRBOTTENS LÄN</t>
        </is>
      </c>
      <c r="E4476" t="inlineStr">
        <is>
          <t>BODEN</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39606-2024</t>
        </is>
      </c>
      <c r="B4477" s="1" t="n">
        <v>45552</v>
      </c>
      <c r="C4477" s="1" t="n">
        <v>45895</v>
      </c>
      <c r="D4477" t="inlineStr">
        <is>
          <t>NORRBOTTENS LÄN</t>
        </is>
      </c>
      <c r="E4477" t="inlineStr">
        <is>
          <t>PITEÅ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5342-2025</t>
        </is>
      </c>
      <c r="B4478" s="1" t="n">
        <v>45692.55262731481</v>
      </c>
      <c r="C4478" s="1" t="n">
        <v>45895</v>
      </c>
      <c r="D4478" t="inlineStr">
        <is>
          <t>NORRBOTTENS LÄN</t>
        </is>
      </c>
      <c r="E4478" t="inlineStr">
        <is>
          <t>LULEÅ</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1849-2025</t>
        </is>
      </c>
      <c r="B4479" s="1" t="n">
        <v>45671</v>
      </c>
      <c r="C4479" s="1" t="n">
        <v>45895</v>
      </c>
      <c r="D4479" t="inlineStr">
        <is>
          <t>NORRBOTTENS LÄN</t>
        </is>
      </c>
      <c r="E4479" t="inlineStr">
        <is>
          <t>HAPARANDA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30967-2025</t>
        </is>
      </c>
      <c r="B4480" s="1" t="n">
        <v>45832.45363425926</v>
      </c>
      <c r="C4480" s="1" t="n">
        <v>45895</v>
      </c>
      <c r="D4480" t="inlineStr">
        <is>
          <t>NORRBOTTENS LÄN</t>
        </is>
      </c>
      <c r="E4480" t="inlineStr">
        <is>
          <t>ÄLVSBYN</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30990-2025</t>
        </is>
      </c>
      <c r="B4481" s="1" t="n">
        <v>45831</v>
      </c>
      <c r="C4481" s="1" t="n">
        <v>45895</v>
      </c>
      <c r="D4481" t="inlineStr">
        <is>
          <t>NORRBOTTENS LÄN</t>
        </is>
      </c>
      <c r="E4481" t="inlineStr">
        <is>
          <t>ÖVERKALIX</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30992-2025</t>
        </is>
      </c>
      <c r="B4482" s="1" t="n">
        <v>45831</v>
      </c>
      <c r="C4482" s="1" t="n">
        <v>45895</v>
      </c>
      <c r="D4482" t="inlineStr">
        <is>
          <t>NORRBOTTENS LÄN</t>
        </is>
      </c>
      <c r="E4482" t="inlineStr">
        <is>
          <t>ÖVERKALIX</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30776-2025</t>
        </is>
      </c>
      <c r="B4483" s="1" t="n">
        <v>45831.61511574074</v>
      </c>
      <c r="C4483" s="1" t="n">
        <v>45895</v>
      </c>
      <c r="D4483" t="inlineStr">
        <is>
          <t>NORRBOTTENS LÄN</t>
        </is>
      </c>
      <c r="E4483" t="inlineStr">
        <is>
          <t>ÖVERKALIX</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19068-2024</t>
        </is>
      </c>
      <c r="B4484" s="1" t="n">
        <v>45427.93548611111</v>
      </c>
      <c r="C4484" s="1" t="n">
        <v>45895</v>
      </c>
      <c r="D4484" t="inlineStr">
        <is>
          <t>NORRBOTTENS LÄN</t>
        </is>
      </c>
      <c r="E4484" t="inlineStr">
        <is>
          <t>BODEN</t>
        </is>
      </c>
      <c r="G4484" t="n">
        <v>22.1</v>
      </c>
      <c r="H4484" t="n">
        <v>0</v>
      </c>
      <c r="I4484" t="n">
        <v>0</v>
      </c>
      <c r="J4484" t="n">
        <v>0</v>
      </c>
      <c r="K4484" t="n">
        <v>0</v>
      </c>
      <c r="L4484" t="n">
        <v>0</v>
      </c>
      <c r="M4484" t="n">
        <v>0</v>
      </c>
      <c r="N4484" t="n">
        <v>0</v>
      </c>
      <c r="O4484" t="n">
        <v>0</v>
      </c>
      <c r="P4484" t="n">
        <v>0</v>
      </c>
      <c r="Q4484" t="n">
        <v>0</v>
      </c>
      <c r="R4484" s="2" t="inlineStr"/>
    </row>
    <row r="4485" ht="15" customHeight="1">
      <c r="A4485" t="inlineStr">
        <is>
          <t>A 36452-2024</t>
        </is>
      </c>
      <c r="B4485" s="1" t="n">
        <v>45537</v>
      </c>
      <c r="C4485" s="1" t="n">
        <v>45895</v>
      </c>
      <c r="D4485" t="inlineStr">
        <is>
          <t>NORRBOTTENS LÄN</t>
        </is>
      </c>
      <c r="E4485" t="inlineStr">
        <is>
          <t>ARVIDSJAUR</t>
        </is>
      </c>
      <c r="F4485" t="inlineStr">
        <is>
          <t>Sveaskog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31177-2025</t>
        </is>
      </c>
      <c r="B4486" s="1" t="n">
        <v>45832.67101851852</v>
      </c>
      <c r="C4486" s="1" t="n">
        <v>45895</v>
      </c>
      <c r="D4486" t="inlineStr">
        <is>
          <t>NORRBOTTENS LÄN</t>
        </is>
      </c>
      <c r="E4486" t="inlineStr">
        <is>
          <t>BODEN</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39109-2024</t>
        </is>
      </c>
      <c r="B4487" s="1" t="n">
        <v>45548.57447916667</v>
      </c>
      <c r="C4487" s="1" t="n">
        <v>45895</v>
      </c>
      <c r="D4487" t="inlineStr">
        <is>
          <t>NORRBOTTENS LÄN</t>
        </is>
      </c>
      <c r="E4487" t="inlineStr">
        <is>
          <t>ARVIDSJAUR</t>
        </is>
      </c>
      <c r="F4487" t="inlineStr">
        <is>
          <t>Sveaskog</t>
        </is>
      </c>
      <c r="G4487" t="n">
        <v>35.3</v>
      </c>
      <c r="H4487" t="n">
        <v>0</v>
      </c>
      <c r="I4487" t="n">
        <v>0</v>
      </c>
      <c r="J4487" t="n">
        <v>0</v>
      </c>
      <c r="K4487" t="n">
        <v>0</v>
      </c>
      <c r="L4487" t="n">
        <v>0</v>
      </c>
      <c r="M4487" t="n">
        <v>0</v>
      </c>
      <c r="N4487" t="n">
        <v>0</v>
      </c>
      <c r="O4487" t="n">
        <v>0</v>
      </c>
      <c r="P4487" t="n">
        <v>0</v>
      </c>
      <c r="Q4487" t="n">
        <v>0</v>
      </c>
      <c r="R4487" s="2" t="inlineStr"/>
    </row>
    <row r="4488" ht="15" customHeight="1">
      <c r="A4488" t="inlineStr">
        <is>
          <t>A 30785-2025</t>
        </is>
      </c>
      <c r="B4488" s="1" t="n">
        <v>45831.62880787037</v>
      </c>
      <c r="C4488" s="1" t="n">
        <v>45895</v>
      </c>
      <c r="D4488" t="inlineStr">
        <is>
          <t>NORRBOTTENS LÄN</t>
        </is>
      </c>
      <c r="E4488" t="inlineStr">
        <is>
          <t>PAJALA</t>
        </is>
      </c>
      <c r="F4488" t="inlineStr">
        <is>
          <t>Sveaskog</t>
        </is>
      </c>
      <c r="G4488" t="n">
        <v>16.7</v>
      </c>
      <c r="H4488" t="n">
        <v>0</v>
      </c>
      <c r="I4488" t="n">
        <v>0</v>
      </c>
      <c r="J4488" t="n">
        <v>0</v>
      </c>
      <c r="K4488" t="n">
        <v>0</v>
      </c>
      <c r="L4488" t="n">
        <v>0</v>
      </c>
      <c r="M4488" t="n">
        <v>0</v>
      </c>
      <c r="N4488" t="n">
        <v>0</v>
      </c>
      <c r="O4488" t="n">
        <v>0</v>
      </c>
      <c r="P4488" t="n">
        <v>0</v>
      </c>
      <c r="Q4488" t="n">
        <v>0</v>
      </c>
      <c r="R4488" s="2" t="inlineStr"/>
    </row>
    <row r="4489" ht="15" customHeight="1">
      <c r="A4489" t="inlineStr">
        <is>
          <t>A 31095-2025</t>
        </is>
      </c>
      <c r="B4489" s="1" t="n">
        <v>45832.59581018519</v>
      </c>
      <c r="C4489" s="1" t="n">
        <v>45895</v>
      </c>
      <c r="D4489" t="inlineStr">
        <is>
          <t>NORRBOTTENS LÄN</t>
        </is>
      </c>
      <c r="E4489" t="inlineStr">
        <is>
          <t>PITEÅ</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36476-2025</t>
        </is>
      </c>
      <c r="B4490" s="1" t="n">
        <v>45869.48997685185</v>
      </c>
      <c r="C4490" s="1" t="n">
        <v>45895</v>
      </c>
      <c r="D4490" t="inlineStr">
        <is>
          <t>NORRBOTTENS LÄN</t>
        </is>
      </c>
      <c r="E4490" t="inlineStr">
        <is>
          <t>GÄLLIVARE</t>
        </is>
      </c>
      <c r="F4490" t="inlineStr">
        <is>
          <t>SCA</t>
        </is>
      </c>
      <c r="G4490" t="n">
        <v>16.5</v>
      </c>
      <c r="H4490" t="n">
        <v>0</v>
      </c>
      <c r="I4490" t="n">
        <v>0</v>
      </c>
      <c r="J4490" t="n">
        <v>0</v>
      </c>
      <c r="K4490" t="n">
        <v>0</v>
      </c>
      <c r="L4490" t="n">
        <v>0</v>
      </c>
      <c r="M4490" t="n">
        <v>0</v>
      </c>
      <c r="N4490" t="n">
        <v>0</v>
      </c>
      <c r="O4490" t="n">
        <v>0</v>
      </c>
      <c r="P4490" t="n">
        <v>0</v>
      </c>
      <c r="Q4490" t="n">
        <v>0</v>
      </c>
      <c r="R4490" s="2" t="inlineStr"/>
    </row>
    <row r="4491" ht="15" customHeight="1">
      <c r="A4491" t="inlineStr">
        <is>
          <t>A 45034-2023</t>
        </is>
      </c>
      <c r="B4491" s="1" t="n">
        <v>45191.28909722222</v>
      </c>
      <c r="C4491" s="1" t="n">
        <v>45895</v>
      </c>
      <c r="D4491" t="inlineStr">
        <is>
          <t>NORRBOTTENS LÄN</t>
        </is>
      </c>
      <c r="E4491" t="inlineStr">
        <is>
          <t>ARVIDSJAUR</t>
        </is>
      </c>
      <c r="F4491" t="inlineStr">
        <is>
          <t>Sveaskog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3663-2025</t>
        </is>
      </c>
      <c r="B4492" s="1" t="n">
        <v>45681.42721064815</v>
      </c>
      <c r="C4492" s="1" t="n">
        <v>45895</v>
      </c>
      <c r="D4492" t="inlineStr">
        <is>
          <t>NORRBOTTENS LÄN</t>
        </is>
      </c>
      <c r="E4492" t="inlineStr">
        <is>
          <t>PITEÅ</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36320-2025</t>
        </is>
      </c>
      <c r="B4493" s="1" t="n">
        <v>45868</v>
      </c>
      <c r="C4493" s="1" t="n">
        <v>45895</v>
      </c>
      <c r="D4493" t="inlineStr">
        <is>
          <t>NORRBOTTENS LÄN</t>
        </is>
      </c>
      <c r="E4493" t="inlineStr">
        <is>
          <t>GÄLLIVARE</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27175-2023</t>
        </is>
      </c>
      <c r="B4494" s="1" t="n">
        <v>45096</v>
      </c>
      <c r="C4494" s="1" t="n">
        <v>45895</v>
      </c>
      <c r="D4494" t="inlineStr">
        <is>
          <t>NORRBOTTENS LÄN</t>
        </is>
      </c>
      <c r="E4494" t="inlineStr">
        <is>
          <t>PITEÅ</t>
        </is>
      </c>
      <c r="F4494" t="inlineStr">
        <is>
          <t>Övriga Aktiebolag</t>
        </is>
      </c>
      <c r="G4494" t="n">
        <v>9.4</v>
      </c>
      <c r="H4494" t="n">
        <v>0</v>
      </c>
      <c r="I4494" t="n">
        <v>0</v>
      </c>
      <c r="J4494" t="n">
        <v>0</v>
      </c>
      <c r="K4494" t="n">
        <v>0</v>
      </c>
      <c r="L4494" t="n">
        <v>0</v>
      </c>
      <c r="M4494" t="n">
        <v>0</v>
      </c>
      <c r="N4494" t="n">
        <v>0</v>
      </c>
      <c r="O4494" t="n">
        <v>0</v>
      </c>
      <c r="P4494" t="n">
        <v>0</v>
      </c>
      <c r="Q4494" t="n">
        <v>0</v>
      </c>
      <c r="R4494" s="2" t="inlineStr"/>
    </row>
    <row r="4495" ht="15" customHeight="1">
      <c r="A4495" t="inlineStr">
        <is>
          <t>A 30985-2025</t>
        </is>
      </c>
      <c r="B4495" s="1" t="n">
        <v>45831</v>
      </c>
      <c r="C4495" s="1" t="n">
        <v>45895</v>
      </c>
      <c r="D4495" t="inlineStr">
        <is>
          <t>NORRBOTTENS LÄN</t>
        </is>
      </c>
      <c r="E4495" t="inlineStr">
        <is>
          <t>ÖVERKALIX</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8198-2025</t>
        </is>
      </c>
      <c r="B4496" s="1" t="n">
        <v>45708</v>
      </c>
      <c r="C4496" s="1" t="n">
        <v>45895</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36939-2022</t>
        </is>
      </c>
      <c r="B4497" s="1" t="n">
        <v>44805</v>
      </c>
      <c r="C4497" s="1" t="n">
        <v>45895</v>
      </c>
      <c r="D4497" t="inlineStr">
        <is>
          <t>NORRBOTTENS LÄN</t>
        </is>
      </c>
      <c r="E4497" t="inlineStr">
        <is>
          <t>KIRUNA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57332-2024</t>
        </is>
      </c>
      <c r="B4498" s="1" t="n">
        <v>45629</v>
      </c>
      <c r="C4498" s="1" t="n">
        <v>45895</v>
      </c>
      <c r="D4498" t="inlineStr">
        <is>
          <t>NORRBOTTENS LÄN</t>
        </is>
      </c>
      <c r="E4498" t="inlineStr">
        <is>
          <t>KALIX</t>
        </is>
      </c>
      <c r="G4498" t="n">
        <v>13.9</v>
      </c>
      <c r="H4498" t="n">
        <v>0</v>
      </c>
      <c r="I4498" t="n">
        <v>0</v>
      </c>
      <c r="J4498" t="n">
        <v>0</v>
      </c>
      <c r="K4498" t="n">
        <v>0</v>
      </c>
      <c r="L4498" t="n">
        <v>0</v>
      </c>
      <c r="M4498" t="n">
        <v>0</v>
      </c>
      <c r="N4498" t="n">
        <v>0</v>
      </c>
      <c r="O4498" t="n">
        <v>0</v>
      </c>
      <c r="P4498" t="n">
        <v>0</v>
      </c>
      <c r="Q4498" t="n">
        <v>0</v>
      </c>
      <c r="R4498" s="2" t="inlineStr"/>
    </row>
    <row r="4499" ht="15" customHeight="1">
      <c r="A4499" t="inlineStr">
        <is>
          <t>A 46443-2024</t>
        </is>
      </c>
      <c r="B4499" s="1" t="n">
        <v>45582</v>
      </c>
      <c r="C4499" s="1" t="n">
        <v>45895</v>
      </c>
      <c r="D4499" t="inlineStr">
        <is>
          <t>NORRBOTTENS LÄN</t>
        </is>
      </c>
      <c r="E4499" t="inlineStr">
        <is>
          <t>ARVIDSJAUR</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17439-2023</t>
        </is>
      </c>
      <c r="B4500" s="1" t="n">
        <v>45035.92714120371</v>
      </c>
      <c r="C4500" s="1" t="n">
        <v>45895</v>
      </c>
      <c r="D4500" t="inlineStr">
        <is>
          <t>NORRBOTTENS LÄN</t>
        </is>
      </c>
      <c r="E4500" t="inlineStr">
        <is>
          <t>LULEÅ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47919-2024</t>
        </is>
      </c>
      <c r="B4501" s="1" t="n">
        <v>45589</v>
      </c>
      <c r="C4501" s="1" t="n">
        <v>45895</v>
      </c>
      <c r="D4501" t="inlineStr">
        <is>
          <t>NORRBOTTENS LÄN</t>
        </is>
      </c>
      <c r="E4501" t="inlineStr">
        <is>
          <t>ARVIDSJAUR</t>
        </is>
      </c>
      <c r="F4501" t="inlineStr">
        <is>
          <t>Sveaskog</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47929-2024</t>
        </is>
      </c>
      <c r="B4502" s="1" t="n">
        <v>45589</v>
      </c>
      <c r="C4502" s="1" t="n">
        <v>45895</v>
      </c>
      <c r="D4502" t="inlineStr">
        <is>
          <t>NORRBOTTENS LÄN</t>
        </is>
      </c>
      <c r="E4502" t="inlineStr">
        <is>
          <t>BODEN</t>
        </is>
      </c>
      <c r="F4502" t="inlineStr">
        <is>
          <t>Naturvårdsverket</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61510-2024</t>
        </is>
      </c>
      <c r="B4503" s="1" t="n">
        <v>45646.56674768519</v>
      </c>
      <c r="C4503" s="1" t="n">
        <v>45895</v>
      </c>
      <c r="D4503" t="inlineStr">
        <is>
          <t>NORRBOTTENS LÄN</t>
        </is>
      </c>
      <c r="E4503" t="inlineStr">
        <is>
          <t>LULEÅ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11782-2025</t>
        </is>
      </c>
      <c r="B4504" s="1" t="n">
        <v>45727.71935185185</v>
      </c>
      <c r="C4504" s="1" t="n">
        <v>45895</v>
      </c>
      <c r="D4504" t="inlineStr">
        <is>
          <t>NORRBOTTENS LÄN</t>
        </is>
      </c>
      <c r="E4504" t="inlineStr">
        <is>
          <t>GÄLLIVARE</t>
        </is>
      </c>
      <c r="F4504" t="inlineStr">
        <is>
          <t>SCA</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3799-2025</t>
        </is>
      </c>
      <c r="B4505" s="1" t="n">
        <v>45681.65606481482</v>
      </c>
      <c r="C4505" s="1" t="n">
        <v>45895</v>
      </c>
      <c r="D4505" t="inlineStr">
        <is>
          <t>NORRBOTTENS LÄN</t>
        </is>
      </c>
      <c r="E4505" t="inlineStr">
        <is>
          <t>KALIX</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1305-2025</t>
        </is>
      </c>
      <c r="B4506" s="1" t="n">
        <v>45667.55021990741</v>
      </c>
      <c r="C4506" s="1" t="n">
        <v>45895</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3071-2025</t>
        </is>
      </c>
      <c r="B4507" s="1" t="n">
        <v>45678.63983796296</v>
      </c>
      <c r="C4507" s="1" t="n">
        <v>45895</v>
      </c>
      <c r="D4507" t="inlineStr">
        <is>
          <t>NORRBOTTENS LÄN</t>
        </is>
      </c>
      <c r="E4507" t="inlineStr">
        <is>
          <t>PITEÅ</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28646-2023</t>
        </is>
      </c>
      <c r="B4508" s="1" t="n">
        <v>45096</v>
      </c>
      <c r="C4508" s="1" t="n">
        <v>45895</v>
      </c>
      <c r="D4508" t="inlineStr">
        <is>
          <t>NORRBOTTENS LÄN</t>
        </is>
      </c>
      <c r="E4508" t="inlineStr">
        <is>
          <t>GÄLLIVARE</t>
        </is>
      </c>
      <c r="F4508" t="inlineStr">
        <is>
          <t>Allmännings- och besparingsskogar</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61568-2024</t>
        </is>
      </c>
      <c r="B4509" s="1" t="n">
        <v>45646.61572916667</v>
      </c>
      <c r="C4509" s="1" t="n">
        <v>45895</v>
      </c>
      <c r="D4509" t="inlineStr">
        <is>
          <t>NORRBOTTENS LÄN</t>
        </is>
      </c>
      <c r="E4509" t="inlineStr">
        <is>
          <t>BODEN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56168-2022</t>
        </is>
      </c>
      <c r="B4510" s="1" t="n">
        <v>44889</v>
      </c>
      <c r="C4510" s="1" t="n">
        <v>45895</v>
      </c>
      <c r="D4510" t="inlineStr">
        <is>
          <t>NORRBOTTENS LÄN</t>
        </is>
      </c>
      <c r="E4510" t="inlineStr">
        <is>
          <t>JOKKMOKK</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50115-2024</t>
        </is>
      </c>
      <c r="B4511" s="1" t="n">
        <v>45600.41362268518</v>
      </c>
      <c r="C4511" s="1" t="n">
        <v>45895</v>
      </c>
      <c r="D4511" t="inlineStr">
        <is>
          <t>NORRBOTTENS LÄN</t>
        </is>
      </c>
      <c r="E4511" t="inlineStr">
        <is>
          <t>KALIX</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30809-2025</t>
        </is>
      </c>
      <c r="B4512" s="1" t="n">
        <v>45831.65704861111</v>
      </c>
      <c r="C4512" s="1" t="n">
        <v>45895</v>
      </c>
      <c r="D4512" t="inlineStr">
        <is>
          <t>NORRBOTTENS LÄN</t>
        </is>
      </c>
      <c r="E4512" t="inlineStr">
        <is>
          <t>PITEÅ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36767-2025</t>
        </is>
      </c>
      <c r="B4513" s="1" t="n">
        <v>45873.58252314815</v>
      </c>
      <c r="C4513" s="1" t="n">
        <v>45895</v>
      </c>
      <c r="D4513" t="inlineStr">
        <is>
          <t>NORRBOTTENS LÄN</t>
        </is>
      </c>
      <c r="E4513" t="inlineStr">
        <is>
          <t>HAPARANDA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31104-2025</t>
        </is>
      </c>
      <c r="B4514" s="1" t="n">
        <v>45832.60090277778</v>
      </c>
      <c r="C4514" s="1" t="n">
        <v>45895</v>
      </c>
      <c r="D4514" t="inlineStr">
        <is>
          <t>NORRBOTTENS LÄN</t>
        </is>
      </c>
      <c r="E4514" t="inlineStr">
        <is>
          <t>ARJEPLOG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25923-2024</t>
        </is>
      </c>
      <c r="B4515" s="1" t="n">
        <v>45467</v>
      </c>
      <c r="C4515" s="1" t="n">
        <v>45895</v>
      </c>
      <c r="D4515" t="inlineStr">
        <is>
          <t>NORRBOTTENS LÄN</t>
        </is>
      </c>
      <c r="E4515" t="inlineStr">
        <is>
          <t>GÄLLIVARE</t>
        </is>
      </c>
      <c r="F4515" t="inlineStr">
        <is>
          <t>Allmännings- och besparingsskogar</t>
        </is>
      </c>
      <c r="G4515" t="n">
        <v>15.1</v>
      </c>
      <c r="H4515" t="n">
        <v>0</v>
      </c>
      <c r="I4515" t="n">
        <v>0</v>
      </c>
      <c r="J4515" t="n">
        <v>0</v>
      </c>
      <c r="K4515" t="n">
        <v>0</v>
      </c>
      <c r="L4515" t="n">
        <v>0</v>
      </c>
      <c r="M4515" t="n">
        <v>0</v>
      </c>
      <c r="N4515" t="n">
        <v>0</v>
      </c>
      <c r="O4515" t="n">
        <v>0</v>
      </c>
      <c r="P4515" t="n">
        <v>0</v>
      </c>
      <c r="Q4515" t="n">
        <v>0</v>
      </c>
      <c r="R4515" s="2" t="inlineStr"/>
    </row>
    <row r="4516" ht="15" customHeight="1">
      <c r="A4516" t="inlineStr">
        <is>
          <t>A 30823-2025</t>
        </is>
      </c>
      <c r="B4516" s="1" t="n">
        <v>45831.66894675926</v>
      </c>
      <c r="C4516" s="1" t="n">
        <v>45895</v>
      </c>
      <c r="D4516" t="inlineStr">
        <is>
          <t>NORRBOTTENS LÄN</t>
        </is>
      </c>
      <c r="E4516" t="inlineStr">
        <is>
          <t>ÖVERTORNEÅ</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31009-2025</t>
        </is>
      </c>
      <c r="B4517" s="1" t="n">
        <v>45831</v>
      </c>
      <c r="C4517" s="1" t="n">
        <v>45895</v>
      </c>
      <c r="D4517" t="inlineStr">
        <is>
          <t>NORRBOTTENS LÄN</t>
        </is>
      </c>
      <c r="E4517" t="inlineStr">
        <is>
          <t>ÖVERKALIX</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36438-2024</t>
        </is>
      </c>
      <c r="B4518" s="1" t="n">
        <v>45537.27357638889</v>
      </c>
      <c r="C4518" s="1" t="n">
        <v>45895</v>
      </c>
      <c r="D4518" t="inlineStr">
        <is>
          <t>NORRBOTTENS LÄN</t>
        </is>
      </c>
      <c r="E4518" t="inlineStr">
        <is>
          <t>BODEN</t>
        </is>
      </c>
      <c r="F4518" t="inlineStr">
        <is>
          <t>Sveaskog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19433-2025</t>
        </is>
      </c>
      <c r="B4519" s="1" t="n">
        <v>45769.89828703704</v>
      </c>
      <c r="C4519" s="1" t="n">
        <v>45895</v>
      </c>
      <c r="D4519" t="inlineStr">
        <is>
          <t>NORRBOTTENS LÄN</t>
        </is>
      </c>
      <c r="E4519" t="inlineStr">
        <is>
          <t>PITEÅ</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30715-2025</t>
        </is>
      </c>
      <c r="B4520" s="1" t="n">
        <v>45831.55346064815</v>
      </c>
      <c r="C4520" s="1" t="n">
        <v>45895</v>
      </c>
      <c r="D4520" t="inlineStr">
        <is>
          <t>NORRBOTTENS LÄN</t>
        </is>
      </c>
      <c r="E4520" t="inlineStr">
        <is>
          <t>KALIX</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25275-2023</t>
        </is>
      </c>
      <c r="B4521" s="1" t="n">
        <v>45079</v>
      </c>
      <c r="C4521" s="1" t="n">
        <v>45895</v>
      </c>
      <c r="D4521" t="inlineStr">
        <is>
          <t>NORRBOTTENS LÄN</t>
        </is>
      </c>
      <c r="E4521" t="inlineStr">
        <is>
          <t>ARJEPLOG</t>
        </is>
      </c>
      <c r="F4521" t="inlineStr">
        <is>
          <t>Övriga statliga verk och myndigheter</t>
        </is>
      </c>
      <c r="G4521" t="n">
        <v>22.7</v>
      </c>
      <c r="H4521" t="n">
        <v>0</v>
      </c>
      <c r="I4521" t="n">
        <v>0</v>
      </c>
      <c r="J4521" t="n">
        <v>0</v>
      </c>
      <c r="K4521" t="n">
        <v>0</v>
      </c>
      <c r="L4521" t="n">
        <v>0</v>
      </c>
      <c r="M4521" t="n">
        <v>0</v>
      </c>
      <c r="N4521" t="n">
        <v>0</v>
      </c>
      <c r="O4521" t="n">
        <v>0</v>
      </c>
      <c r="P4521" t="n">
        <v>0</v>
      </c>
      <c r="Q4521" t="n">
        <v>0</v>
      </c>
      <c r="R4521" s="2" t="inlineStr"/>
    </row>
    <row r="4522" ht="15" customHeight="1">
      <c r="A4522" t="inlineStr">
        <is>
          <t>A 37023-2025</t>
        </is>
      </c>
      <c r="B4522" s="1" t="n">
        <v>45874</v>
      </c>
      <c r="C4522" s="1" t="n">
        <v>45895</v>
      </c>
      <c r="D4522" t="inlineStr">
        <is>
          <t>NORRBOTTENS LÄN</t>
        </is>
      </c>
      <c r="E4522" t="inlineStr">
        <is>
          <t>BODEN</t>
        </is>
      </c>
      <c r="G4522" t="n">
        <v>7.8</v>
      </c>
      <c r="H4522" t="n">
        <v>0</v>
      </c>
      <c r="I4522" t="n">
        <v>0</v>
      </c>
      <c r="J4522" t="n">
        <v>0</v>
      </c>
      <c r="K4522" t="n">
        <v>0</v>
      </c>
      <c r="L4522" t="n">
        <v>0</v>
      </c>
      <c r="M4522" t="n">
        <v>0</v>
      </c>
      <c r="N4522" t="n">
        <v>0</v>
      </c>
      <c r="O4522" t="n">
        <v>0</v>
      </c>
      <c r="P4522" t="n">
        <v>0</v>
      </c>
      <c r="Q4522" t="n">
        <v>0</v>
      </c>
      <c r="R4522" s="2" t="inlineStr"/>
      <c r="U4522">
        <f>HYPERLINK("https://klasma.github.io/Logging_2582/knärot/A 37023-2025 karta knärot.png", "A 37023-2025")</f>
        <v/>
      </c>
      <c r="V4522">
        <f>HYPERLINK("https://klasma.github.io/Logging_2582/klagomål/A 37023-2025 FSC-klagomål.docx", "A 37023-2025")</f>
        <v/>
      </c>
      <c r="W4522">
        <f>HYPERLINK("https://klasma.github.io/Logging_2582/klagomålsmail/A 37023-2025 FSC-klagomål mail.docx", "A 37023-2025")</f>
        <v/>
      </c>
      <c r="X4522">
        <f>HYPERLINK("https://klasma.github.io/Logging_2582/tillsyn/A 37023-2025 tillsynsbegäran.docx", "A 37023-2025")</f>
        <v/>
      </c>
      <c r="Y4522">
        <f>HYPERLINK("https://klasma.github.io/Logging_2582/tillsynsmail/A 37023-2025 tillsynsbegäran mail.docx", "A 37023-2025")</f>
        <v/>
      </c>
    </row>
    <row r="4523" ht="15" customHeight="1">
      <c r="A4523" t="inlineStr">
        <is>
          <t>A 9865-2023</t>
        </is>
      </c>
      <c r="B4523" s="1" t="n">
        <v>44984</v>
      </c>
      <c r="C4523" s="1" t="n">
        <v>45895</v>
      </c>
      <c r="D4523" t="inlineStr">
        <is>
          <t>NORRBOTTENS LÄN</t>
        </is>
      </c>
      <c r="E4523" t="inlineStr">
        <is>
          <t>JOKKMOKK</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6957-2025</t>
        </is>
      </c>
      <c r="B4524" s="1" t="n">
        <v>45701.49048611111</v>
      </c>
      <c r="C4524" s="1" t="n">
        <v>45895</v>
      </c>
      <c r="D4524" t="inlineStr">
        <is>
          <t>NORRBOTTENS LÄN</t>
        </is>
      </c>
      <c r="E4524" t="inlineStr">
        <is>
          <t>LULEÅ</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36681-2025</t>
        </is>
      </c>
      <c r="B4525" s="1" t="n">
        <v>45873.40009259259</v>
      </c>
      <c r="C4525" s="1" t="n">
        <v>45895</v>
      </c>
      <c r="D4525" t="inlineStr">
        <is>
          <t>NORRBOTTENS LÄN</t>
        </is>
      </c>
      <c r="E4525" t="inlineStr">
        <is>
          <t>PITEÅ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4547-2025</t>
        </is>
      </c>
      <c r="B4526" s="1" t="n">
        <v>45687.40212962963</v>
      </c>
      <c r="C4526" s="1" t="n">
        <v>45895</v>
      </c>
      <c r="D4526" t="inlineStr">
        <is>
          <t>NORRBOTTENS LÄN</t>
        </is>
      </c>
      <c r="E4526" t="inlineStr">
        <is>
          <t>LULEÅ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36741-2025</t>
        </is>
      </c>
      <c r="B4527" s="1" t="n">
        <v>45873.53378472223</v>
      </c>
      <c r="C4527" s="1" t="n">
        <v>45895</v>
      </c>
      <c r="D4527" t="inlineStr">
        <is>
          <t>NORRBOTTENS LÄN</t>
        </is>
      </c>
      <c r="E4527" t="inlineStr">
        <is>
          <t>PITEÅ</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4928-2025</t>
        </is>
      </c>
      <c r="B4528" s="1" t="n">
        <v>45688.68462962963</v>
      </c>
      <c r="C4528" s="1" t="n">
        <v>45895</v>
      </c>
      <c r="D4528" t="inlineStr">
        <is>
          <t>NORRBOTTENS LÄN</t>
        </is>
      </c>
      <c r="E4528" t="inlineStr">
        <is>
          <t>ÄLVSBYN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54211-2024</t>
        </is>
      </c>
      <c r="B4529" s="1" t="n">
        <v>45616</v>
      </c>
      <c r="C4529" s="1" t="n">
        <v>45895</v>
      </c>
      <c r="D4529" t="inlineStr">
        <is>
          <t>NORRBOTTENS LÄN</t>
        </is>
      </c>
      <c r="E4529" t="inlineStr">
        <is>
          <t>ARVIDSJAUR</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16204-2024</t>
        </is>
      </c>
      <c r="B4530" s="1" t="n">
        <v>45406.77420138889</v>
      </c>
      <c r="C4530" s="1" t="n">
        <v>45895</v>
      </c>
      <c r="D4530" t="inlineStr">
        <is>
          <t>NORRBOTTENS LÄN</t>
        </is>
      </c>
      <c r="E4530" t="inlineStr">
        <is>
          <t>ÄLVSBYN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16208-2024</t>
        </is>
      </c>
      <c r="B4531" s="1" t="n">
        <v>45406.84912037037</v>
      </c>
      <c r="C4531" s="1" t="n">
        <v>45895</v>
      </c>
      <c r="D4531" t="inlineStr">
        <is>
          <t>NORRBOTTENS LÄN</t>
        </is>
      </c>
      <c r="E4531" t="inlineStr">
        <is>
          <t>PAJALA</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48971-2020</t>
        </is>
      </c>
      <c r="B4532" s="1" t="n">
        <v>44105</v>
      </c>
      <c r="C4532" s="1" t="n">
        <v>45895</v>
      </c>
      <c r="D4532" t="inlineStr">
        <is>
          <t>NORRBOTTENS LÄN</t>
        </is>
      </c>
      <c r="E4532" t="inlineStr">
        <is>
          <t>ÄLVSBYN</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47853-2023</t>
        </is>
      </c>
      <c r="B4533" s="1" t="n">
        <v>45204.41158564815</v>
      </c>
      <c r="C4533" s="1" t="n">
        <v>45895</v>
      </c>
      <c r="D4533" t="inlineStr">
        <is>
          <t>NORRBOTTENS LÄN</t>
        </is>
      </c>
      <c r="E4533" t="inlineStr">
        <is>
          <t>KALIX</t>
        </is>
      </c>
      <c r="G4533" t="n">
        <v>8.9</v>
      </c>
      <c r="H4533" t="n">
        <v>0</v>
      </c>
      <c r="I4533" t="n">
        <v>0</v>
      </c>
      <c r="J4533" t="n">
        <v>0</v>
      </c>
      <c r="K4533" t="n">
        <v>0</v>
      </c>
      <c r="L4533" t="n">
        <v>0</v>
      </c>
      <c r="M4533" t="n">
        <v>0</v>
      </c>
      <c r="N4533" t="n">
        <v>0</v>
      </c>
      <c r="O4533" t="n">
        <v>0</v>
      </c>
      <c r="P4533" t="n">
        <v>0</v>
      </c>
      <c r="Q4533" t="n">
        <v>0</v>
      </c>
      <c r="R4533" s="2" t="inlineStr"/>
    </row>
    <row r="4534" ht="15" customHeight="1">
      <c r="A4534" t="inlineStr">
        <is>
          <t>A 51275-2024</t>
        </is>
      </c>
      <c r="B4534" s="1" t="n">
        <v>45602</v>
      </c>
      <c r="C4534" s="1" t="n">
        <v>45895</v>
      </c>
      <c r="D4534" t="inlineStr">
        <is>
          <t>NORRBOTTENS LÄN</t>
        </is>
      </c>
      <c r="E4534" t="inlineStr">
        <is>
          <t>ÖVERTORNEÅ</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36361-2024</t>
        </is>
      </c>
      <c r="B4535" s="1" t="n">
        <v>45534.64626157407</v>
      </c>
      <c r="C4535" s="1" t="n">
        <v>45895</v>
      </c>
      <c r="D4535" t="inlineStr">
        <is>
          <t>NORRBOTTENS LÄN</t>
        </is>
      </c>
      <c r="E4535" t="inlineStr">
        <is>
          <t>JOKKMOKK</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51279-2024</t>
        </is>
      </c>
      <c r="B4536" s="1" t="n">
        <v>45603</v>
      </c>
      <c r="C4536" s="1" t="n">
        <v>45895</v>
      </c>
      <c r="D4536" t="inlineStr">
        <is>
          <t>NORRBOTTENS LÄN</t>
        </is>
      </c>
      <c r="E4536" t="inlineStr">
        <is>
          <t>BODEN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49704-2024</t>
        </is>
      </c>
      <c r="B4537" s="1" t="n">
        <v>45596</v>
      </c>
      <c r="C4537" s="1" t="n">
        <v>45895</v>
      </c>
      <c r="D4537" t="inlineStr">
        <is>
          <t>NORRBOTTENS LÄN</t>
        </is>
      </c>
      <c r="E4537" t="inlineStr">
        <is>
          <t>KIRUNA</t>
        </is>
      </c>
      <c r="G4537" t="n">
        <v>17.4</v>
      </c>
      <c r="H4537" t="n">
        <v>0</v>
      </c>
      <c r="I4537" t="n">
        <v>0</v>
      </c>
      <c r="J4537" t="n">
        <v>0</v>
      </c>
      <c r="K4537" t="n">
        <v>0</v>
      </c>
      <c r="L4537" t="n">
        <v>0</v>
      </c>
      <c r="M4537" t="n">
        <v>0</v>
      </c>
      <c r="N4537" t="n">
        <v>0</v>
      </c>
      <c r="O4537" t="n">
        <v>0</v>
      </c>
      <c r="P4537" t="n">
        <v>0</v>
      </c>
      <c r="Q4537" t="n">
        <v>0</v>
      </c>
      <c r="R4537" s="2" t="inlineStr"/>
    </row>
    <row r="4538" ht="15" customHeight="1">
      <c r="A4538" t="inlineStr">
        <is>
          <t>A 8334-2025</t>
        </is>
      </c>
      <c r="B4538" s="1" t="n">
        <v>45708</v>
      </c>
      <c r="C4538" s="1" t="n">
        <v>45895</v>
      </c>
      <c r="D4538" t="inlineStr">
        <is>
          <t>NORRBOTTENS LÄN</t>
        </is>
      </c>
      <c r="E4538" t="inlineStr">
        <is>
          <t>ÄLVSBYN</t>
        </is>
      </c>
      <c r="F4538" t="inlineStr">
        <is>
          <t>SCA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28378-2021</t>
        </is>
      </c>
      <c r="B4539" s="1" t="n">
        <v>44356</v>
      </c>
      <c r="C4539" s="1" t="n">
        <v>45895</v>
      </c>
      <c r="D4539" t="inlineStr">
        <is>
          <t>NORRBOTTENS LÄN</t>
        </is>
      </c>
      <c r="E4539" t="inlineStr">
        <is>
          <t>BODEN</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30980-2025</t>
        </is>
      </c>
      <c r="B4540" s="1" t="n">
        <v>45831</v>
      </c>
      <c r="C4540" s="1" t="n">
        <v>45895</v>
      </c>
      <c r="D4540" t="inlineStr">
        <is>
          <t>NORRBOTTENS LÄN</t>
        </is>
      </c>
      <c r="E4540" t="inlineStr">
        <is>
          <t>ÖVERKALIX</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30987-2025</t>
        </is>
      </c>
      <c r="B4541" s="1" t="n">
        <v>45831</v>
      </c>
      <c r="C4541" s="1" t="n">
        <v>45895</v>
      </c>
      <c r="D4541" t="inlineStr">
        <is>
          <t>NORRBOTTENS LÄN</t>
        </is>
      </c>
      <c r="E4541" t="inlineStr">
        <is>
          <t>ÖVERKALIX</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25916-2023</t>
        </is>
      </c>
      <c r="B4542" s="1" t="n">
        <v>45085</v>
      </c>
      <c r="C4542" s="1" t="n">
        <v>45895</v>
      </c>
      <c r="D4542" t="inlineStr">
        <is>
          <t>NORRBOTTENS LÄN</t>
        </is>
      </c>
      <c r="E4542" t="inlineStr">
        <is>
          <t>BODEN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6240-2023</t>
        </is>
      </c>
      <c r="B4543" s="1" t="n">
        <v>44964.94399305555</v>
      </c>
      <c r="C4543" s="1" t="n">
        <v>45895</v>
      </c>
      <c r="D4543" t="inlineStr">
        <is>
          <t>NORRBOTTENS LÄN</t>
        </is>
      </c>
      <c r="E4543" t="inlineStr">
        <is>
          <t>KALIX</t>
        </is>
      </c>
      <c r="F4543" t="inlineStr">
        <is>
          <t>SCA</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6242-2023</t>
        </is>
      </c>
      <c r="B4544" s="1" t="n">
        <v>44964.94416666667</v>
      </c>
      <c r="C4544" s="1" t="n">
        <v>45895</v>
      </c>
      <c r="D4544" t="inlineStr">
        <is>
          <t>NORRBOTTENS LÄN</t>
        </is>
      </c>
      <c r="E4544" t="inlineStr">
        <is>
          <t>BODEN</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9974-2025</t>
        </is>
      </c>
      <c r="B4545" s="1" t="n">
        <v>45719.39393518519</v>
      </c>
      <c r="C4545" s="1" t="n">
        <v>45895</v>
      </c>
      <c r="D4545" t="inlineStr">
        <is>
          <t>NORRBOTTENS LÄN</t>
        </is>
      </c>
      <c r="E4545" t="inlineStr">
        <is>
          <t>KALIX</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31019-2025</t>
        </is>
      </c>
      <c r="B4546" s="1" t="n">
        <v>45832.51322916667</v>
      </c>
      <c r="C4546" s="1" t="n">
        <v>45895</v>
      </c>
      <c r="D4546" t="inlineStr">
        <is>
          <t>NORRBOTTENS LÄN</t>
        </is>
      </c>
      <c r="E4546" t="inlineStr">
        <is>
          <t>PAJALA</t>
        </is>
      </c>
      <c r="F4546" t="inlineStr">
        <is>
          <t>Sveaskog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31036-2025</t>
        </is>
      </c>
      <c r="B4547" s="1" t="n">
        <v>45832.54734953704</v>
      </c>
      <c r="C4547" s="1" t="n">
        <v>45895</v>
      </c>
      <c r="D4547" t="inlineStr">
        <is>
          <t>NORRBOTTENS LÄN</t>
        </is>
      </c>
      <c r="E4547" t="inlineStr">
        <is>
          <t>KALIX</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30912-2025</t>
        </is>
      </c>
      <c r="B4548" s="1" t="n">
        <v>45832.37572916667</v>
      </c>
      <c r="C4548" s="1" t="n">
        <v>45895</v>
      </c>
      <c r="D4548" t="inlineStr">
        <is>
          <t>NORRBOTTENS LÄN</t>
        </is>
      </c>
      <c r="E4548" t="inlineStr">
        <is>
          <t>ÄLVSBYN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60928-2022</t>
        </is>
      </c>
      <c r="B4549" s="1" t="n">
        <v>44907</v>
      </c>
      <c r="C4549" s="1" t="n">
        <v>45895</v>
      </c>
      <c r="D4549" t="inlineStr">
        <is>
          <t>NORRBOTTENS LÄN</t>
        </is>
      </c>
      <c r="E4549" t="inlineStr">
        <is>
          <t>HAPARANDA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26686-2024</t>
        </is>
      </c>
      <c r="B4550" s="1" t="n">
        <v>45470.35486111111</v>
      </c>
      <c r="C4550" s="1" t="n">
        <v>45895</v>
      </c>
      <c r="D4550" t="inlineStr">
        <is>
          <t>NORRBOTTENS LÄN</t>
        </is>
      </c>
      <c r="E4550" t="inlineStr">
        <is>
          <t>ARVIDSJAUR</t>
        </is>
      </c>
      <c r="F4550" t="inlineStr">
        <is>
          <t>Sveaskog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31157-2025</t>
        </is>
      </c>
      <c r="B4551" s="1" t="n">
        <v>45832.65146990741</v>
      </c>
      <c r="C4551" s="1" t="n">
        <v>45895</v>
      </c>
      <c r="D4551" t="inlineStr">
        <is>
          <t>NORRBOTTENS LÄN</t>
        </is>
      </c>
      <c r="E4551" t="inlineStr">
        <is>
          <t>ÄLVSBYN</t>
        </is>
      </c>
      <c r="F4551" t="inlineStr">
        <is>
          <t>Sveaskog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25102-2023</t>
        </is>
      </c>
      <c r="B4552" s="1" t="n">
        <v>45078</v>
      </c>
      <c r="C4552" s="1" t="n">
        <v>45895</v>
      </c>
      <c r="D4552" t="inlineStr">
        <is>
          <t>NORRBOTTENS LÄN</t>
        </is>
      </c>
      <c r="E4552" t="inlineStr">
        <is>
          <t>ÄLVSBYN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6269-2023</t>
        </is>
      </c>
      <c r="B4553" s="1" t="n">
        <v>44960</v>
      </c>
      <c r="C4553" s="1" t="n">
        <v>45895</v>
      </c>
      <c r="D4553" t="inlineStr">
        <is>
          <t>NORRBOTTENS LÄN</t>
        </is>
      </c>
      <c r="E4553" t="inlineStr">
        <is>
          <t>LULEÅ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26434-2024</t>
        </is>
      </c>
      <c r="B4554" s="1" t="n">
        <v>45468</v>
      </c>
      <c r="C4554" s="1" t="n">
        <v>45895</v>
      </c>
      <c r="D4554" t="inlineStr">
        <is>
          <t>NORRBOTTENS LÄN</t>
        </is>
      </c>
      <c r="E4554" t="inlineStr">
        <is>
          <t>PAJALA</t>
        </is>
      </c>
      <c r="G4554" t="n">
        <v>24.4</v>
      </c>
      <c r="H4554" t="n">
        <v>0</v>
      </c>
      <c r="I4554" t="n">
        <v>0</v>
      </c>
      <c r="J4554" t="n">
        <v>0</v>
      </c>
      <c r="K4554" t="n">
        <v>0</v>
      </c>
      <c r="L4554" t="n">
        <v>0</v>
      </c>
      <c r="M4554" t="n">
        <v>0</v>
      </c>
      <c r="N4554" t="n">
        <v>0</v>
      </c>
      <c r="O4554" t="n">
        <v>0</v>
      </c>
      <c r="P4554" t="n">
        <v>0</v>
      </c>
      <c r="Q4554" t="n">
        <v>0</v>
      </c>
      <c r="R4554" s="2" t="inlineStr"/>
    </row>
    <row r="4555" ht="15" customHeight="1">
      <c r="A4555" t="inlineStr">
        <is>
          <t>A 10825-2025</t>
        </is>
      </c>
      <c r="B4555" s="1" t="n">
        <v>45722</v>
      </c>
      <c r="C4555" s="1" t="n">
        <v>45895</v>
      </c>
      <c r="D4555" t="inlineStr">
        <is>
          <t>NORRBOTTENS LÄN</t>
        </is>
      </c>
      <c r="E4555" t="inlineStr">
        <is>
          <t>ARJEPLOG</t>
        </is>
      </c>
      <c r="G4555" t="n">
        <v>14.1</v>
      </c>
      <c r="H4555" t="n">
        <v>0</v>
      </c>
      <c r="I4555" t="n">
        <v>0</v>
      </c>
      <c r="J4555" t="n">
        <v>0</v>
      </c>
      <c r="K4555" t="n">
        <v>0</v>
      </c>
      <c r="L4555" t="n">
        <v>0</v>
      </c>
      <c r="M4555" t="n">
        <v>0</v>
      </c>
      <c r="N4555" t="n">
        <v>0</v>
      </c>
      <c r="O4555" t="n">
        <v>0</v>
      </c>
      <c r="P4555" t="n">
        <v>0</v>
      </c>
      <c r="Q4555" t="n">
        <v>0</v>
      </c>
      <c r="R4555" s="2" t="inlineStr"/>
    </row>
    <row r="4556" ht="15" customHeight="1">
      <c r="A4556" t="inlineStr">
        <is>
          <t>A 10465-2025</t>
        </is>
      </c>
      <c r="B4556" s="1" t="n">
        <v>45720.82733796296</v>
      </c>
      <c r="C4556" s="1" t="n">
        <v>45895</v>
      </c>
      <c r="D4556" t="inlineStr">
        <is>
          <t>NORRBOTTENS LÄN</t>
        </is>
      </c>
      <c r="E4556" t="inlineStr">
        <is>
          <t>HAPARANDA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10838-2025</t>
        </is>
      </c>
      <c r="B4557" s="1" t="n">
        <v>45722</v>
      </c>
      <c r="C4557" s="1" t="n">
        <v>45895</v>
      </c>
      <c r="D4557" t="inlineStr">
        <is>
          <t>NORRBOTTENS LÄN</t>
        </is>
      </c>
      <c r="E4557" t="inlineStr">
        <is>
          <t>ARVIDSJAUR</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145-2025</t>
        </is>
      </c>
      <c r="B4558" s="1" t="n">
        <v>45659.59091435185</v>
      </c>
      <c r="C4558" s="1" t="n">
        <v>45895</v>
      </c>
      <c r="D4558" t="inlineStr">
        <is>
          <t>NORRBOTTENS LÄN</t>
        </is>
      </c>
      <c r="E4558" t="inlineStr">
        <is>
          <t>LULEÅ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48602-2022</t>
        </is>
      </c>
      <c r="B4559" s="1" t="n">
        <v>44859</v>
      </c>
      <c r="C4559" s="1" t="n">
        <v>45895</v>
      </c>
      <c r="D4559" t="inlineStr">
        <is>
          <t>NORRBOTTENS LÄN</t>
        </is>
      </c>
      <c r="E4559" t="inlineStr">
        <is>
          <t>PITEÅ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61462-2024</t>
        </is>
      </c>
      <c r="B4560" s="1" t="n">
        <v>45646.50115740741</v>
      </c>
      <c r="C4560" s="1" t="n">
        <v>45895</v>
      </c>
      <c r="D4560" t="inlineStr">
        <is>
          <t>NORRBOTTENS LÄN</t>
        </is>
      </c>
      <c r="E4560" t="inlineStr">
        <is>
          <t>PITEÅ</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61468-2024</t>
        </is>
      </c>
      <c r="B4561" s="1" t="n">
        <v>45646</v>
      </c>
      <c r="C4561" s="1" t="n">
        <v>45895</v>
      </c>
      <c r="D4561" t="inlineStr">
        <is>
          <t>NORRBOTTENS LÄN</t>
        </is>
      </c>
      <c r="E4561" t="inlineStr">
        <is>
          <t>GÄLLIVARE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8075-2025</t>
        </is>
      </c>
      <c r="B4562" s="1" t="n">
        <v>45707</v>
      </c>
      <c r="C4562" s="1" t="n">
        <v>45895</v>
      </c>
      <c r="D4562" t="inlineStr">
        <is>
          <t>NORRBOTTENS LÄN</t>
        </is>
      </c>
      <c r="E4562" t="inlineStr">
        <is>
          <t>GÄLLIVARE</t>
        </is>
      </c>
      <c r="F4562" t="inlineStr">
        <is>
          <t>Sveaskog</t>
        </is>
      </c>
      <c r="G4562" t="n">
        <v>43.4</v>
      </c>
      <c r="H4562" t="n">
        <v>0</v>
      </c>
      <c r="I4562" t="n">
        <v>0</v>
      </c>
      <c r="J4562" t="n">
        <v>0</v>
      </c>
      <c r="K4562" t="n">
        <v>0</v>
      </c>
      <c r="L4562" t="n">
        <v>0</v>
      </c>
      <c r="M4562" t="n">
        <v>0</v>
      </c>
      <c r="N4562" t="n">
        <v>0</v>
      </c>
      <c r="O4562" t="n">
        <v>0</v>
      </c>
      <c r="P4562" t="n">
        <v>0</v>
      </c>
      <c r="Q4562" t="n">
        <v>0</v>
      </c>
      <c r="R4562" s="2" t="inlineStr"/>
    </row>
    <row r="4563" ht="15" customHeight="1">
      <c r="A4563" t="inlineStr">
        <is>
          <t>A 30780-2025</t>
        </is>
      </c>
      <c r="B4563" s="1" t="n">
        <v>45831.62239583334</v>
      </c>
      <c r="C4563" s="1" t="n">
        <v>45895</v>
      </c>
      <c r="D4563" t="inlineStr">
        <is>
          <t>NORRBOTTENS LÄN</t>
        </is>
      </c>
      <c r="E4563" t="inlineStr">
        <is>
          <t>ÖVERTORNEÅ</t>
        </is>
      </c>
      <c r="F4563" t="inlineStr">
        <is>
          <t>Sveaskog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11574-2025</t>
        </is>
      </c>
      <c r="B4564" s="1" t="n">
        <v>45726</v>
      </c>
      <c r="C4564" s="1" t="n">
        <v>45895</v>
      </c>
      <c r="D4564" t="inlineStr">
        <is>
          <t>NORRBOTTENS LÄN</t>
        </is>
      </c>
      <c r="E4564" t="inlineStr">
        <is>
          <t>ARVIDSJAUR</t>
        </is>
      </c>
      <c r="F4564" t="inlineStr">
        <is>
          <t>Allmännings- och besparingsskogar</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11591-2025</t>
        </is>
      </c>
      <c r="B4565" s="1" t="n">
        <v>45726</v>
      </c>
      <c r="C4565" s="1" t="n">
        <v>45895</v>
      </c>
      <c r="D4565" t="inlineStr">
        <is>
          <t>NORRBOTTENS LÄN</t>
        </is>
      </c>
      <c r="E4565" t="inlineStr">
        <is>
          <t>ARVIDSJAUR</t>
        </is>
      </c>
      <c r="F4565" t="inlineStr">
        <is>
          <t>Allmännings- och besparingsskogar</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11617-2025</t>
        </is>
      </c>
      <c r="B4566" s="1" t="n">
        <v>45727</v>
      </c>
      <c r="C4566" s="1" t="n">
        <v>45895</v>
      </c>
      <c r="D4566" t="inlineStr">
        <is>
          <t>NORRBOTTENS LÄN</t>
        </is>
      </c>
      <c r="E4566" t="inlineStr">
        <is>
          <t>ÖVERTORNEÅ</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60571-2023</t>
        </is>
      </c>
      <c r="B4567" s="1" t="n">
        <v>45259.92872685185</v>
      </c>
      <c r="C4567" s="1" t="n">
        <v>45895</v>
      </c>
      <c r="D4567" t="inlineStr">
        <is>
          <t>NORRBOTTENS LÄN</t>
        </is>
      </c>
      <c r="E4567" t="inlineStr">
        <is>
          <t>PITEÅ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1233-2024</t>
        </is>
      </c>
      <c r="B4568" s="1" t="n">
        <v>45302.70443287037</v>
      </c>
      <c r="C4568" s="1" t="n">
        <v>45895</v>
      </c>
      <c r="D4568" t="inlineStr">
        <is>
          <t>NORRBOTTENS LÄN</t>
        </is>
      </c>
      <c r="E4568" t="inlineStr">
        <is>
          <t>KALIX</t>
        </is>
      </c>
      <c r="G4568" t="n">
        <v>13.5</v>
      </c>
      <c r="H4568" t="n">
        <v>0</v>
      </c>
      <c r="I4568" t="n">
        <v>0</v>
      </c>
      <c r="J4568" t="n">
        <v>0</v>
      </c>
      <c r="K4568" t="n">
        <v>0</v>
      </c>
      <c r="L4568" t="n">
        <v>0</v>
      </c>
      <c r="M4568" t="n">
        <v>0</v>
      </c>
      <c r="N4568" t="n">
        <v>0</v>
      </c>
      <c r="O4568" t="n">
        <v>0</v>
      </c>
      <c r="P4568" t="n">
        <v>0</v>
      </c>
      <c r="Q4568" t="n">
        <v>0</v>
      </c>
      <c r="R4568" s="2" t="inlineStr"/>
    </row>
    <row r="4569" ht="15" customHeight="1">
      <c r="A4569" t="inlineStr">
        <is>
          <t>A 1238-2024</t>
        </is>
      </c>
      <c r="B4569" s="1" t="n">
        <v>45302</v>
      </c>
      <c r="C4569" s="1" t="n">
        <v>45895</v>
      </c>
      <c r="D4569" t="inlineStr">
        <is>
          <t>NORRBOTTENS LÄN</t>
        </is>
      </c>
      <c r="E4569" t="inlineStr">
        <is>
          <t>ÄLVSBYN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36560-2025</t>
        </is>
      </c>
      <c r="B4570" s="1" t="n">
        <v>45870.36483796296</v>
      </c>
      <c r="C4570" s="1" t="n">
        <v>45895</v>
      </c>
      <c r="D4570" t="inlineStr">
        <is>
          <t>NORRBOTTENS LÄN</t>
        </is>
      </c>
      <c r="E4570" t="inlineStr">
        <is>
          <t>GÄLLIVARE</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36648-2025</t>
        </is>
      </c>
      <c r="B4571" s="1" t="n">
        <v>45872.55440972222</v>
      </c>
      <c r="C4571" s="1" t="n">
        <v>45895</v>
      </c>
      <c r="D4571" t="inlineStr">
        <is>
          <t>NORRBOTTENS LÄN</t>
        </is>
      </c>
      <c r="E4571" t="inlineStr">
        <is>
          <t>PITEÅ</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53677-2024</t>
        </is>
      </c>
      <c r="B4572" s="1" t="n">
        <v>45612</v>
      </c>
      <c r="C4572" s="1" t="n">
        <v>45895</v>
      </c>
      <c r="D4572" t="inlineStr">
        <is>
          <t>NORRBOTTENS LÄN</t>
        </is>
      </c>
      <c r="E4572" t="inlineStr">
        <is>
          <t>GÄLLIVARE</t>
        </is>
      </c>
      <c r="F4572" t="inlineStr">
        <is>
          <t>Allmännings- och besparingsskogar</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30907-2025</t>
        </is>
      </c>
      <c r="B4573" s="1" t="n">
        <v>45832.36484953704</v>
      </c>
      <c r="C4573" s="1" t="n">
        <v>45895</v>
      </c>
      <c r="D4573" t="inlineStr">
        <is>
          <t>NORRBOTTENS LÄN</t>
        </is>
      </c>
      <c r="E4573" t="inlineStr">
        <is>
          <t>LULEÅ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31203-2025</t>
        </is>
      </c>
      <c r="B4574" s="1" t="n">
        <v>45832.6991087963</v>
      </c>
      <c r="C4574" s="1" t="n">
        <v>45895</v>
      </c>
      <c r="D4574" t="inlineStr">
        <is>
          <t>NORRBOTTENS LÄN</t>
        </is>
      </c>
      <c r="E4574" t="inlineStr">
        <is>
          <t>BODEN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31205-2025</t>
        </is>
      </c>
      <c r="B4575" s="1" t="n">
        <v>45832.70251157408</v>
      </c>
      <c r="C4575" s="1" t="n">
        <v>45895</v>
      </c>
      <c r="D4575" t="inlineStr">
        <is>
          <t>NORRBOTTENS LÄN</t>
        </is>
      </c>
      <c r="E4575" t="inlineStr">
        <is>
          <t>PAJALA</t>
        </is>
      </c>
      <c r="F4575" t="inlineStr">
        <is>
          <t>Sveaskog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31209-2025</t>
        </is>
      </c>
      <c r="B4576" s="1" t="n">
        <v>45832.7091087963</v>
      </c>
      <c r="C4576" s="1" t="n">
        <v>45895</v>
      </c>
      <c r="D4576" t="inlineStr">
        <is>
          <t>NORRBOTTENS LÄN</t>
        </is>
      </c>
      <c r="E4576" t="inlineStr">
        <is>
          <t>KALIX</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38885-2023</t>
        </is>
      </c>
      <c r="B4577" s="1" t="n">
        <v>45161</v>
      </c>
      <c r="C4577" s="1" t="n">
        <v>45895</v>
      </c>
      <c r="D4577" t="inlineStr">
        <is>
          <t>NORRBOTTENS LÄN</t>
        </is>
      </c>
      <c r="E4577" t="inlineStr">
        <is>
          <t>LULEÅ</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6328-2025</t>
        </is>
      </c>
      <c r="B4578" s="1" t="n">
        <v>45698</v>
      </c>
      <c r="C4578" s="1" t="n">
        <v>45895</v>
      </c>
      <c r="D4578" t="inlineStr">
        <is>
          <t>NORRBOTTENS LÄN</t>
        </is>
      </c>
      <c r="E4578" t="inlineStr">
        <is>
          <t>PAJALA</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6454-2025</t>
        </is>
      </c>
      <c r="B4579" s="1" t="n">
        <v>45699.55261574074</v>
      </c>
      <c r="C4579" s="1" t="n">
        <v>45895</v>
      </c>
      <c r="D4579" t="inlineStr">
        <is>
          <t>NORRBOTTENS LÄN</t>
        </is>
      </c>
      <c r="E4579" t="inlineStr">
        <is>
          <t>ÖVERKALIX</t>
        </is>
      </c>
      <c r="F4579" t="inlineStr">
        <is>
          <t>SCA</t>
        </is>
      </c>
      <c r="G4579" t="n">
        <v>28.8</v>
      </c>
      <c r="H4579" t="n">
        <v>0</v>
      </c>
      <c r="I4579" t="n">
        <v>0</v>
      </c>
      <c r="J4579" t="n">
        <v>0</v>
      </c>
      <c r="K4579" t="n">
        <v>0</v>
      </c>
      <c r="L4579" t="n">
        <v>0</v>
      </c>
      <c r="M4579" t="n">
        <v>0</v>
      </c>
      <c r="N4579" t="n">
        <v>0</v>
      </c>
      <c r="O4579" t="n">
        <v>0</v>
      </c>
      <c r="P4579" t="n">
        <v>0</v>
      </c>
      <c r="Q4579" t="n">
        <v>0</v>
      </c>
      <c r="R4579" s="2" t="inlineStr"/>
    </row>
    <row r="4580" ht="15" customHeight="1">
      <c r="A4580" t="inlineStr">
        <is>
          <t>A 36915-2023</t>
        </is>
      </c>
      <c r="B4580" s="1" t="n">
        <v>45153</v>
      </c>
      <c r="C4580" s="1" t="n">
        <v>45895</v>
      </c>
      <c r="D4580" t="inlineStr">
        <is>
          <t>NORRBOTTENS LÄN</t>
        </is>
      </c>
      <c r="E4580" t="inlineStr">
        <is>
          <t>BODEN</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36979-2023</t>
        </is>
      </c>
      <c r="B4581" s="1" t="n">
        <v>45154.95475694445</v>
      </c>
      <c r="C4581" s="1" t="n">
        <v>45895</v>
      </c>
      <c r="D4581" t="inlineStr">
        <is>
          <t>NORRBOTTENS LÄN</t>
        </is>
      </c>
      <c r="E4581" t="inlineStr">
        <is>
          <t>GÄLLIVARE</t>
        </is>
      </c>
      <c r="F4581" t="inlineStr">
        <is>
          <t>SCA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36983-2023</t>
        </is>
      </c>
      <c r="B4582" s="1" t="n">
        <v>45154.95504629629</v>
      </c>
      <c r="C4582" s="1" t="n">
        <v>45895</v>
      </c>
      <c r="D4582" t="inlineStr">
        <is>
          <t>NORRBOTTENS LÄN</t>
        </is>
      </c>
      <c r="E4582" t="inlineStr">
        <is>
          <t>GÄLLIVARE</t>
        </is>
      </c>
      <c r="F4582" t="inlineStr">
        <is>
          <t>SCA</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10908-2025</t>
        </is>
      </c>
      <c r="B4583" s="1" t="n">
        <v>45722</v>
      </c>
      <c r="C4583" s="1" t="n">
        <v>45895</v>
      </c>
      <c r="D4583" t="inlineStr">
        <is>
          <t>NORRBOTTENS LÄN</t>
        </is>
      </c>
      <c r="E4583" t="inlineStr">
        <is>
          <t>PAJALA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10959-2025</t>
        </is>
      </c>
      <c r="B4584" s="1" t="n">
        <v>45723.36494212963</v>
      </c>
      <c r="C4584" s="1" t="n">
        <v>45895</v>
      </c>
      <c r="D4584" t="inlineStr">
        <is>
          <t>NORRBOTTENS LÄN</t>
        </is>
      </c>
      <c r="E4584" t="inlineStr">
        <is>
          <t>KALIX</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62135-2023</t>
        </is>
      </c>
      <c r="B4585" s="1" t="n">
        <v>45266</v>
      </c>
      <c r="C4585" s="1" t="n">
        <v>45895</v>
      </c>
      <c r="D4585" t="inlineStr">
        <is>
          <t>NORRBOTTENS LÄN</t>
        </is>
      </c>
      <c r="E4585" t="inlineStr">
        <is>
          <t>KALIX</t>
        </is>
      </c>
      <c r="G4585" t="n">
        <v>8.9</v>
      </c>
      <c r="H4585" t="n">
        <v>0</v>
      </c>
      <c r="I4585" t="n">
        <v>0</v>
      </c>
      <c r="J4585" t="n">
        <v>0</v>
      </c>
      <c r="K4585" t="n">
        <v>0</v>
      </c>
      <c r="L4585" t="n">
        <v>0</v>
      </c>
      <c r="M4585" t="n">
        <v>0</v>
      </c>
      <c r="N4585" t="n">
        <v>0</v>
      </c>
      <c r="O4585" t="n">
        <v>0</v>
      </c>
      <c r="P4585" t="n">
        <v>0</v>
      </c>
      <c r="Q4585" t="n">
        <v>0</v>
      </c>
      <c r="R4585" s="2" t="inlineStr"/>
    </row>
    <row r="4586" ht="15" customHeight="1">
      <c r="A4586" t="inlineStr">
        <is>
          <t>A 62143-2023</t>
        </is>
      </c>
      <c r="B4586" s="1" t="n">
        <v>45266</v>
      </c>
      <c r="C4586" s="1" t="n">
        <v>45895</v>
      </c>
      <c r="D4586" t="inlineStr">
        <is>
          <t>NORRBOTTENS LÄN</t>
        </is>
      </c>
      <c r="E4586" t="inlineStr">
        <is>
          <t>KALIX</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62148-2023</t>
        </is>
      </c>
      <c r="B4587" s="1" t="n">
        <v>45266</v>
      </c>
      <c r="C4587" s="1" t="n">
        <v>45895</v>
      </c>
      <c r="D4587" t="inlineStr">
        <is>
          <t>NORRBOTTENS LÄN</t>
        </is>
      </c>
      <c r="E4587" t="inlineStr">
        <is>
          <t>KALIX</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31025-2025</t>
        </is>
      </c>
      <c r="B4588" s="1" t="n">
        <v>45831</v>
      </c>
      <c r="C4588" s="1" t="n">
        <v>45895</v>
      </c>
      <c r="D4588" t="inlineStr">
        <is>
          <t>NORRBOTTENS LÄN</t>
        </is>
      </c>
      <c r="E4588" t="inlineStr">
        <is>
          <t>LULEÅ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12202-2025</t>
        </is>
      </c>
      <c r="B4589" s="1" t="n">
        <v>45729.49564814815</v>
      </c>
      <c r="C4589" s="1" t="n">
        <v>45895</v>
      </c>
      <c r="D4589" t="inlineStr">
        <is>
          <t>NORRBOTTENS LÄN</t>
        </is>
      </c>
      <c r="E4589" t="inlineStr">
        <is>
          <t>ÖVERTORNEÅ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36649-2025</t>
        </is>
      </c>
      <c r="B4590" s="1" t="n">
        <v>45872.58510416667</v>
      </c>
      <c r="C4590" s="1" t="n">
        <v>45895</v>
      </c>
      <c r="D4590" t="inlineStr">
        <is>
          <t>NORRBOTTENS LÄN</t>
        </is>
      </c>
      <c r="E4590" t="inlineStr">
        <is>
          <t>PITEÅ</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54311-2023</t>
        </is>
      </c>
      <c r="B4591" s="1" t="n">
        <v>45225</v>
      </c>
      <c r="C4591" s="1" t="n">
        <v>45895</v>
      </c>
      <c r="D4591" t="inlineStr">
        <is>
          <t>NORRBOTTENS LÄN</t>
        </is>
      </c>
      <c r="E4591" t="inlineStr">
        <is>
          <t>ARVIDSJAUR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51674-2024</t>
        </is>
      </c>
      <c r="B4592" s="1" t="n">
        <v>45607.29293981481</v>
      </c>
      <c r="C4592" s="1" t="n">
        <v>45895</v>
      </c>
      <c r="D4592" t="inlineStr">
        <is>
          <t>NORRBOTTENS LÄN</t>
        </is>
      </c>
      <c r="E4592" t="inlineStr">
        <is>
          <t>ÖVERTORNEÅ</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61570-2023</t>
        </is>
      </c>
      <c r="B4593" s="1" t="n">
        <v>45261</v>
      </c>
      <c r="C4593" s="1" t="n">
        <v>45895</v>
      </c>
      <c r="D4593" t="inlineStr">
        <is>
          <t>NORRBOTTENS LÄN</t>
        </is>
      </c>
      <c r="E4593" t="inlineStr">
        <is>
          <t>HAPARANDA</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36821-2025</t>
        </is>
      </c>
      <c r="B4594" s="1" t="n">
        <v>45873.90025462963</v>
      </c>
      <c r="C4594" s="1" t="n">
        <v>45895</v>
      </c>
      <c r="D4594" t="inlineStr">
        <is>
          <t>NORRBOTTENS LÄN</t>
        </is>
      </c>
      <c r="E4594" t="inlineStr">
        <is>
          <t>PAJALA</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6744-2025</t>
        </is>
      </c>
      <c r="B4595" s="1" t="n">
        <v>45700.60403935185</v>
      </c>
      <c r="C4595" s="1" t="n">
        <v>45895</v>
      </c>
      <c r="D4595" t="inlineStr">
        <is>
          <t>NORRBOTTENS LÄN</t>
        </is>
      </c>
      <c r="E4595" t="inlineStr">
        <is>
          <t>PITEÅ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19627-2025</t>
        </is>
      </c>
      <c r="B4596" s="1" t="n">
        <v>45770</v>
      </c>
      <c r="C4596" s="1" t="n">
        <v>45895</v>
      </c>
      <c r="D4596" t="inlineStr">
        <is>
          <t>NORRBOTTENS LÄN</t>
        </is>
      </c>
      <c r="E4596" t="inlineStr">
        <is>
          <t>KALIX</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30364-2025</t>
        </is>
      </c>
      <c r="B4597" s="1" t="n">
        <v>45827.55077546297</v>
      </c>
      <c r="C4597" s="1" t="n">
        <v>45895</v>
      </c>
      <c r="D4597" t="inlineStr">
        <is>
          <t>NORRBOTTENS LÄN</t>
        </is>
      </c>
      <c r="E4597" t="inlineStr">
        <is>
          <t>ÖVERTORNEÅ</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30555-2025</t>
        </is>
      </c>
      <c r="B4598" s="1" t="n">
        <v>45831.38609953703</v>
      </c>
      <c r="C4598" s="1" t="n">
        <v>45895</v>
      </c>
      <c r="D4598" t="inlineStr">
        <is>
          <t>NORRBOTTENS LÄN</t>
        </is>
      </c>
      <c r="E4598" t="inlineStr">
        <is>
          <t>ÄLVSBYN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36999-2025</t>
        </is>
      </c>
      <c r="B4599" s="1" t="n">
        <v>45874.67835648148</v>
      </c>
      <c r="C4599" s="1" t="n">
        <v>45895</v>
      </c>
      <c r="D4599" t="inlineStr">
        <is>
          <t>NORRBOTTENS LÄN</t>
        </is>
      </c>
      <c r="E4599" t="inlineStr">
        <is>
          <t>PITEÅ</t>
        </is>
      </c>
      <c r="F4599" t="inlineStr">
        <is>
          <t>SCA</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16000-2024</t>
        </is>
      </c>
      <c r="B4600" s="1" t="n">
        <v>45405</v>
      </c>
      <c r="C4600" s="1" t="n">
        <v>45895</v>
      </c>
      <c r="D4600" t="inlineStr">
        <is>
          <t>NORRBOTTENS LÄN</t>
        </is>
      </c>
      <c r="E4600" t="inlineStr">
        <is>
          <t>ÖVERTORNEÅ</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45469-2022</t>
        </is>
      </c>
      <c r="B4601" s="1" t="n">
        <v>44841</v>
      </c>
      <c r="C4601" s="1" t="n">
        <v>45895</v>
      </c>
      <c r="D4601" t="inlineStr">
        <is>
          <t>NORRBOTTENS LÄN</t>
        </is>
      </c>
      <c r="E4601" t="inlineStr">
        <is>
          <t>JOKKMOKK</t>
        </is>
      </c>
      <c r="F4601" t="inlineStr">
        <is>
          <t>Övriga Aktiebolag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36486-2025</t>
        </is>
      </c>
      <c r="B4602" s="1" t="n">
        <v>45869.5119212963</v>
      </c>
      <c r="C4602" s="1" t="n">
        <v>45895</v>
      </c>
      <c r="D4602" t="inlineStr">
        <is>
          <t>NORRBOTTENS LÄN</t>
        </is>
      </c>
      <c r="E4602" t="inlineStr">
        <is>
          <t>ÖVERKALIX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33594-2022</t>
        </is>
      </c>
      <c r="B4603" s="1" t="n">
        <v>44789</v>
      </c>
      <c r="C4603" s="1" t="n">
        <v>45895</v>
      </c>
      <c r="D4603" t="inlineStr">
        <is>
          <t>NORRBOTTENS LÄN</t>
        </is>
      </c>
      <c r="E4603" t="inlineStr">
        <is>
          <t>LULEÅ</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21639-2022</t>
        </is>
      </c>
      <c r="B4604" s="1" t="n">
        <v>44706.92644675926</v>
      </c>
      <c r="C4604" s="1" t="n">
        <v>45895</v>
      </c>
      <c r="D4604" t="inlineStr">
        <is>
          <t>NORRBOTTENS LÄN</t>
        </is>
      </c>
      <c r="E4604" t="inlineStr">
        <is>
          <t>KALIX</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58309-2024</t>
        </is>
      </c>
      <c r="B4605" s="1" t="n">
        <v>45632</v>
      </c>
      <c r="C4605" s="1" t="n">
        <v>45895</v>
      </c>
      <c r="D4605" t="inlineStr">
        <is>
          <t>NORRBOTTENS LÄN</t>
        </is>
      </c>
      <c r="E4605" t="inlineStr">
        <is>
          <t>ÄLVSBYN</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36904-2025</t>
        </is>
      </c>
      <c r="B4606" s="1" t="n">
        <v>45874.49055555555</v>
      </c>
      <c r="C4606" s="1" t="n">
        <v>45895</v>
      </c>
      <c r="D4606" t="inlineStr">
        <is>
          <t>NORRBOTTENS LÄN</t>
        </is>
      </c>
      <c r="E4606" t="inlineStr">
        <is>
          <t>GÄLLIVARE</t>
        </is>
      </c>
      <c r="F4606" t="inlineStr">
        <is>
          <t>Sveaskog</t>
        </is>
      </c>
      <c r="G4606" t="n">
        <v>45.8</v>
      </c>
      <c r="H4606" t="n">
        <v>0</v>
      </c>
      <c r="I4606" t="n">
        <v>0</v>
      </c>
      <c r="J4606" t="n">
        <v>0</v>
      </c>
      <c r="K4606" t="n">
        <v>0</v>
      </c>
      <c r="L4606" t="n">
        <v>0</v>
      </c>
      <c r="M4606" t="n">
        <v>0</v>
      </c>
      <c r="N4606" t="n">
        <v>0</v>
      </c>
      <c r="O4606" t="n">
        <v>0</v>
      </c>
      <c r="P4606" t="n">
        <v>0</v>
      </c>
      <c r="Q4606" t="n">
        <v>0</v>
      </c>
      <c r="R4606" s="2" t="inlineStr"/>
    </row>
    <row r="4607" ht="15" customHeight="1">
      <c r="A4607" t="inlineStr">
        <is>
          <t>A 21640-2022</t>
        </is>
      </c>
      <c r="B4607" s="1" t="n">
        <v>44706.92648148148</v>
      </c>
      <c r="C4607" s="1" t="n">
        <v>45895</v>
      </c>
      <c r="D4607" t="inlineStr">
        <is>
          <t>NORRBOTTENS LÄN</t>
        </is>
      </c>
      <c r="E4607" t="inlineStr">
        <is>
          <t>KALIX</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38679-2024</t>
        </is>
      </c>
      <c r="B4608" s="1" t="n">
        <v>45547.344375</v>
      </c>
      <c r="C4608" s="1" t="n">
        <v>45895</v>
      </c>
      <c r="D4608" t="inlineStr">
        <is>
          <t>NORRBOTTENS LÄN</t>
        </is>
      </c>
      <c r="E4608" t="inlineStr">
        <is>
          <t>PITEÅ</t>
        </is>
      </c>
      <c r="F4608" t="inlineStr">
        <is>
          <t>SCA</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7234-2023</t>
        </is>
      </c>
      <c r="B4609" s="1" t="n">
        <v>44970.60267361111</v>
      </c>
      <c r="C4609" s="1" t="n">
        <v>45895</v>
      </c>
      <c r="D4609" t="inlineStr">
        <is>
          <t>NORRBOTTENS LÄN</t>
        </is>
      </c>
      <c r="E4609" t="inlineStr">
        <is>
          <t>ÖVERKALIX</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41173-2024</t>
        </is>
      </c>
      <c r="B4610" s="1" t="n">
        <v>45559.4872337963</v>
      </c>
      <c r="C4610" s="1" t="n">
        <v>45895</v>
      </c>
      <c r="D4610" t="inlineStr">
        <is>
          <t>NORRBOTTENS LÄN</t>
        </is>
      </c>
      <c r="E4610" t="inlineStr">
        <is>
          <t>PITEÅ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4274-2025</t>
        </is>
      </c>
      <c r="B4611" s="1" t="n">
        <v>45685</v>
      </c>
      <c r="C4611" s="1" t="n">
        <v>45895</v>
      </c>
      <c r="D4611" t="inlineStr">
        <is>
          <t>NORRBOTTENS LÄN</t>
        </is>
      </c>
      <c r="E4611" t="inlineStr">
        <is>
          <t>ÖVERTORNEÅ</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35803-2025</t>
        </is>
      </c>
      <c r="B4612" s="1" t="n">
        <v>45861</v>
      </c>
      <c r="C4612" s="1" t="n">
        <v>45895</v>
      </c>
      <c r="D4612" t="inlineStr">
        <is>
          <t>NORRBOTTENS LÄN</t>
        </is>
      </c>
      <c r="E4612" t="inlineStr">
        <is>
          <t>ÄLVSBYN</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35949-2025</t>
        </is>
      </c>
      <c r="B4613" s="1" t="n">
        <v>45862</v>
      </c>
      <c r="C4613" s="1" t="n">
        <v>45895</v>
      </c>
      <c r="D4613" t="inlineStr">
        <is>
          <t>NORRBOTTENS LÄN</t>
        </is>
      </c>
      <c r="E4613" t="inlineStr">
        <is>
          <t>GÄLLIVARE</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33728-2024</t>
        </is>
      </c>
      <c r="B4614" s="1" t="n">
        <v>45520</v>
      </c>
      <c r="C4614" s="1" t="n">
        <v>45895</v>
      </c>
      <c r="D4614" t="inlineStr">
        <is>
          <t>NORRBOTTENS LÄN</t>
        </is>
      </c>
      <c r="E4614" t="inlineStr">
        <is>
          <t>HAPARANDA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60581-2024</t>
        </is>
      </c>
      <c r="B4615" s="1" t="n">
        <v>45642</v>
      </c>
      <c r="C4615" s="1" t="n">
        <v>45895</v>
      </c>
      <c r="D4615" t="inlineStr">
        <is>
          <t>NORRBOTTENS LÄN</t>
        </is>
      </c>
      <c r="E4615" t="inlineStr">
        <is>
          <t>ÄLVSBYN</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36872-2025</t>
        </is>
      </c>
      <c r="B4616" s="1" t="n">
        <v>45874.42918981481</v>
      </c>
      <c r="C4616" s="1" t="n">
        <v>45895</v>
      </c>
      <c r="D4616" t="inlineStr">
        <is>
          <t>NORRBOTTENS LÄN</t>
        </is>
      </c>
      <c r="E4616" t="inlineStr">
        <is>
          <t>BODEN</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19172-2021</t>
        </is>
      </c>
      <c r="B4617" s="1" t="n">
        <v>44308</v>
      </c>
      <c r="C4617" s="1" t="n">
        <v>45895</v>
      </c>
      <c r="D4617" t="inlineStr">
        <is>
          <t>NORRBOTTENS LÄN</t>
        </is>
      </c>
      <c r="E4617" t="inlineStr">
        <is>
          <t>PAJALA</t>
        </is>
      </c>
      <c r="G4617" t="n">
        <v>21.9</v>
      </c>
      <c r="H4617" t="n">
        <v>0</v>
      </c>
      <c r="I4617" t="n">
        <v>0</v>
      </c>
      <c r="J4617" t="n">
        <v>0</v>
      </c>
      <c r="K4617" t="n">
        <v>0</v>
      </c>
      <c r="L4617" t="n">
        <v>0</v>
      </c>
      <c r="M4617" t="n">
        <v>0</v>
      </c>
      <c r="N4617" t="n">
        <v>0</v>
      </c>
      <c r="O4617" t="n">
        <v>0</v>
      </c>
      <c r="P4617" t="n">
        <v>0</v>
      </c>
      <c r="Q4617" t="n">
        <v>0</v>
      </c>
      <c r="R4617" s="2" t="inlineStr"/>
    </row>
    <row r="4618" ht="15" customHeight="1">
      <c r="A4618" t="inlineStr">
        <is>
          <t>A 30705-2025</t>
        </is>
      </c>
      <c r="B4618" s="1" t="n">
        <v>45831.54939814815</v>
      </c>
      <c r="C4618" s="1" t="n">
        <v>45895</v>
      </c>
      <c r="D4618" t="inlineStr">
        <is>
          <t>NORRBOTTENS LÄN</t>
        </is>
      </c>
      <c r="E4618" t="inlineStr">
        <is>
          <t>BODEN</t>
        </is>
      </c>
      <c r="F4618" t="inlineStr">
        <is>
          <t>Sveaskog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731-2025</t>
        </is>
      </c>
      <c r="B4619" s="1" t="n">
        <v>45664</v>
      </c>
      <c r="C4619" s="1" t="n">
        <v>45895</v>
      </c>
      <c r="D4619" t="inlineStr">
        <is>
          <t>NORRBOTTENS LÄN</t>
        </is>
      </c>
      <c r="E4619" t="inlineStr">
        <is>
          <t>LULEÅ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67904-2021</t>
        </is>
      </c>
      <c r="B4620" s="1" t="n">
        <v>44525</v>
      </c>
      <c r="C4620" s="1" t="n">
        <v>45895</v>
      </c>
      <c r="D4620" t="inlineStr">
        <is>
          <t>NORRBOTTENS LÄN</t>
        </is>
      </c>
      <c r="E4620" t="inlineStr">
        <is>
          <t>PITEÅ</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61750-2024</t>
        </is>
      </c>
      <c r="B4621" s="1" t="n">
        <v>45649.39115740741</v>
      </c>
      <c r="C4621" s="1" t="n">
        <v>45895</v>
      </c>
      <c r="D4621" t="inlineStr">
        <is>
          <t>NORRBOTTENS LÄN</t>
        </is>
      </c>
      <c r="E4621" t="inlineStr">
        <is>
          <t>BODEN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36683-2025</t>
        </is>
      </c>
      <c r="B4622" s="1" t="n">
        <v>45873.40927083333</v>
      </c>
      <c r="C4622" s="1" t="n">
        <v>45895</v>
      </c>
      <c r="D4622" t="inlineStr">
        <is>
          <t>NORRBOTTENS LÄN</t>
        </is>
      </c>
      <c r="E4622" t="inlineStr">
        <is>
          <t>PAJALA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36766-2025</t>
        </is>
      </c>
      <c r="B4623" s="1" t="n">
        <v>45873.5799537037</v>
      </c>
      <c r="C4623" s="1" t="n">
        <v>45895</v>
      </c>
      <c r="D4623" t="inlineStr">
        <is>
          <t>NORRBOTTENS LÄN</t>
        </is>
      </c>
      <c r="E4623" t="inlineStr">
        <is>
          <t>HAPARANDA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36773-2025</t>
        </is>
      </c>
      <c r="B4624" s="1" t="n">
        <v>45873.58949074074</v>
      </c>
      <c r="C4624" s="1" t="n">
        <v>45895</v>
      </c>
      <c r="D4624" t="inlineStr">
        <is>
          <t>NORRBOTTENS LÄN</t>
        </is>
      </c>
      <c r="E4624" t="inlineStr">
        <is>
          <t>HAPARANDA</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36775-2025</t>
        </is>
      </c>
      <c r="B4625" s="1" t="n">
        <v>45873.5925462963</v>
      </c>
      <c r="C4625" s="1" t="n">
        <v>45895</v>
      </c>
      <c r="D4625" t="inlineStr">
        <is>
          <t>NORRBOTTENS LÄN</t>
        </is>
      </c>
      <c r="E4625" t="inlineStr">
        <is>
          <t>HAPARANDA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30949-2025</t>
        </is>
      </c>
      <c r="B4626" s="1" t="n">
        <v>45832.42759259259</v>
      </c>
      <c r="C4626" s="1" t="n">
        <v>45895</v>
      </c>
      <c r="D4626" t="inlineStr">
        <is>
          <t>NORRBOTTENS LÄN</t>
        </is>
      </c>
      <c r="E4626" t="inlineStr">
        <is>
          <t>PITEÅ</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31097-2025</t>
        </is>
      </c>
      <c r="B4627" s="1" t="n">
        <v>45832.59638888889</v>
      </c>
      <c r="C4627" s="1" t="n">
        <v>45895</v>
      </c>
      <c r="D4627" t="inlineStr">
        <is>
          <t>NORRBOTTENS LÄN</t>
        </is>
      </c>
      <c r="E4627" t="inlineStr">
        <is>
          <t>GÄLLIVARE</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30629-2025</t>
        </is>
      </c>
      <c r="B4628" s="1" t="n">
        <v>45830</v>
      </c>
      <c r="C4628" s="1" t="n">
        <v>45895</v>
      </c>
      <c r="D4628" t="inlineStr">
        <is>
          <t>NORRBOTTENS LÄN</t>
        </is>
      </c>
      <c r="E4628" t="inlineStr">
        <is>
          <t>PITEÅ</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31013-2025</t>
        </is>
      </c>
      <c r="B4629" s="1" t="n">
        <v>45832.50912037037</v>
      </c>
      <c r="C4629" s="1" t="n">
        <v>45895</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31020-2025</t>
        </is>
      </c>
      <c r="B4630" s="1" t="n">
        <v>45831</v>
      </c>
      <c r="C4630" s="1" t="n">
        <v>45895</v>
      </c>
      <c r="D4630" t="inlineStr">
        <is>
          <t>NORRBOTTENS LÄN</t>
        </is>
      </c>
      <c r="E4630" t="inlineStr">
        <is>
          <t>BODEN</t>
        </is>
      </c>
      <c r="G4630" t="n">
        <v>26.8</v>
      </c>
      <c r="H4630" t="n">
        <v>0</v>
      </c>
      <c r="I4630" t="n">
        <v>0</v>
      </c>
      <c r="J4630" t="n">
        <v>0</v>
      </c>
      <c r="K4630" t="n">
        <v>0</v>
      </c>
      <c r="L4630" t="n">
        <v>0</v>
      </c>
      <c r="M4630" t="n">
        <v>0</v>
      </c>
      <c r="N4630" t="n">
        <v>0</v>
      </c>
      <c r="O4630" t="n">
        <v>0</v>
      </c>
      <c r="P4630" t="n">
        <v>0</v>
      </c>
      <c r="Q4630" t="n">
        <v>0</v>
      </c>
      <c r="R4630" s="2" t="inlineStr"/>
    </row>
    <row r="4631" ht="15" customHeight="1">
      <c r="A4631" t="inlineStr">
        <is>
          <t>A 30765-2025</t>
        </is>
      </c>
      <c r="B4631" s="1" t="n">
        <v>45831.60569444444</v>
      </c>
      <c r="C4631" s="1" t="n">
        <v>45895</v>
      </c>
      <c r="D4631" t="inlineStr">
        <is>
          <t>NORRBOTTENS LÄN</t>
        </is>
      </c>
      <c r="E4631" t="inlineStr">
        <is>
          <t>BODEN</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36908-2025</t>
        </is>
      </c>
      <c r="B4632" s="1" t="n">
        <v>45874.49350694445</v>
      </c>
      <c r="C4632" s="1" t="n">
        <v>45895</v>
      </c>
      <c r="D4632" t="inlineStr">
        <is>
          <t>NORRBOTTENS LÄN</t>
        </is>
      </c>
      <c r="E4632" t="inlineStr">
        <is>
          <t>GÄLLIVARE</t>
        </is>
      </c>
      <c r="F4632" t="inlineStr">
        <is>
          <t>Sveaskog</t>
        </is>
      </c>
      <c r="G4632" t="n">
        <v>19.2</v>
      </c>
      <c r="H4632" t="n">
        <v>0</v>
      </c>
      <c r="I4632" t="n">
        <v>0</v>
      </c>
      <c r="J4632" t="n">
        <v>0</v>
      </c>
      <c r="K4632" t="n">
        <v>0</v>
      </c>
      <c r="L4632" t="n">
        <v>0</v>
      </c>
      <c r="M4632" t="n">
        <v>0</v>
      </c>
      <c r="N4632" t="n">
        <v>0</v>
      </c>
      <c r="O4632" t="n">
        <v>0</v>
      </c>
      <c r="P4632" t="n">
        <v>0</v>
      </c>
      <c r="Q4632" t="n">
        <v>0</v>
      </c>
      <c r="R4632" s="2" t="inlineStr"/>
    </row>
    <row r="4633" ht="15" customHeight="1">
      <c r="A4633" t="inlineStr">
        <is>
          <t>A 31200-2025</t>
        </is>
      </c>
      <c r="B4633" s="1" t="n">
        <v>45832.69638888889</v>
      </c>
      <c r="C4633" s="1" t="n">
        <v>45895</v>
      </c>
      <c r="D4633" t="inlineStr">
        <is>
          <t>NORRBOTTENS LÄN</t>
        </is>
      </c>
      <c r="E4633" t="inlineStr">
        <is>
          <t>BODEN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61273-2024</t>
        </is>
      </c>
      <c r="B4634" s="1" t="n">
        <v>45645</v>
      </c>
      <c r="C4634" s="1" t="n">
        <v>45895</v>
      </c>
      <c r="D4634" t="inlineStr">
        <is>
          <t>NORRBOTTENS LÄN</t>
        </is>
      </c>
      <c r="E4634" t="inlineStr">
        <is>
          <t>PAJALA</t>
        </is>
      </c>
      <c r="G4634" t="n">
        <v>14.2</v>
      </c>
      <c r="H4634" t="n">
        <v>0</v>
      </c>
      <c r="I4634" t="n">
        <v>0</v>
      </c>
      <c r="J4634" t="n">
        <v>0</v>
      </c>
      <c r="K4634" t="n">
        <v>0</v>
      </c>
      <c r="L4634" t="n">
        <v>0</v>
      </c>
      <c r="M4634" t="n">
        <v>0</v>
      </c>
      <c r="N4634" t="n">
        <v>0</v>
      </c>
      <c r="O4634" t="n">
        <v>0</v>
      </c>
      <c r="P4634" t="n">
        <v>0</v>
      </c>
      <c r="Q4634" t="n">
        <v>0</v>
      </c>
      <c r="R4634" s="2" t="inlineStr"/>
    </row>
    <row r="4635" ht="15" customHeight="1">
      <c r="A4635" t="inlineStr">
        <is>
          <t>A 68636-2020</t>
        </is>
      </c>
      <c r="B4635" s="1" t="n">
        <v>44186</v>
      </c>
      <c r="C4635" s="1" t="n">
        <v>45895</v>
      </c>
      <c r="D4635" t="inlineStr">
        <is>
          <t>NORRBOTTENS LÄN</t>
        </is>
      </c>
      <c r="E4635" t="inlineStr">
        <is>
          <t>JOKKMOKK</t>
        </is>
      </c>
      <c r="F4635" t="inlineStr">
        <is>
          <t>SCA</t>
        </is>
      </c>
      <c r="G4635" t="n">
        <v>42.3</v>
      </c>
      <c r="H4635" t="n">
        <v>0</v>
      </c>
      <c r="I4635" t="n">
        <v>0</v>
      </c>
      <c r="J4635" t="n">
        <v>0</v>
      </c>
      <c r="K4635" t="n">
        <v>0</v>
      </c>
      <c r="L4635" t="n">
        <v>0</v>
      </c>
      <c r="M4635" t="n">
        <v>0</v>
      </c>
      <c r="N4635" t="n">
        <v>0</v>
      </c>
      <c r="O4635" t="n">
        <v>0</v>
      </c>
      <c r="P4635" t="n">
        <v>0</v>
      </c>
      <c r="Q4635" t="n">
        <v>0</v>
      </c>
      <c r="R4635" s="2" t="inlineStr"/>
    </row>
    <row r="4636" ht="15" customHeight="1">
      <c r="A4636" t="inlineStr">
        <is>
          <t>A 40032-2024</t>
        </is>
      </c>
      <c r="B4636" s="1" t="n">
        <v>45553</v>
      </c>
      <c r="C4636" s="1" t="n">
        <v>45895</v>
      </c>
      <c r="D4636" t="inlineStr">
        <is>
          <t>NORRBOTTENS LÄN</t>
        </is>
      </c>
      <c r="E4636" t="inlineStr">
        <is>
          <t>KALIX</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11937-2025</t>
        </is>
      </c>
      <c r="B4637" s="1" t="n">
        <v>45728.53216435185</v>
      </c>
      <c r="C4637" s="1" t="n">
        <v>45895</v>
      </c>
      <c r="D4637" t="inlineStr">
        <is>
          <t>NORRBOTTENS LÄN</t>
        </is>
      </c>
      <c r="E4637" t="inlineStr">
        <is>
          <t>PITEÅ</t>
        </is>
      </c>
      <c r="F4637" t="inlineStr">
        <is>
          <t>Kommuner</t>
        </is>
      </c>
      <c r="G4637" t="n">
        <v>8.699999999999999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4512-2022</t>
        </is>
      </c>
      <c r="B4638" s="1" t="n">
        <v>44589.92039351852</v>
      </c>
      <c r="C4638" s="1" t="n">
        <v>45895</v>
      </c>
      <c r="D4638" t="inlineStr">
        <is>
          <t>NORRBOTTENS LÄN</t>
        </is>
      </c>
      <c r="E4638" t="inlineStr">
        <is>
          <t>ÖVERTORNEÅ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30526-2025</t>
        </is>
      </c>
      <c r="B4639" s="1" t="n">
        <v>45831.35650462963</v>
      </c>
      <c r="C4639" s="1" t="n">
        <v>45895</v>
      </c>
      <c r="D4639" t="inlineStr">
        <is>
          <t>NORRBOTTENS LÄN</t>
        </is>
      </c>
      <c r="E4639" t="inlineStr">
        <is>
          <t>ÄLVSBYN</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32010-2022</t>
        </is>
      </c>
      <c r="B4640" s="1" t="n">
        <v>44778</v>
      </c>
      <c r="C4640" s="1" t="n">
        <v>45895</v>
      </c>
      <c r="D4640" t="inlineStr">
        <is>
          <t>NORRBOTTENS LÄN</t>
        </is>
      </c>
      <c r="E4640" t="inlineStr">
        <is>
          <t>PAJALA</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36112-2023</t>
        </is>
      </c>
      <c r="B4641" s="1" t="n">
        <v>45149</v>
      </c>
      <c r="C4641" s="1" t="n">
        <v>45895</v>
      </c>
      <c r="D4641" t="inlineStr">
        <is>
          <t>NORRBOTTENS LÄN</t>
        </is>
      </c>
      <c r="E4641" t="inlineStr">
        <is>
          <t>BODEN</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13464-2025</t>
        </is>
      </c>
      <c r="B4642" s="1" t="n">
        <v>45736</v>
      </c>
      <c r="C4642" s="1" t="n">
        <v>45895</v>
      </c>
      <c r="D4642" t="inlineStr">
        <is>
          <t>NORRBOTTENS LÄN</t>
        </is>
      </c>
      <c r="E4642" t="inlineStr">
        <is>
          <t>PAJALA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36608-2025</t>
        </is>
      </c>
      <c r="B4643" s="1" t="n">
        <v>45870</v>
      </c>
      <c r="C4643" s="1" t="n">
        <v>45895</v>
      </c>
      <c r="D4643" t="inlineStr">
        <is>
          <t>NORRBOTTENS LÄN</t>
        </is>
      </c>
      <c r="E4643" t="inlineStr">
        <is>
          <t>ÖVERTORNEÅ</t>
        </is>
      </c>
      <c r="F4643" t="inlineStr">
        <is>
          <t>Sveaskog</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31195-2025</t>
        </is>
      </c>
      <c r="B4644" s="1" t="n">
        <v>45832.68653935185</v>
      </c>
      <c r="C4644" s="1" t="n">
        <v>45895</v>
      </c>
      <c r="D4644" t="inlineStr">
        <is>
          <t>NORRBOTTENS LÄN</t>
        </is>
      </c>
      <c r="E4644" t="inlineStr">
        <is>
          <t>BODEN</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30893-2025</t>
        </is>
      </c>
      <c r="B4645" s="1" t="n">
        <v>45832.34675925926</v>
      </c>
      <c r="C4645" s="1" t="n">
        <v>45895</v>
      </c>
      <c r="D4645" t="inlineStr">
        <is>
          <t>NORRBOTTENS LÄN</t>
        </is>
      </c>
      <c r="E4645" t="inlineStr">
        <is>
          <t>ÄLVSBYN</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36924-2025</t>
        </is>
      </c>
      <c r="B4646" s="1" t="n">
        <v>45874.54712962963</v>
      </c>
      <c r="C4646" s="1" t="n">
        <v>45895</v>
      </c>
      <c r="D4646" t="inlineStr">
        <is>
          <t>NORRBOTTENS LÄN</t>
        </is>
      </c>
      <c r="E4646" t="inlineStr">
        <is>
          <t>GÄLLIVARE</t>
        </is>
      </c>
      <c r="F4646" t="inlineStr">
        <is>
          <t>Sveaskog</t>
        </is>
      </c>
      <c r="G4646" t="n">
        <v>15.4</v>
      </c>
      <c r="H4646" t="n">
        <v>0</v>
      </c>
      <c r="I4646" t="n">
        <v>0</v>
      </c>
      <c r="J4646" t="n">
        <v>0</v>
      </c>
      <c r="K4646" t="n">
        <v>0</v>
      </c>
      <c r="L4646" t="n">
        <v>0</v>
      </c>
      <c r="M4646" t="n">
        <v>0</v>
      </c>
      <c r="N4646" t="n">
        <v>0</v>
      </c>
      <c r="O4646" t="n">
        <v>0</v>
      </c>
      <c r="P4646" t="n">
        <v>0</v>
      </c>
      <c r="Q4646" t="n">
        <v>0</v>
      </c>
      <c r="R4646" s="2" t="inlineStr"/>
    </row>
    <row r="4647" ht="15" customHeight="1">
      <c r="A4647" t="inlineStr">
        <is>
          <t>A 36501-2025</t>
        </is>
      </c>
      <c r="B4647" s="1" t="n">
        <v>45869.56310185185</v>
      </c>
      <c r="C4647" s="1" t="n">
        <v>45895</v>
      </c>
      <c r="D4647" t="inlineStr">
        <is>
          <t>NORRBOTTENS LÄN</t>
        </is>
      </c>
      <c r="E4647" t="inlineStr">
        <is>
          <t>ÖVERKALIX</t>
        </is>
      </c>
      <c r="F4647" t="inlineStr">
        <is>
          <t>Sveaskog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36552-2025</t>
        </is>
      </c>
      <c r="B4648" s="1" t="n">
        <v>45870.34417824074</v>
      </c>
      <c r="C4648" s="1" t="n">
        <v>45895</v>
      </c>
      <c r="D4648" t="inlineStr">
        <is>
          <t>NORRBOTTENS LÄN</t>
        </is>
      </c>
      <c r="E4648" t="inlineStr">
        <is>
          <t>GÄLLIVARE</t>
        </is>
      </c>
      <c r="F4648" t="inlineStr">
        <is>
          <t>SCA</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61617-2024</t>
        </is>
      </c>
      <c r="B4649" s="1" t="n">
        <v>45646.65767361111</v>
      </c>
      <c r="C4649" s="1" t="n">
        <v>45895</v>
      </c>
      <c r="D4649" t="inlineStr">
        <is>
          <t>NORRBOTTENS LÄN</t>
        </is>
      </c>
      <c r="E4649" t="inlineStr">
        <is>
          <t>BODEN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61625-2024</t>
        </is>
      </c>
      <c r="B4650" s="1" t="n">
        <v>45646</v>
      </c>
      <c r="C4650" s="1" t="n">
        <v>45895</v>
      </c>
      <c r="D4650" t="inlineStr">
        <is>
          <t>NORRBOTTENS LÄN</t>
        </is>
      </c>
      <c r="E4650" t="inlineStr">
        <is>
          <t>ARVIDSJAUR</t>
        </is>
      </c>
      <c r="F4650" t="inlineStr">
        <is>
          <t>Sveaskog</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62076-2024</t>
        </is>
      </c>
      <c r="B4651" s="1" t="n">
        <v>45656.41377314815</v>
      </c>
      <c r="C4651" s="1" t="n">
        <v>45895</v>
      </c>
      <c r="D4651" t="inlineStr">
        <is>
          <t>NORRBOTTENS LÄN</t>
        </is>
      </c>
      <c r="E4651" t="inlineStr">
        <is>
          <t>ÖVERTORNEÅ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47048-2023</t>
        </is>
      </c>
      <c r="B4652" s="1" t="n">
        <v>45201</v>
      </c>
      <c r="C4652" s="1" t="n">
        <v>45895</v>
      </c>
      <c r="D4652" t="inlineStr">
        <is>
          <t>NORRBOTTENS LÄN</t>
        </is>
      </c>
      <c r="E4652" t="inlineStr">
        <is>
          <t>GÄLLIVARE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61729-2024</t>
        </is>
      </c>
      <c r="B4653" s="1" t="n">
        <v>45649</v>
      </c>
      <c r="C4653" s="1" t="n">
        <v>45895</v>
      </c>
      <c r="D4653" t="inlineStr">
        <is>
          <t>NORRBOTTENS LÄN</t>
        </is>
      </c>
      <c r="E4653" t="inlineStr">
        <is>
          <t>ARJEPLOG</t>
        </is>
      </c>
      <c r="F4653" t="inlineStr">
        <is>
          <t>Övriga statliga verk och myndigheter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47102-2023</t>
        </is>
      </c>
      <c r="B4654" s="1" t="n">
        <v>45196</v>
      </c>
      <c r="C4654" s="1" t="n">
        <v>45895</v>
      </c>
      <c r="D4654" t="inlineStr">
        <is>
          <t>NORRBOTTENS LÄN</t>
        </is>
      </c>
      <c r="E4654" t="inlineStr">
        <is>
          <t>PAJALA</t>
        </is>
      </c>
      <c r="G4654" t="n">
        <v>27.5</v>
      </c>
      <c r="H4654" t="n">
        <v>0</v>
      </c>
      <c r="I4654" t="n">
        <v>0</v>
      </c>
      <c r="J4654" t="n">
        <v>0</v>
      </c>
      <c r="K4654" t="n">
        <v>0</v>
      </c>
      <c r="L4654" t="n">
        <v>0</v>
      </c>
      <c r="M4654" t="n">
        <v>0</v>
      </c>
      <c r="N4654" t="n">
        <v>0</v>
      </c>
      <c r="O4654" t="n">
        <v>0</v>
      </c>
      <c r="P4654" t="n">
        <v>0</v>
      </c>
      <c r="Q4654" t="n">
        <v>0</v>
      </c>
      <c r="R4654" s="2" t="inlineStr"/>
    </row>
    <row r="4655" ht="15" customHeight="1">
      <c r="A4655" t="inlineStr">
        <is>
          <t>A 35840-2023</t>
        </is>
      </c>
      <c r="B4655" s="1" t="n">
        <v>45147</v>
      </c>
      <c r="C4655" s="1" t="n">
        <v>45895</v>
      </c>
      <c r="D4655" t="inlineStr">
        <is>
          <t>NORRBOTTENS LÄN</t>
        </is>
      </c>
      <c r="E4655" t="inlineStr">
        <is>
          <t>KALIX</t>
        </is>
      </c>
      <c r="G4655" t="n">
        <v>12.1</v>
      </c>
      <c r="H4655" t="n">
        <v>0</v>
      </c>
      <c r="I4655" t="n">
        <v>0</v>
      </c>
      <c r="J4655" t="n">
        <v>0</v>
      </c>
      <c r="K4655" t="n">
        <v>0</v>
      </c>
      <c r="L4655" t="n">
        <v>0</v>
      </c>
      <c r="M4655" t="n">
        <v>0</v>
      </c>
      <c r="N4655" t="n">
        <v>0</v>
      </c>
      <c r="O4655" t="n">
        <v>0</v>
      </c>
      <c r="P4655" t="n">
        <v>0</v>
      </c>
      <c r="Q4655" t="n">
        <v>0</v>
      </c>
      <c r="R4655" s="2" t="inlineStr"/>
    </row>
    <row r="4656" ht="15" customHeight="1">
      <c r="A4656" t="inlineStr">
        <is>
          <t>A 30569-2025</t>
        </is>
      </c>
      <c r="B4656" s="1" t="n">
        <v>45831</v>
      </c>
      <c r="C4656" s="1" t="n">
        <v>45895</v>
      </c>
      <c r="D4656" t="inlineStr">
        <is>
          <t>NORRBOTTENS LÄN</t>
        </is>
      </c>
      <c r="E4656" t="inlineStr">
        <is>
          <t>LULEÅ</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30570-2025</t>
        </is>
      </c>
      <c r="B4657" s="1" t="n">
        <v>45831.40694444445</v>
      </c>
      <c r="C4657" s="1" t="n">
        <v>45895</v>
      </c>
      <c r="D4657" t="inlineStr">
        <is>
          <t>NORRBOTTENS LÄN</t>
        </is>
      </c>
      <c r="E4657" t="inlineStr">
        <is>
          <t>LULEÅ</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61760-2024</t>
        </is>
      </c>
      <c r="B4658" s="1" t="n">
        <v>45649</v>
      </c>
      <c r="C4658" s="1" t="n">
        <v>45895</v>
      </c>
      <c r="D4658" t="inlineStr">
        <is>
          <t>NORRBOTTENS LÄN</t>
        </is>
      </c>
      <c r="E4658" t="inlineStr">
        <is>
          <t>JOKKMOKK</t>
        </is>
      </c>
      <c r="F4658" t="inlineStr">
        <is>
          <t>Övriga statliga verk och myndigheter</t>
        </is>
      </c>
      <c r="G4658" t="n">
        <v>19.3</v>
      </c>
      <c r="H4658" t="n">
        <v>0</v>
      </c>
      <c r="I4658" t="n">
        <v>0</v>
      </c>
      <c r="J4658" t="n">
        <v>0</v>
      </c>
      <c r="K4658" t="n">
        <v>0</v>
      </c>
      <c r="L4658" t="n">
        <v>0</v>
      </c>
      <c r="M4658" t="n">
        <v>0</v>
      </c>
      <c r="N4658" t="n">
        <v>0</v>
      </c>
      <c r="O4658" t="n">
        <v>0</v>
      </c>
      <c r="P4658" t="n">
        <v>0</v>
      </c>
      <c r="Q4658" t="n">
        <v>0</v>
      </c>
      <c r="R4658" s="2" t="inlineStr"/>
    </row>
    <row r="4659" ht="15" customHeight="1">
      <c r="A4659" t="inlineStr">
        <is>
          <t>A 38406-2024</t>
        </is>
      </c>
      <c r="B4659" s="1" t="n">
        <v>45546</v>
      </c>
      <c r="C4659" s="1" t="n">
        <v>45895</v>
      </c>
      <c r="D4659" t="inlineStr">
        <is>
          <t>NORRBOTTENS LÄN</t>
        </is>
      </c>
      <c r="E4659" t="inlineStr">
        <is>
          <t>PITEÅ</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40756-2022</t>
        </is>
      </c>
      <c r="B4660" s="1" t="n">
        <v>44824</v>
      </c>
      <c r="C4660" s="1" t="n">
        <v>45895</v>
      </c>
      <c r="D4660" t="inlineStr">
        <is>
          <t>NORRBOTTENS LÄN</t>
        </is>
      </c>
      <c r="E4660" t="inlineStr">
        <is>
          <t>ARVIDSJAUR</t>
        </is>
      </c>
      <c r="F4660" t="inlineStr">
        <is>
          <t>Sveaskog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22180-2022</t>
        </is>
      </c>
      <c r="B4661" s="1" t="n">
        <v>44712</v>
      </c>
      <c r="C4661" s="1" t="n">
        <v>45895</v>
      </c>
      <c r="D4661" t="inlineStr">
        <is>
          <t>NORRBOTTENS LÄN</t>
        </is>
      </c>
      <c r="E4661" t="inlineStr">
        <is>
          <t>KALIX</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44461-2023</t>
        </is>
      </c>
      <c r="B4662" s="1" t="n">
        <v>45183</v>
      </c>
      <c r="C4662" s="1" t="n">
        <v>45895</v>
      </c>
      <c r="D4662" t="inlineStr">
        <is>
          <t>NORRBOTTENS LÄN</t>
        </is>
      </c>
      <c r="E4662" t="inlineStr">
        <is>
          <t>PITEÅ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57208-2021</t>
        </is>
      </c>
      <c r="B4663" s="1" t="n">
        <v>44482.94003472223</v>
      </c>
      <c r="C4663" s="1" t="n">
        <v>45895</v>
      </c>
      <c r="D4663" t="inlineStr">
        <is>
          <t>NORRBOTTENS LÄN</t>
        </is>
      </c>
      <c r="E4663" t="inlineStr">
        <is>
          <t>GÄLLIVARE</t>
        </is>
      </c>
      <c r="F4663" t="inlineStr">
        <is>
          <t>SCA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23890-2024</t>
        </is>
      </c>
      <c r="B4664" s="1" t="n">
        <v>45455</v>
      </c>
      <c r="C4664" s="1" t="n">
        <v>45895</v>
      </c>
      <c r="D4664" t="inlineStr">
        <is>
          <t>NORRBOTTENS LÄN</t>
        </is>
      </c>
      <c r="E4664" t="inlineStr">
        <is>
          <t>PAJALA</t>
        </is>
      </c>
      <c r="F4664" t="inlineStr">
        <is>
          <t>Sveaskog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59021-2022</t>
        </is>
      </c>
      <c r="B4665" s="1" t="n">
        <v>44903.88601851852</v>
      </c>
      <c r="C4665" s="1" t="n">
        <v>45895</v>
      </c>
      <c r="D4665" t="inlineStr">
        <is>
          <t>NORRBOTTENS LÄN</t>
        </is>
      </c>
      <c r="E4665" t="inlineStr">
        <is>
          <t>KALIX</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36490-2025</t>
        </is>
      </c>
      <c r="B4666" s="1" t="n">
        <v>45869</v>
      </c>
      <c r="C4666" s="1" t="n">
        <v>45895</v>
      </c>
      <c r="D4666" t="inlineStr">
        <is>
          <t>NORRBOTTENS LÄN</t>
        </is>
      </c>
      <c r="E4666" t="inlineStr">
        <is>
          <t>ÄLVSBYN</t>
        </is>
      </c>
      <c r="F4666" t="inlineStr">
        <is>
          <t>SCA</t>
        </is>
      </c>
      <c r="G4666" t="n">
        <v>20.1</v>
      </c>
      <c r="H4666" t="n">
        <v>0</v>
      </c>
      <c r="I4666" t="n">
        <v>0</v>
      </c>
      <c r="J4666" t="n">
        <v>0</v>
      </c>
      <c r="K4666" t="n">
        <v>0</v>
      </c>
      <c r="L4666" t="n">
        <v>0</v>
      </c>
      <c r="M4666" t="n">
        <v>0</v>
      </c>
      <c r="N4666" t="n">
        <v>0</v>
      </c>
      <c r="O4666" t="n">
        <v>0</v>
      </c>
      <c r="P4666" t="n">
        <v>0</v>
      </c>
      <c r="Q4666" t="n">
        <v>0</v>
      </c>
      <c r="R4666" s="2" t="inlineStr"/>
    </row>
    <row r="4667" ht="15" customHeight="1">
      <c r="A4667" t="inlineStr">
        <is>
          <t>A 47397-2020</t>
        </is>
      </c>
      <c r="B4667" s="1" t="n">
        <v>44095</v>
      </c>
      <c r="C4667" s="1" t="n">
        <v>45895</v>
      </c>
      <c r="D4667" t="inlineStr">
        <is>
          <t>NORRBOTTENS LÄN</t>
        </is>
      </c>
      <c r="E4667" t="inlineStr">
        <is>
          <t>JOKKMOKK</t>
        </is>
      </c>
      <c r="F4667" t="inlineStr">
        <is>
          <t>Allmännings- och besparingsskogar</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36536-2025</t>
        </is>
      </c>
      <c r="B4668" s="1" t="n">
        <v>45869</v>
      </c>
      <c r="C4668" s="1" t="n">
        <v>45895</v>
      </c>
      <c r="D4668" t="inlineStr">
        <is>
          <t>NORRBOTTENS LÄN</t>
        </is>
      </c>
      <c r="E4668" t="inlineStr">
        <is>
          <t>ÄLVSBYN</t>
        </is>
      </c>
      <c r="F4668" t="inlineStr">
        <is>
          <t>SCA</t>
        </is>
      </c>
      <c r="G4668" t="n">
        <v>16.4</v>
      </c>
      <c r="H4668" t="n">
        <v>0</v>
      </c>
      <c r="I4668" t="n">
        <v>0</v>
      </c>
      <c r="J4668" t="n">
        <v>0</v>
      </c>
      <c r="K4668" t="n">
        <v>0</v>
      </c>
      <c r="L4668" t="n">
        <v>0</v>
      </c>
      <c r="M4668" t="n">
        <v>0</v>
      </c>
      <c r="N4668" t="n">
        <v>0</v>
      </c>
      <c r="O4668" t="n">
        <v>0</v>
      </c>
      <c r="P4668" t="n">
        <v>0</v>
      </c>
      <c r="Q4668" t="n">
        <v>0</v>
      </c>
      <c r="R4668" s="2" t="inlineStr"/>
    </row>
    <row r="4669" ht="15" customHeight="1">
      <c r="A4669" t="inlineStr">
        <is>
          <t>A 31620-2025</t>
        </is>
      </c>
      <c r="B4669" s="1" t="n">
        <v>45833.87428240741</v>
      </c>
      <c r="C4669" s="1" t="n">
        <v>45895</v>
      </c>
      <c r="D4669" t="inlineStr">
        <is>
          <t>NORRBOTTENS LÄN</t>
        </is>
      </c>
      <c r="E4669" t="inlineStr">
        <is>
          <t>LULEÅ</t>
        </is>
      </c>
      <c r="G4669" t="n">
        <v>7.7</v>
      </c>
      <c r="H4669" t="n">
        <v>0</v>
      </c>
      <c r="I4669" t="n">
        <v>0</v>
      </c>
      <c r="J4669" t="n">
        <v>0</v>
      </c>
      <c r="K4669" t="n">
        <v>0</v>
      </c>
      <c r="L4669" t="n">
        <v>0</v>
      </c>
      <c r="M4669" t="n">
        <v>0</v>
      </c>
      <c r="N4669" t="n">
        <v>0</v>
      </c>
      <c r="O4669" t="n">
        <v>0</v>
      </c>
      <c r="P4669" t="n">
        <v>0</v>
      </c>
      <c r="Q4669" t="n">
        <v>0</v>
      </c>
      <c r="R4669" s="2" t="inlineStr"/>
    </row>
    <row r="4670" ht="15" customHeight="1">
      <c r="A4670" t="inlineStr">
        <is>
          <t>A 31645-2025</t>
        </is>
      </c>
      <c r="B4670" s="1" t="n">
        <v>45834.34546296296</v>
      </c>
      <c r="C4670" s="1" t="n">
        <v>45895</v>
      </c>
      <c r="D4670" t="inlineStr">
        <is>
          <t>NORRBOTTENS LÄN</t>
        </is>
      </c>
      <c r="E4670" t="inlineStr">
        <is>
          <t>ÖVERKALIX</t>
        </is>
      </c>
      <c r="F4670" t="inlineStr">
        <is>
          <t>SCA</t>
        </is>
      </c>
      <c r="G4670" t="n">
        <v>17.4</v>
      </c>
      <c r="H4670" t="n">
        <v>0</v>
      </c>
      <c r="I4670" t="n">
        <v>0</v>
      </c>
      <c r="J4670" t="n">
        <v>0</v>
      </c>
      <c r="K4670" t="n">
        <v>0</v>
      </c>
      <c r="L4670" t="n">
        <v>0</v>
      </c>
      <c r="M4670" t="n">
        <v>0</v>
      </c>
      <c r="N4670" t="n">
        <v>0</v>
      </c>
      <c r="O4670" t="n">
        <v>0</v>
      </c>
      <c r="P4670" t="n">
        <v>0</v>
      </c>
      <c r="Q4670" t="n">
        <v>0</v>
      </c>
      <c r="R4670" s="2" t="inlineStr"/>
    </row>
    <row r="4671" ht="15" customHeight="1">
      <c r="A4671" t="inlineStr">
        <is>
          <t>A 31652-2025</t>
        </is>
      </c>
      <c r="B4671" s="1" t="n">
        <v>45834</v>
      </c>
      <c r="C4671" s="1" t="n">
        <v>45895</v>
      </c>
      <c r="D4671" t="inlineStr">
        <is>
          <t>NORRBOTTENS LÄN</t>
        </is>
      </c>
      <c r="E4671" t="inlineStr">
        <is>
          <t>GÄLLIVARE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37114-2024</t>
        </is>
      </c>
      <c r="B4672" s="1" t="n">
        <v>45539.52540509259</v>
      </c>
      <c r="C4672" s="1" t="n">
        <v>45895</v>
      </c>
      <c r="D4672" t="inlineStr">
        <is>
          <t>NORRBOTTENS LÄN</t>
        </is>
      </c>
      <c r="E4672" t="inlineStr">
        <is>
          <t>BODEN</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31363-2025</t>
        </is>
      </c>
      <c r="B4673" s="1" t="n">
        <v>45833.43721064815</v>
      </c>
      <c r="C4673" s="1" t="n">
        <v>45895</v>
      </c>
      <c r="D4673" t="inlineStr">
        <is>
          <t>NORRBOTTENS LÄN</t>
        </is>
      </c>
      <c r="E4673" t="inlineStr">
        <is>
          <t>BODEN</t>
        </is>
      </c>
      <c r="F4673" t="inlineStr">
        <is>
          <t>Sveaskog</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1084-2025</t>
        </is>
      </c>
      <c r="B4674" s="1" t="n">
        <v>45665</v>
      </c>
      <c r="C4674" s="1" t="n">
        <v>45895</v>
      </c>
      <c r="D4674" t="inlineStr">
        <is>
          <t>NORRBOTTENS LÄN</t>
        </is>
      </c>
      <c r="E4674" t="inlineStr">
        <is>
          <t>PAJALA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5670-2025</t>
        </is>
      </c>
      <c r="B4675" s="1" t="n">
        <v>45693</v>
      </c>
      <c r="C4675" s="1" t="n">
        <v>45895</v>
      </c>
      <c r="D4675" t="inlineStr">
        <is>
          <t>NORRBOTTENS LÄN</t>
        </is>
      </c>
      <c r="E4675" t="inlineStr">
        <is>
          <t>JOKKMOKK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37820-2022</t>
        </is>
      </c>
      <c r="B4676" s="1" t="n">
        <v>44810</v>
      </c>
      <c r="C4676" s="1" t="n">
        <v>45895</v>
      </c>
      <c r="D4676" t="inlineStr">
        <is>
          <t>NORRBOTTENS LÄN</t>
        </is>
      </c>
      <c r="E4676" t="inlineStr">
        <is>
          <t>LULEÅ</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31751-2025</t>
        </is>
      </c>
      <c r="B4677" s="1" t="n">
        <v>45834</v>
      </c>
      <c r="C4677" s="1" t="n">
        <v>45895</v>
      </c>
      <c r="D4677" t="inlineStr">
        <is>
          <t>NORRBOTTENS LÄN</t>
        </is>
      </c>
      <c r="E4677" t="inlineStr">
        <is>
          <t>ÖVERKALIX</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57764-2022</t>
        </is>
      </c>
      <c r="B4678" s="1" t="n">
        <v>44890</v>
      </c>
      <c r="C4678" s="1" t="n">
        <v>45895</v>
      </c>
      <c r="D4678" t="inlineStr">
        <is>
          <t>NORRBOTTENS LÄN</t>
        </is>
      </c>
      <c r="E4678" t="inlineStr">
        <is>
          <t>LULEÅ</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62701-2022</t>
        </is>
      </c>
      <c r="B4679" s="1" t="n">
        <v>44917</v>
      </c>
      <c r="C4679" s="1" t="n">
        <v>45895</v>
      </c>
      <c r="D4679" t="inlineStr">
        <is>
          <t>NORRBOTTENS LÄN</t>
        </is>
      </c>
      <c r="E4679" t="inlineStr">
        <is>
          <t>LULEÅ</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48485-2024</t>
        </is>
      </c>
      <c r="B4680" s="1" t="n">
        <v>45592.39511574074</v>
      </c>
      <c r="C4680" s="1" t="n">
        <v>45895</v>
      </c>
      <c r="D4680" t="inlineStr">
        <is>
          <t>NORRBOTTENS LÄN</t>
        </is>
      </c>
      <c r="E4680" t="inlineStr">
        <is>
          <t>PAJALA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14513-2021</t>
        </is>
      </c>
      <c r="B4681" s="1" t="n">
        <v>44279</v>
      </c>
      <c r="C4681" s="1" t="n">
        <v>45895</v>
      </c>
      <c r="D4681" t="inlineStr">
        <is>
          <t>NORRBOTTENS LÄN</t>
        </is>
      </c>
      <c r="E4681" t="inlineStr">
        <is>
          <t>PAJALA</t>
        </is>
      </c>
      <c r="G4681" t="n">
        <v>25.5</v>
      </c>
      <c r="H4681" t="n">
        <v>0</v>
      </c>
      <c r="I4681" t="n">
        <v>0</v>
      </c>
      <c r="J4681" t="n">
        <v>0</v>
      </c>
      <c r="K4681" t="n">
        <v>0</v>
      </c>
      <c r="L4681" t="n">
        <v>0</v>
      </c>
      <c r="M4681" t="n">
        <v>0</v>
      </c>
      <c r="N4681" t="n">
        <v>0</v>
      </c>
      <c r="O4681" t="n">
        <v>0</v>
      </c>
      <c r="P4681" t="n">
        <v>0</v>
      </c>
      <c r="Q4681" t="n">
        <v>0</v>
      </c>
      <c r="R4681" s="2" t="inlineStr"/>
    </row>
    <row r="4682" ht="15" customHeight="1">
      <c r="A4682" t="inlineStr">
        <is>
          <t>A 10727-2025</t>
        </is>
      </c>
      <c r="B4682" s="1" t="n">
        <v>45722.38607638889</v>
      </c>
      <c r="C4682" s="1" t="n">
        <v>45895</v>
      </c>
      <c r="D4682" t="inlineStr">
        <is>
          <t>NORRBOTTENS LÄN</t>
        </is>
      </c>
      <c r="E4682" t="inlineStr">
        <is>
          <t>BODEN</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53732-2022</t>
        </is>
      </c>
      <c r="B4683" s="1" t="n">
        <v>44880</v>
      </c>
      <c r="C4683" s="1" t="n">
        <v>45895</v>
      </c>
      <c r="D4683" t="inlineStr">
        <is>
          <t>NORRBOTTENS LÄN</t>
        </is>
      </c>
      <c r="E4683" t="inlineStr">
        <is>
          <t>ÖVERKALIX</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11413-2025</t>
        </is>
      </c>
      <c r="B4684" s="1" t="n">
        <v>45726.5940625</v>
      </c>
      <c r="C4684" s="1" t="n">
        <v>45895</v>
      </c>
      <c r="D4684" t="inlineStr">
        <is>
          <t>NORRBOTTENS LÄN</t>
        </is>
      </c>
      <c r="E4684" t="inlineStr">
        <is>
          <t>PITEÅ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66326-2021</t>
        </is>
      </c>
      <c r="B4685" s="1" t="n">
        <v>44518</v>
      </c>
      <c r="C4685" s="1" t="n">
        <v>45895</v>
      </c>
      <c r="D4685" t="inlineStr">
        <is>
          <t>NORRBOTTENS LÄN</t>
        </is>
      </c>
      <c r="E4685" t="inlineStr">
        <is>
          <t>PAJALA</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35943-2025</t>
        </is>
      </c>
      <c r="B4686" s="1" t="n">
        <v>45862</v>
      </c>
      <c r="C4686" s="1" t="n">
        <v>45895</v>
      </c>
      <c r="D4686" t="inlineStr">
        <is>
          <t>NORRBOTTENS LÄN</t>
        </is>
      </c>
      <c r="E4686" t="inlineStr">
        <is>
          <t>PAJALA</t>
        </is>
      </c>
      <c r="F4686" t="inlineStr">
        <is>
          <t>Sveaskog</t>
        </is>
      </c>
      <c r="G4686" t="n">
        <v>15.4</v>
      </c>
      <c r="H4686" t="n">
        <v>0</v>
      </c>
      <c r="I4686" t="n">
        <v>0</v>
      </c>
      <c r="J4686" t="n">
        <v>0</v>
      </c>
      <c r="K4686" t="n">
        <v>0</v>
      </c>
      <c r="L4686" t="n">
        <v>0</v>
      </c>
      <c r="M4686" t="n">
        <v>0</v>
      </c>
      <c r="N4686" t="n">
        <v>0</v>
      </c>
      <c r="O4686" t="n">
        <v>0</v>
      </c>
      <c r="P4686" t="n">
        <v>0</v>
      </c>
      <c r="Q4686" t="n">
        <v>0</v>
      </c>
      <c r="R4686" s="2" t="inlineStr"/>
    </row>
    <row r="4687" ht="15" customHeight="1">
      <c r="A4687" t="inlineStr">
        <is>
          <t>A 37086-2025</t>
        </is>
      </c>
      <c r="B4687" s="1" t="n">
        <v>45875.45590277778</v>
      </c>
      <c r="C4687" s="1" t="n">
        <v>45895</v>
      </c>
      <c r="D4687" t="inlineStr">
        <is>
          <t>NORRBOTTENS LÄN</t>
        </is>
      </c>
      <c r="E4687" t="inlineStr">
        <is>
          <t>BODEN</t>
        </is>
      </c>
      <c r="F4687" t="inlineStr">
        <is>
          <t>Övriga Aktiebolag</t>
        </is>
      </c>
      <c r="G4687" t="n">
        <v>22.8</v>
      </c>
      <c r="H4687" t="n">
        <v>0</v>
      </c>
      <c r="I4687" t="n">
        <v>0</v>
      </c>
      <c r="J4687" t="n">
        <v>0</v>
      </c>
      <c r="K4687" t="n">
        <v>0</v>
      </c>
      <c r="L4687" t="n">
        <v>0</v>
      </c>
      <c r="M4687" t="n">
        <v>0</v>
      </c>
      <c r="N4687" t="n">
        <v>0</v>
      </c>
      <c r="O4687" t="n">
        <v>0</v>
      </c>
      <c r="P4687" t="n">
        <v>0</v>
      </c>
      <c r="Q4687" t="n">
        <v>0</v>
      </c>
      <c r="R4687" s="2" t="inlineStr"/>
    </row>
    <row r="4688" ht="15" customHeight="1">
      <c r="A4688" t="inlineStr">
        <is>
          <t>A 37120-2025</t>
        </is>
      </c>
      <c r="B4688" s="1" t="n">
        <v>45875.51827546296</v>
      </c>
      <c r="C4688" s="1" t="n">
        <v>45895</v>
      </c>
      <c r="D4688" t="inlineStr">
        <is>
          <t>NORRBOTTENS LÄN</t>
        </is>
      </c>
      <c r="E4688" t="inlineStr">
        <is>
          <t>JOKKMOKK</t>
        </is>
      </c>
      <c r="G4688" t="n">
        <v>17.6</v>
      </c>
      <c r="H4688" t="n">
        <v>0</v>
      </c>
      <c r="I4688" t="n">
        <v>0</v>
      </c>
      <c r="J4688" t="n">
        <v>0</v>
      </c>
      <c r="K4688" t="n">
        <v>0</v>
      </c>
      <c r="L4688" t="n">
        <v>0</v>
      </c>
      <c r="M4688" t="n">
        <v>0</v>
      </c>
      <c r="N4688" t="n">
        <v>0</v>
      </c>
      <c r="O4688" t="n">
        <v>0</v>
      </c>
      <c r="P4688" t="n">
        <v>0</v>
      </c>
      <c r="Q4688" t="n">
        <v>0</v>
      </c>
      <c r="R4688" s="2" t="inlineStr"/>
    </row>
    <row r="4689" ht="15" customHeight="1">
      <c r="A4689" t="inlineStr">
        <is>
          <t>A 16560-2023</t>
        </is>
      </c>
      <c r="B4689" s="1" t="n">
        <v>45029</v>
      </c>
      <c r="C4689" s="1" t="n">
        <v>45895</v>
      </c>
      <c r="D4689" t="inlineStr">
        <is>
          <t>NORRBOTTENS LÄN</t>
        </is>
      </c>
      <c r="E4689" t="inlineStr">
        <is>
          <t>PITEÅ</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29939-2022</t>
        </is>
      </c>
      <c r="B4690" s="1" t="n">
        <v>44756</v>
      </c>
      <c r="C4690" s="1" t="n">
        <v>45895</v>
      </c>
      <c r="D4690" t="inlineStr">
        <is>
          <t>NORRBOTTENS LÄN</t>
        </is>
      </c>
      <c r="E4690" t="inlineStr">
        <is>
          <t>PAJALA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56086-2020</t>
        </is>
      </c>
      <c r="B4691" s="1" t="n">
        <v>44133</v>
      </c>
      <c r="C4691" s="1" t="n">
        <v>45895</v>
      </c>
      <c r="D4691" t="inlineStr">
        <is>
          <t>NORRBOTTENS LÄN</t>
        </is>
      </c>
      <c r="E4691" t="inlineStr">
        <is>
          <t>HAPARANDA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57988-2020</t>
        </is>
      </c>
      <c r="B4692" s="1" t="n">
        <v>44143</v>
      </c>
      <c r="C4692" s="1" t="n">
        <v>45895</v>
      </c>
      <c r="D4692" t="inlineStr">
        <is>
          <t>NORRBOTTENS LÄN</t>
        </is>
      </c>
      <c r="E4692" t="inlineStr">
        <is>
          <t>BODEN</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16699-2024</t>
        </is>
      </c>
      <c r="B4693" s="1" t="n">
        <v>45408.96730324074</v>
      </c>
      <c r="C4693" s="1" t="n">
        <v>45895</v>
      </c>
      <c r="D4693" t="inlineStr">
        <is>
          <t>NORRBOTTENS LÄN</t>
        </is>
      </c>
      <c r="E4693" t="inlineStr">
        <is>
          <t>BODEN</t>
        </is>
      </c>
      <c r="G4693" t="n">
        <v>14.9</v>
      </c>
      <c r="H4693" t="n">
        <v>0</v>
      </c>
      <c r="I4693" t="n">
        <v>0</v>
      </c>
      <c r="J4693" t="n">
        <v>0</v>
      </c>
      <c r="K4693" t="n">
        <v>0</v>
      </c>
      <c r="L4693" t="n">
        <v>0</v>
      </c>
      <c r="M4693" t="n">
        <v>0</v>
      </c>
      <c r="N4693" t="n">
        <v>0</v>
      </c>
      <c r="O4693" t="n">
        <v>0</v>
      </c>
      <c r="P4693" t="n">
        <v>0</v>
      </c>
      <c r="Q4693" t="n">
        <v>0</v>
      </c>
      <c r="R4693" s="2" t="inlineStr"/>
    </row>
    <row r="4694" ht="15" customHeight="1">
      <c r="A4694" t="inlineStr">
        <is>
          <t>A 31640-2025</t>
        </is>
      </c>
      <c r="B4694" s="1" t="n">
        <v>45834.34450231482</v>
      </c>
      <c r="C4694" s="1" t="n">
        <v>45895</v>
      </c>
      <c r="D4694" t="inlineStr">
        <is>
          <t>NORRBOTTENS LÄN</t>
        </is>
      </c>
      <c r="E4694" t="inlineStr">
        <is>
          <t>ÖVERKALIX</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30440-2022</t>
        </is>
      </c>
      <c r="B4695" s="1" t="n">
        <v>44761</v>
      </c>
      <c r="C4695" s="1" t="n">
        <v>45895</v>
      </c>
      <c r="D4695" t="inlineStr">
        <is>
          <t>NORRBOTTENS LÄN</t>
        </is>
      </c>
      <c r="E4695" t="inlineStr">
        <is>
          <t>PITEÅ</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9344-2023</t>
        </is>
      </c>
      <c r="B4696" s="1" t="n">
        <v>44980</v>
      </c>
      <c r="C4696" s="1" t="n">
        <v>45895</v>
      </c>
      <c r="D4696" t="inlineStr">
        <is>
          <t>NORRBOTTENS LÄN</t>
        </is>
      </c>
      <c r="E4696" t="inlineStr">
        <is>
          <t>KALIX</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31519-2025</t>
        </is>
      </c>
      <c r="B4697" s="1" t="n">
        <v>45833.60747685185</v>
      </c>
      <c r="C4697" s="1" t="n">
        <v>45895</v>
      </c>
      <c r="D4697" t="inlineStr">
        <is>
          <t>NORRBOTTENS LÄN</t>
        </is>
      </c>
      <c r="E4697" t="inlineStr">
        <is>
          <t>KALIX</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32915-2023</t>
        </is>
      </c>
      <c r="B4698" s="1" t="n">
        <v>45124.95214120371</v>
      </c>
      <c r="C4698" s="1" t="n">
        <v>45895</v>
      </c>
      <c r="D4698" t="inlineStr">
        <is>
          <t>NORRBOTTENS LÄN</t>
        </is>
      </c>
      <c r="E4698" t="inlineStr">
        <is>
          <t>JOKKMOKK</t>
        </is>
      </c>
      <c r="F4698" t="inlineStr">
        <is>
          <t>SCA</t>
        </is>
      </c>
      <c r="G4698" t="n">
        <v>15.1</v>
      </c>
      <c r="H4698" t="n">
        <v>0</v>
      </c>
      <c r="I4698" t="n">
        <v>0</v>
      </c>
      <c r="J4698" t="n">
        <v>0</v>
      </c>
      <c r="K4698" t="n">
        <v>0</v>
      </c>
      <c r="L4698" t="n">
        <v>0</v>
      </c>
      <c r="M4698" t="n">
        <v>0</v>
      </c>
      <c r="N4698" t="n">
        <v>0</v>
      </c>
      <c r="O4698" t="n">
        <v>0</v>
      </c>
      <c r="P4698" t="n">
        <v>0</v>
      </c>
      <c r="Q4698" t="n">
        <v>0</v>
      </c>
      <c r="R4698" s="2" t="inlineStr"/>
    </row>
    <row r="4699" ht="15" customHeight="1">
      <c r="A4699" t="inlineStr">
        <is>
          <t>A 11835-2023</t>
        </is>
      </c>
      <c r="B4699" s="1" t="n">
        <v>44994</v>
      </c>
      <c r="C4699" s="1" t="n">
        <v>45895</v>
      </c>
      <c r="D4699" t="inlineStr">
        <is>
          <t>NORRBOTTENS LÄN</t>
        </is>
      </c>
      <c r="E4699" t="inlineStr">
        <is>
          <t>ÄLVSBYN</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38999-2024</t>
        </is>
      </c>
      <c r="B4700" s="1" t="n">
        <v>45548.4180787037</v>
      </c>
      <c r="C4700" s="1" t="n">
        <v>45895</v>
      </c>
      <c r="D4700" t="inlineStr">
        <is>
          <t>NORRBOTTENS LÄN</t>
        </is>
      </c>
      <c r="E4700" t="inlineStr">
        <is>
          <t>ÄLVSBYN</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37951-2021</t>
        </is>
      </c>
      <c r="B4701" s="1" t="n">
        <v>44403.92158564815</v>
      </c>
      <c r="C4701" s="1" t="n">
        <v>45895</v>
      </c>
      <c r="D4701" t="inlineStr">
        <is>
          <t>NORRBOTTENS LÄN</t>
        </is>
      </c>
      <c r="E4701" t="inlineStr">
        <is>
          <t>PITEÅ</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31836-2025</t>
        </is>
      </c>
      <c r="B4702" s="1" t="n">
        <v>45834.59451388889</v>
      </c>
      <c r="C4702" s="1" t="n">
        <v>45895</v>
      </c>
      <c r="D4702" t="inlineStr">
        <is>
          <t>NORRBOTTENS LÄN</t>
        </is>
      </c>
      <c r="E4702" t="inlineStr">
        <is>
          <t>BODEN</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53829-2020</t>
        </is>
      </c>
      <c r="B4703" s="1" t="n">
        <v>44124</v>
      </c>
      <c r="C4703" s="1" t="n">
        <v>45895</v>
      </c>
      <c r="D4703" t="inlineStr">
        <is>
          <t>NORRBOTTENS LÄN</t>
        </is>
      </c>
      <c r="E4703" t="inlineStr">
        <is>
          <t>BODEN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1002-2025</t>
        </is>
      </c>
      <c r="B4704" s="1" t="n">
        <v>45665</v>
      </c>
      <c r="C4704" s="1" t="n">
        <v>45895</v>
      </c>
      <c r="D4704" t="inlineStr">
        <is>
          <t>NORRBOTTENS LÄN</t>
        </is>
      </c>
      <c r="E4704" t="inlineStr">
        <is>
          <t>LULEÅ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35449-2025</t>
        </is>
      </c>
      <c r="B4705" s="1" t="n">
        <v>45855</v>
      </c>
      <c r="C4705" s="1" t="n">
        <v>45895</v>
      </c>
      <c r="D4705" t="inlineStr">
        <is>
          <t>NORRBOTTENS LÄN</t>
        </is>
      </c>
      <c r="E4705" t="inlineStr">
        <is>
          <t>GÄLLIVARE</t>
        </is>
      </c>
      <c r="F4705" t="inlineStr">
        <is>
          <t>Allmännings- och besparingsskogar</t>
        </is>
      </c>
      <c r="G4705" t="n">
        <v>31.5</v>
      </c>
      <c r="H4705" t="n">
        <v>0</v>
      </c>
      <c r="I4705" t="n">
        <v>0</v>
      </c>
      <c r="J4705" t="n">
        <v>0</v>
      </c>
      <c r="K4705" t="n">
        <v>0</v>
      </c>
      <c r="L4705" t="n">
        <v>0</v>
      </c>
      <c r="M4705" t="n">
        <v>0</v>
      </c>
      <c r="N4705" t="n">
        <v>0</v>
      </c>
      <c r="O4705" t="n">
        <v>0</v>
      </c>
      <c r="P4705" t="n">
        <v>0</v>
      </c>
      <c r="Q4705" t="n">
        <v>0</v>
      </c>
      <c r="R4705" s="2" t="inlineStr"/>
    </row>
    <row r="4706" ht="15" customHeight="1">
      <c r="A4706" t="inlineStr">
        <is>
          <t>A 26513-2025</t>
        </is>
      </c>
      <c r="B4706" s="1" t="n">
        <v>45807</v>
      </c>
      <c r="C4706" s="1" t="n">
        <v>45895</v>
      </c>
      <c r="D4706" t="inlineStr">
        <is>
          <t>NORRBOTTENS LÄN</t>
        </is>
      </c>
      <c r="E4706" t="inlineStr">
        <is>
          <t>LULEÅ</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35962-2021</t>
        </is>
      </c>
      <c r="B4707" s="1" t="n">
        <v>44385</v>
      </c>
      <c r="C4707" s="1" t="n">
        <v>45895</v>
      </c>
      <c r="D4707" t="inlineStr">
        <is>
          <t>NORRBOTTENS LÄN</t>
        </is>
      </c>
      <c r="E4707" t="inlineStr">
        <is>
          <t>LULEÅ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11582-2025</t>
        </is>
      </c>
      <c r="B4708" s="1" t="n">
        <v>45726</v>
      </c>
      <c r="C4708" s="1" t="n">
        <v>45895</v>
      </c>
      <c r="D4708" t="inlineStr">
        <is>
          <t>NORRBOTTENS LÄN</t>
        </is>
      </c>
      <c r="E4708" t="inlineStr">
        <is>
          <t>ARVIDSJAUR</t>
        </is>
      </c>
      <c r="F4708" t="inlineStr">
        <is>
          <t>Allmännings- och besparingsskogar</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31323-2025</t>
        </is>
      </c>
      <c r="B4709" s="1" t="n">
        <v>45833</v>
      </c>
      <c r="C4709" s="1" t="n">
        <v>45895</v>
      </c>
      <c r="D4709" t="inlineStr">
        <is>
          <t>NORRBOTTENS LÄN</t>
        </is>
      </c>
      <c r="E4709" t="inlineStr">
        <is>
          <t>BODEN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59922-2020</t>
        </is>
      </c>
      <c r="B4710" s="1" t="n">
        <v>44148</v>
      </c>
      <c r="C4710" s="1" t="n">
        <v>45895</v>
      </c>
      <c r="D4710" t="inlineStr">
        <is>
          <t>NORRBOTTENS LÄN</t>
        </is>
      </c>
      <c r="E4710" t="inlineStr">
        <is>
          <t>ARVIDSJAUR</t>
        </is>
      </c>
      <c r="G4710" t="n">
        <v>16.1</v>
      </c>
      <c r="H4710" t="n">
        <v>0</v>
      </c>
      <c r="I4710" t="n">
        <v>0</v>
      </c>
      <c r="J4710" t="n">
        <v>0</v>
      </c>
      <c r="K4710" t="n">
        <v>0</v>
      </c>
      <c r="L4710" t="n">
        <v>0</v>
      </c>
      <c r="M4710" t="n">
        <v>0</v>
      </c>
      <c r="N4710" t="n">
        <v>0</v>
      </c>
      <c r="O4710" t="n">
        <v>0</v>
      </c>
      <c r="P4710" t="n">
        <v>0</v>
      </c>
      <c r="Q4710" t="n">
        <v>0</v>
      </c>
      <c r="R4710" s="2" t="inlineStr"/>
    </row>
    <row r="4711" ht="15" customHeight="1">
      <c r="A4711" t="inlineStr">
        <is>
          <t>A 31834-2025</t>
        </is>
      </c>
      <c r="B4711" s="1" t="n">
        <v>45834.59415509259</v>
      </c>
      <c r="C4711" s="1" t="n">
        <v>45895</v>
      </c>
      <c r="D4711" t="inlineStr">
        <is>
          <t>NORRBOTTENS LÄN</t>
        </is>
      </c>
      <c r="E4711" t="inlineStr">
        <is>
          <t>BODEN</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31840-2025</t>
        </is>
      </c>
      <c r="B4712" s="1" t="n">
        <v>45834.59708333333</v>
      </c>
      <c r="C4712" s="1" t="n">
        <v>45895</v>
      </c>
      <c r="D4712" t="inlineStr">
        <is>
          <t>NORRBOTTENS LÄN</t>
        </is>
      </c>
      <c r="E4712" t="inlineStr">
        <is>
          <t>BODEN</t>
        </is>
      </c>
      <c r="G4712" t="n">
        <v>8.199999999999999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30567-2024</t>
        </is>
      </c>
      <c r="B4713" s="1" t="n">
        <v>45492</v>
      </c>
      <c r="C4713" s="1" t="n">
        <v>45895</v>
      </c>
      <c r="D4713" t="inlineStr">
        <is>
          <t>NORRBOTTENS LÄN</t>
        </is>
      </c>
      <c r="E4713" t="inlineStr">
        <is>
          <t>KALIX</t>
        </is>
      </c>
      <c r="F4713" t="inlineStr">
        <is>
          <t>SCA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433-2022</t>
        </is>
      </c>
      <c r="B4714" s="1" t="n">
        <v>44565.92903935185</v>
      </c>
      <c r="C4714" s="1" t="n">
        <v>45895</v>
      </c>
      <c r="D4714" t="inlineStr">
        <is>
          <t>NORRBOTTENS LÄN</t>
        </is>
      </c>
      <c r="E4714" t="inlineStr">
        <is>
          <t>LULEÅ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17105-2025</t>
        </is>
      </c>
      <c r="B4715" s="1" t="n">
        <v>45755</v>
      </c>
      <c r="C4715" s="1" t="n">
        <v>45895</v>
      </c>
      <c r="D4715" t="inlineStr">
        <is>
          <t>NORRBOTTENS LÄN</t>
        </is>
      </c>
      <c r="E4715" t="inlineStr">
        <is>
          <t>PAJALA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37191-2025</t>
        </is>
      </c>
      <c r="B4716" s="1" t="n">
        <v>45875.64945601852</v>
      </c>
      <c r="C4716" s="1" t="n">
        <v>45895</v>
      </c>
      <c r="D4716" t="inlineStr">
        <is>
          <t>NORRBOTTENS LÄN</t>
        </is>
      </c>
      <c r="E4716" t="inlineStr">
        <is>
          <t>ARVIDSJAUR</t>
        </is>
      </c>
      <c r="F4716" t="inlineStr">
        <is>
          <t>Sveaskog</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28358-2024</t>
        </is>
      </c>
      <c r="B4717" s="1" t="n">
        <v>45477</v>
      </c>
      <c r="C4717" s="1" t="n">
        <v>45895</v>
      </c>
      <c r="D4717" t="inlineStr">
        <is>
          <t>NORRBOTTENS LÄN</t>
        </is>
      </c>
      <c r="E4717" t="inlineStr">
        <is>
          <t>ÄLVSBYN</t>
        </is>
      </c>
      <c r="F4717" t="inlineStr">
        <is>
          <t>Sveaskog</t>
        </is>
      </c>
      <c r="G4717" t="n">
        <v>40.6</v>
      </c>
      <c r="H4717" t="n">
        <v>0</v>
      </c>
      <c r="I4717" t="n">
        <v>0</v>
      </c>
      <c r="J4717" t="n">
        <v>0</v>
      </c>
      <c r="K4717" t="n">
        <v>0</v>
      </c>
      <c r="L4717" t="n">
        <v>0</v>
      </c>
      <c r="M4717" t="n">
        <v>0</v>
      </c>
      <c r="N4717" t="n">
        <v>0</v>
      </c>
      <c r="O4717" t="n">
        <v>0</v>
      </c>
      <c r="P4717" t="n">
        <v>0</v>
      </c>
      <c r="Q4717" t="n">
        <v>0</v>
      </c>
      <c r="R4717" s="2" t="inlineStr"/>
    </row>
    <row r="4718" ht="15" customHeight="1">
      <c r="A4718" t="inlineStr">
        <is>
          <t>A 33637-2023</t>
        </is>
      </c>
      <c r="B4718" s="1" t="n">
        <v>45132.44865740741</v>
      </c>
      <c r="C4718" s="1" t="n">
        <v>45895</v>
      </c>
      <c r="D4718" t="inlineStr">
        <is>
          <t>NORRBOTTENS LÄN</t>
        </is>
      </c>
      <c r="E4718" t="inlineStr">
        <is>
          <t>ÖVERTORNEÅ</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64809-2023</t>
        </is>
      </c>
      <c r="B4719" s="1" t="n">
        <v>45281</v>
      </c>
      <c r="C4719" s="1" t="n">
        <v>45895</v>
      </c>
      <c r="D4719" t="inlineStr">
        <is>
          <t>NORRBOTTENS LÄN</t>
        </is>
      </c>
      <c r="E4719" t="inlineStr">
        <is>
          <t>ARJEPLOG</t>
        </is>
      </c>
      <c r="G4719" t="n">
        <v>17.8</v>
      </c>
      <c r="H4719" t="n">
        <v>0</v>
      </c>
      <c r="I4719" t="n">
        <v>0</v>
      </c>
      <c r="J4719" t="n">
        <v>0</v>
      </c>
      <c r="K4719" t="n">
        <v>0</v>
      </c>
      <c r="L4719" t="n">
        <v>0</v>
      </c>
      <c r="M4719" t="n">
        <v>0</v>
      </c>
      <c r="N4719" t="n">
        <v>0</v>
      </c>
      <c r="O4719" t="n">
        <v>0</v>
      </c>
      <c r="P4719" t="n">
        <v>0</v>
      </c>
      <c r="Q4719" t="n">
        <v>0</v>
      </c>
      <c r="R4719" s="2" t="inlineStr"/>
    </row>
    <row r="4720" ht="15" customHeight="1">
      <c r="A4720" t="inlineStr">
        <is>
          <t>A 31453-2025</t>
        </is>
      </c>
      <c r="B4720" s="1" t="n">
        <v>45833.53407407407</v>
      </c>
      <c r="C4720" s="1" t="n">
        <v>45895</v>
      </c>
      <c r="D4720" t="inlineStr">
        <is>
          <t>NORRBOTTENS LÄN</t>
        </is>
      </c>
      <c r="E4720" t="inlineStr">
        <is>
          <t>PITEÅ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66914-2021</t>
        </is>
      </c>
      <c r="B4721" s="1" t="n">
        <v>44522</v>
      </c>
      <c r="C4721" s="1" t="n">
        <v>45895</v>
      </c>
      <c r="D4721" t="inlineStr">
        <is>
          <t>NORRBOTTENS LÄN</t>
        </is>
      </c>
      <c r="E4721" t="inlineStr">
        <is>
          <t>PAJALA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31514-2025</t>
        </is>
      </c>
      <c r="B4722" s="1" t="n">
        <v>45833.60255787037</v>
      </c>
      <c r="C4722" s="1" t="n">
        <v>45895</v>
      </c>
      <c r="D4722" t="inlineStr">
        <is>
          <t>NORRBOTTENS LÄN</t>
        </is>
      </c>
      <c r="E4722" t="inlineStr">
        <is>
          <t>KALIX</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11242-2021</t>
        </is>
      </c>
      <c r="B4723" s="1" t="n">
        <v>44263.39423611111</v>
      </c>
      <c r="C4723" s="1" t="n">
        <v>45895</v>
      </c>
      <c r="D4723" t="inlineStr">
        <is>
          <t>NORRBOTTENS LÄN</t>
        </is>
      </c>
      <c r="E4723" t="inlineStr">
        <is>
          <t>LULEÅ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62763-2021</t>
        </is>
      </c>
      <c r="B4724" s="1" t="n">
        <v>44504</v>
      </c>
      <c r="C4724" s="1" t="n">
        <v>45895</v>
      </c>
      <c r="D4724" t="inlineStr">
        <is>
          <t>NORRBOTTENS LÄN</t>
        </is>
      </c>
      <c r="E4724" t="inlineStr">
        <is>
          <t>PAJALA</t>
        </is>
      </c>
      <c r="G4724" t="n">
        <v>20.1</v>
      </c>
      <c r="H4724" t="n">
        <v>0</v>
      </c>
      <c r="I4724" t="n">
        <v>0</v>
      </c>
      <c r="J4724" t="n">
        <v>0</v>
      </c>
      <c r="K4724" t="n">
        <v>0</v>
      </c>
      <c r="L4724" t="n">
        <v>0</v>
      </c>
      <c r="M4724" t="n">
        <v>0</v>
      </c>
      <c r="N4724" t="n">
        <v>0</v>
      </c>
      <c r="O4724" t="n">
        <v>0</v>
      </c>
      <c r="P4724" t="n">
        <v>0</v>
      </c>
      <c r="Q4724" t="n">
        <v>0</v>
      </c>
      <c r="R4724" s="2" t="inlineStr"/>
    </row>
    <row r="4725" ht="15" customHeight="1">
      <c r="A4725" t="inlineStr">
        <is>
          <t>A 16213-2021</t>
        </is>
      </c>
      <c r="B4725" s="1" t="n">
        <v>44292</v>
      </c>
      <c r="C4725" s="1" t="n">
        <v>45895</v>
      </c>
      <c r="D4725" t="inlineStr">
        <is>
          <t>NORRBOTTENS LÄN</t>
        </is>
      </c>
      <c r="E4725" t="inlineStr">
        <is>
          <t>BODEN</t>
        </is>
      </c>
      <c r="G4725" t="n">
        <v>21.2</v>
      </c>
      <c r="H4725" t="n">
        <v>0</v>
      </c>
      <c r="I4725" t="n">
        <v>0</v>
      </c>
      <c r="J4725" t="n">
        <v>0</v>
      </c>
      <c r="K4725" t="n">
        <v>0</v>
      </c>
      <c r="L4725" t="n">
        <v>0</v>
      </c>
      <c r="M4725" t="n">
        <v>0</v>
      </c>
      <c r="N4725" t="n">
        <v>0</v>
      </c>
      <c r="O4725" t="n">
        <v>0</v>
      </c>
      <c r="P4725" t="n">
        <v>0</v>
      </c>
      <c r="Q4725" t="n">
        <v>0</v>
      </c>
      <c r="R4725" s="2" t="inlineStr"/>
    </row>
    <row r="4726" ht="15" customHeight="1">
      <c r="A4726" t="inlineStr">
        <is>
          <t>A 48107-2022</t>
        </is>
      </c>
      <c r="B4726" s="1" t="n">
        <v>44856.89673611111</v>
      </c>
      <c r="C4726" s="1" t="n">
        <v>45895</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36756-2025</t>
        </is>
      </c>
      <c r="B4727" s="1" t="n">
        <v>45873</v>
      </c>
      <c r="C4727" s="1" t="n">
        <v>45895</v>
      </c>
      <c r="D4727" t="inlineStr">
        <is>
          <t>NORRBOTTENS LÄN</t>
        </is>
      </c>
      <c r="E4727" t="inlineStr">
        <is>
          <t>ÄLVSBYN</t>
        </is>
      </c>
      <c r="F4727" t="inlineStr">
        <is>
          <t>Sveaskog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31563-2025</t>
        </is>
      </c>
      <c r="B4728" s="1" t="n">
        <v>45833.65652777778</v>
      </c>
      <c r="C4728" s="1" t="n">
        <v>45895</v>
      </c>
      <c r="D4728" t="inlineStr">
        <is>
          <t>NORRBOTTENS LÄN</t>
        </is>
      </c>
      <c r="E4728" t="inlineStr">
        <is>
          <t>ÄLVSBYN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31565-2025</t>
        </is>
      </c>
      <c r="B4729" s="1" t="n">
        <v>45833.65660879629</v>
      </c>
      <c r="C4729" s="1" t="n">
        <v>45895</v>
      </c>
      <c r="D4729" t="inlineStr">
        <is>
          <t>NORRBOTTENS LÄN</t>
        </is>
      </c>
      <c r="E4729" t="inlineStr">
        <is>
          <t>ÄLVSBYN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31647-2025</t>
        </is>
      </c>
      <c r="B4730" s="1" t="n">
        <v>45834.34582175926</v>
      </c>
      <c r="C4730" s="1" t="n">
        <v>45895</v>
      </c>
      <c r="D4730" t="inlineStr">
        <is>
          <t>NORRBOTTENS LÄN</t>
        </is>
      </c>
      <c r="E4730" t="inlineStr">
        <is>
          <t>GÄLLIVARE</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19365-2021</t>
        </is>
      </c>
      <c r="B4731" s="1" t="n">
        <v>44307</v>
      </c>
      <c r="C4731" s="1" t="n">
        <v>45895</v>
      </c>
      <c r="D4731" t="inlineStr">
        <is>
          <t>NORRBOTTENS LÄN</t>
        </is>
      </c>
      <c r="E4731" t="inlineStr">
        <is>
          <t>HAPARANDA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31531-2025</t>
        </is>
      </c>
      <c r="B4732" s="1" t="n">
        <v>45833.61671296296</v>
      </c>
      <c r="C4732" s="1" t="n">
        <v>45895</v>
      </c>
      <c r="D4732" t="inlineStr">
        <is>
          <t>NORRBOTTENS LÄN</t>
        </is>
      </c>
      <c r="E4732" t="inlineStr">
        <is>
          <t>BODEN</t>
        </is>
      </c>
      <c r="F4732" t="inlineStr">
        <is>
          <t>Övriga Aktiebolag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31568-2025</t>
        </is>
      </c>
      <c r="B4733" s="1" t="n">
        <v>45833.66078703704</v>
      </c>
      <c r="C4733" s="1" t="n">
        <v>45895</v>
      </c>
      <c r="D4733" t="inlineStr">
        <is>
          <t>NORRBOTTENS LÄN</t>
        </is>
      </c>
      <c r="E4733" t="inlineStr">
        <is>
          <t>PITEÅ</t>
        </is>
      </c>
      <c r="G4733" t="n">
        <v>30.5</v>
      </c>
      <c r="H4733" t="n">
        <v>0</v>
      </c>
      <c r="I4733" t="n">
        <v>0</v>
      </c>
      <c r="J4733" t="n">
        <v>0</v>
      </c>
      <c r="K4733" t="n">
        <v>0</v>
      </c>
      <c r="L4733" t="n">
        <v>0</v>
      </c>
      <c r="M4733" t="n">
        <v>0</v>
      </c>
      <c r="N4733" t="n">
        <v>0</v>
      </c>
      <c r="O4733" t="n">
        <v>0</v>
      </c>
      <c r="P4733" t="n">
        <v>0</v>
      </c>
      <c r="Q4733" t="n">
        <v>0</v>
      </c>
      <c r="R4733" s="2" t="inlineStr"/>
    </row>
    <row r="4734" ht="15" customHeight="1">
      <c r="A4734" t="inlineStr">
        <is>
          <t>A 30041-2024</t>
        </is>
      </c>
      <c r="B4734" s="1" t="n">
        <v>45488</v>
      </c>
      <c r="C4734" s="1" t="n">
        <v>45895</v>
      </c>
      <c r="D4734" t="inlineStr">
        <is>
          <t>NORRBOTTENS LÄN</t>
        </is>
      </c>
      <c r="E4734" t="inlineStr">
        <is>
          <t>JOKKMOKK</t>
        </is>
      </c>
      <c r="G4734" t="n">
        <v>19.9</v>
      </c>
      <c r="H4734" t="n">
        <v>0</v>
      </c>
      <c r="I4734" t="n">
        <v>0</v>
      </c>
      <c r="J4734" t="n">
        <v>0</v>
      </c>
      <c r="K4734" t="n">
        <v>0</v>
      </c>
      <c r="L4734" t="n">
        <v>0</v>
      </c>
      <c r="M4734" t="n">
        <v>0</v>
      </c>
      <c r="N4734" t="n">
        <v>0</v>
      </c>
      <c r="O4734" t="n">
        <v>0</v>
      </c>
      <c r="P4734" t="n">
        <v>0</v>
      </c>
      <c r="Q4734" t="n">
        <v>0</v>
      </c>
      <c r="R4734" s="2" t="inlineStr"/>
    </row>
    <row r="4735" ht="15" customHeight="1">
      <c r="A4735" t="inlineStr">
        <is>
          <t>A 40299-2021</t>
        </is>
      </c>
      <c r="B4735" s="1" t="n">
        <v>44419.46515046297</v>
      </c>
      <c r="C4735" s="1" t="n">
        <v>45895</v>
      </c>
      <c r="D4735" t="inlineStr">
        <is>
          <t>NORRBOTTENS LÄN</t>
        </is>
      </c>
      <c r="E4735" t="inlineStr">
        <is>
          <t>PAJALA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11469-2025</t>
        </is>
      </c>
      <c r="B4736" s="1" t="n">
        <v>45726.66239583334</v>
      </c>
      <c r="C4736" s="1" t="n">
        <v>45895</v>
      </c>
      <c r="D4736" t="inlineStr">
        <is>
          <t>NORRBOTTENS LÄN</t>
        </is>
      </c>
      <c r="E4736" t="inlineStr">
        <is>
          <t>PITEÅ</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11538-2025</t>
        </is>
      </c>
      <c r="B4737" s="1" t="n">
        <v>45726</v>
      </c>
      <c r="C4737" s="1" t="n">
        <v>45895</v>
      </c>
      <c r="D4737" t="inlineStr">
        <is>
          <t>NORRBOTTENS LÄN</t>
        </is>
      </c>
      <c r="E4737" t="inlineStr">
        <is>
          <t>ARVIDSJAUR</t>
        </is>
      </c>
      <c r="F4737" t="inlineStr">
        <is>
          <t>Allmännings- och besparingsskogar</t>
        </is>
      </c>
      <c r="G4737" t="n">
        <v>15.3</v>
      </c>
      <c r="H4737" t="n">
        <v>0</v>
      </c>
      <c r="I4737" t="n">
        <v>0</v>
      </c>
      <c r="J4737" t="n">
        <v>0</v>
      </c>
      <c r="K4737" t="n">
        <v>0</v>
      </c>
      <c r="L4737" t="n">
        <v>0</v>
      </c>
      <c r="M4737" t="n">
        <v>0</v>
      </c>
      <c r="N4737" t="n">
        <v>0</v>
      </c>
      <c r="O4737" t="n">
        <v>0</v>
      </c>
      <c r="P4737" t="n">
        <v>0</v>
      </c>
      <c r="Q4737" t="n">
        <v>0</v>
      </c>
      <c r="R4737" s="2" t="inlineStr"/>
    </row>
    <row r="4738" ht="15" customHeight="1">
      <c r="A4738" t="inlineStr">
        <is>
          <t>A 36321-2025</t>
        </is>
      </c>
      <c r="B4738" s="1" t="n">
        <v>45868</v>
      </c>
      <c r="C4738" s="1" t="n">
        <v>45895</v>
      </c>
      <c r="D4738" t="inlineStr">
        <is>
          <t>NORRBOTTENS LÄN</t>
        </is>
      </c>
      <c r="E4738" t="inlineStr">
        <is>
          <t>GÄLLIVARE</t>
        </is>
      </c>
      <c r="F4738" t="inlineStr">
        <is>
          <t>Sveaskog</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4918-2025</t>
        </is>
      </c>
      <c r="B4739" s="1" t="n">
        <v>45688.68222222223</v>
      </c>
      <c r="C4739" s="1" t="n">
        <v>45895</v>
      </c>
      <c r="D4739" t="inlineStr">
        <is>
          <t>NORRBOTTENS LÄN</t>
        </is>
      </c>
      <c r="E4739" t="inlineStr">
        <is>
          <t>GÄLLIVARE</t>
        </is>
      </c>
      <c r="F4739" t="inlineStr">
        <is>
          <t>SCA</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12782-2023</t>
        </is>
      </c>
      <c r="B4740" s="1" t="n">
        <v>45000</v>
      </c>
      <c r="C4740" s="1" t="n">
        <v>45895</v>
      </c>
      <c r="D4740" t="inlineStr">
        <is>
          <t>NORRBOTTENS LÄN</t>
        </is>
      </c>
      <c r="E4740" t="inlineStr">
        <is>
          <t>LULEÅ</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50304-2021</t>
        </is>
      </c>
      <c r="B4741" s="1" t="n">
        <v>44455</v>
      </c>
      <c r="C4741" s="1" t="n">
        <v>45895</v>
      </c>
      <c r="D4741" t="inlineStr">
        <is>
          <t>NORRBOTTENS LÄN</t>
        </is>
      </c>
      <c r="E4741" t="inlineStr">
        <is>
          <t>PAJALA</t>
        </is>
      </c>
      <c r="G4741" t="n">
        <v>21.7</v>
      </c>
      <c r="H4741" t="n">
        <v>0</v>
      </c>
      <c r="I4741" t="n">
        <v>0</v>
      </c>
      <c r="J4741" t="n">
        <v>0</v>
      </c>
      <c r="K4741" t="n">
        <v>0</v>
      </c>
      <c r="L4741" t="n">
        <v>0</v>
      </c>
      <c r="M4741" t="n">
        <v>0</v>
      </c>
      <c r="N4741" t="n">
        <v>0</v>
      </c>
      <c r="O4741" t="n">
        <v>0</v>
      </c>
      <c r="P4741" t="n">
        <v>0</v>
      </c>
      <c r="Q4741" t="n">
        <v>0</v>
      </c>
      <c r="R4741" s="2" t="inlineStr"/>
    </row>
    <row r="4742" ht="15" customHeight="1">
      <c r="A4742" t="inlineStr">
        <is>
          <t>A 42798-2023</t>
        </is>
      </c>
      <c r="B4742" s="1" t="n">
        <v>45182</v>
      </c>
      <c r="C4742" s="1" t="n">
        <v>45895</v>
      </c>
      <c r="D4742" t="inlineStr">
        <is>
          <t>NORRBOTTENS LÄN</t>
        </is>
      </c>
      <c r="E4742" t="inlineStr">
        <is>
          <t>ARVIDSJAUR</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35944-2025</t>
        </is>
      </c>
      <c r="B4743" s="1" t="n">
        <v>45862</v>
      </c>
      <c r="C4743" s="1" t="n">
        <v>45895</v>
      </c>
      <c r="D4743" t="inlineStr">
        <is>
          <t>NORRBOTTENS LÄN</t>
        </is>
      </c>
      <c r="E4743" t="inlineStr">
        <is>
          <t>PAJALA</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35945-2025</t>
        </is>
      </c>
      <c r="B4744" s="1" t="n">
        <v>45862</v>
      </c>
      <c r="C4744" s="1" t="n">
        <v>45895</v>
      </c>
      <c r="D4744" t="inlineStr">
        <is>
          <t>NORRBOTTENS LÄN</t>
        </is>
      </c>
      <c r="E4744" t="inlineStr">
        <is>
          <t>PAJALA</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54871-2020</t>
        </is>
      </c>
      <c r="B4745" s="1" t="n">
        <v>44126</v>
      </c>
      <c r="C4745" s="1" t="n">
        <v>45895</v>
      </c>
      <c r="D4745" t="inlineStr">
        <is>
          <t>NORRBOTTENS LÄN</t>
        </is>
      </c>
      <c r="E4745" t="inlineStr">
        <is>
          <t>HAPARANDA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26727-2024</t>
        </is>
      </c>
      <c r="B4746" s="1" t="n">
        <v>45470</v>
      </c>
      <c r="C4746" s="1" t="n">
        <v>45895</v>
      </c>
      <c r="D4746" t="inlineStr">
        <is>
          <t>NORRBOTTENS LÄN</t>
        </is>
      </c>
      <c r="E4746" t="inlineStr">
        <is>
          <t>ÄLVSBYN</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31541-2025</t>
        </is>
      </c>
      <c r="B4747" s="1" t="n">
        <v>45833</v>
      </c>
      <c r="C4747" s="1" t="n">
        <v>45895</v>
      </c>
      <c r="D4747" t="inlineStr">
        <is>
          <t>NORRBOTTENS LÄN</t>
        </is>
      </c>
      <c r="E4747" t="inlineStr">
        <is>
          <t>GÄLLIVARE</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32957-2024</t>
        </is>
      </c>
      <c r="B4748" s="1" t="n">
        <v>45517.3762037037</v>
      </c>
      <c r="C4748" s="1" t="n">
        <v>45895</v>
      </c>
      <c r="D4748" t="inlineStr">
        <is>
          <t>NORRBOTTENS LÄN</t>
        </is>
      </c>
      <c r="E4748" t="inlineStr">
        <is>
          <t>JOKKMOKK</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36332-2025</t>
        </is>
      </c>
      <c r="B4749" s="1" t="n">
        <v>45868</v>
      </c>
      <c r="C4749" s="1" t="n">
        <v>45895</v>
      </c>
      <c r="D4749" t="inlineStr">
        <is>
          <t>NORRBOTTENS LÄN</t>
        </is>
      </c>
      <c r="E4749" t="inlineStr">
        <is>
          <t>GÄLLIVARE</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28745-2023</t>
        </is>
      </c>
      <c r="B4750" s="1" t="n">
        <v>45103.92518518519</v>
      </c>
      <c r="C4750" s="1" t="n">
        <v>45895</v>
      </c>
      <c r="D4750" t="inlineStr">
        <is>
          <t>NORRBOTTENS LÄN</t>
        </is>
      </c>
      <c r="E4750" t="inlineStr">
        <is>
          <t>BODEN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50667-2020</t>
        </is>
      </c>
      <c r="B4751" s="1" t="n">
        <v>44111</v>
      </c>
      <c r="C4751" s="1" t="n">
        <v>45895</v>
      </c>
      <c r="D4751" t="inlineStr">
        <is>
          <t>NORRBOTTENS LÄN</t>
        </is>
      </c>
      <c r="E4751" t="inlineStr">
        <is>
          <t>ARVIDSJAUR</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31902-2021</t>
        </is>
      </c>
      <c r="B4752" s="1" t="n">
        <v>44370</v>
      </c>
      <c r="C4752" s="1" t="n">
        <v>45895</v>
      </c>
      <c r="D4752" t="inlineStr">
        <is>
          <t>NORRBOTTENS LÄN</t>
        </is>
      </c>
      <c r="E4752" t="inlineStr">
        <is>
          <t>JOKKMOKK</t>
        </is>
      </c>
      <c r="G4752" t="n">
        <v>20</v>
      </c>
      <c r="H4752" t="n">
        <v>0</v>
      </c>
      <c r="I4752" t="n">
        <v>0</v>
      </c>
      <c r="J4752" t="n">
        <v>0</v>
      </c>
      <c r="K4752" t="n">
        <v>0</v>
      </c>
      <c r="L4752" t="n">
        <v>0</v>
      </c>
      <c r="M4752" t="n">
        <v>0</v>
      </c>
      <c r="N4752" t="n">
        <v>0</v>
      </c>
      <c r="O4752" t="n">
        <v>0</v>
      </c>
      <c r="P4752" t="n">
        <v>0</v>
      </c>
      <c r="Q4752" t="n">
        <v>0</v>
      </c>
      <c r="R4752" s="2" t="inlineStr"/>
    </row>
    <row r="4753" ht="15" customHeight="1">
      <c r="A4753" t="inlineStr">
        <is>
          <t>A 31639-2025</t>
        </is>
      </c>
      <c r="B4753" s="1" t="n">
        <v>45834.34429398148</v>
      </c>
      <c r="C4753" s="1" t="n">
        <v>45895</v>
      </c>
      <c r="D4753" t="inlineStr">
        <is>
          <t>NORRBOTTENS LÄN</t>
        </is>
      </c>
      <c r="E4753" t="inlineStr">
        <is>
          <t>GÄLLIVARE</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31744-2025</t>
        </is>
      </c>
      <c r="B4754" s="1" t="n">
        <v>45834</v>
      </c>
      <c r="C4754" s="1" t="n">
        <v>45895</v>
      </c>
      <c r="D4754" t="inlineStr">
        <is>
          <t>NORRBOTTENS LÄN</t>
        </is>
      </c>
      <c r="E4754" t="inlineStr">
        <is>
          <t>ÖVERKALIX</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31760-2025</t>
        </is>
      </c>
      <c r="B4755" s="1" t="n">
        <v>45834</v>
      </c>
      <c r="C4755" s="1" t="n">
        <v>45895</v>
      </c>
      <c r="D4755" t="inlineStr">
        <is>
          <t>NORRBOTTENS LÄN</t>
        </is>
      </c>
      <c r="E4755" t="inlineStr">
        <is>
          <t>BODEN</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31643-2025</t>
        </is>
      </c>
      <c r="B4756" s="1" t="n">
        <v>45834.34496527778</v>
      </c>
      <c r="C4756" s="1" t="n">
        <v>45895</v>
      </c>
      <c r="D4756" t="inlineStr">
        <is>
          <t>NORRBOTTENS LÄN</t>
        </is>
      </c>
      <c r="E4756" t="inlineStr">
        <is>
          <t>GÄLLIVARE</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31644-2025</t>
        </is>
      </c>
      <c r="B4757" s="1" t="n">
        <v>45834.34519675926</v>
      </c>
      <c r="C4757" s="1" t="n">
        <v>45895</v>
      </c>
      <c r="D4757" t="inlineStr">
        <is>
          <t>NORRBOTTENS LÄN</t>
        </is>
      </c>
      <c r="E4757" t="inlineStr">
        <is>
          <t>GÄLLIVARE</t>
        </is>
      </c>
      <c r="F4757" t="inlineStr">
        <is>
          <t>SCA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31648-2025</t>
        </is>
      </c>
      <c r="B4758" s="1" t="n">
        <v>45834</v>
      </c>
      <c r="C4758" s="1" t="n">
        <v>45895</v>
      </c>
      <c r="D4758" t="inlineStr">
        <is>
          <t>NORRBOTTENS LÄN</t>
        </is>
      </c>
      <c r="E4758" t="inlineStr">
        <is>
          <t>GÄLLIVARE</t>
        </is>
      </c>
      <c r="F4758" t="inlineStr">
        <is>
          <t>SCA</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31650-2025</t>
        </is>
      </c>
      <c r="B4759" s="1" t="n">
        <v>45834.3466087963</v>
      </c>
      <c r="C4759" s="1" t="n">
        <v>45895</v>
      </c>
      <c r="D4759" t="inlineStr">
        <is>
          <t>NORRBOTTENS LÄN</t>
        </is>
      </c>
      <c r="E4759" t="inlineStr">
        <is>
          <t>GÄLLIVARE</t>
        </is>
      </c>
      <c r="F4759" t="inlineStr">
        <is>
          <t>SCA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41872-2021</t>
        </is>
      </c>
      <c r="B4760" s="1" t="n">
        <v>44426</v>
      </c>
      <c r="C4760" s="1" t="n">
        <v>45895</v>
      </c>
      <c r="D4760" t="inlineStr">
        <is>
          <t>NORRBOTTENS LÄN</t>
        </is>
      </c>
      <c r="E4760" t="inlineStr">
        <is>
          <t>ARVIDSJAUR</t>
        </is>
      </c>
      <c r="F4760" t="inlineStr">
        <is>
          <t>Sveaskog</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31653-2025</t>
        </is>
      </c>
      <c r="B4761" s="1" t="n">
        <v>45834.34711805556</v>
      </c>
      <c r="C4761" s="1" t="n">
        <v>45895</v>
      </c>
      <c r="D4761" t="inlineStr">
        <is>
          <t>NORRBOTTENS LÄN</t>
        </is>
      </c>
      <c r="E4761" t="inlineStr">
        <is>
          <t>GÄLLIVARE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5822-2025</t>
        </is>
      </c>
      <c r="B4762" s="1" t="n">
        <v>45694</v>
      </c>
      <c r="C4762" s="1" t="n">
        <v>45895</v>
      </c>
      <c r="D4762" t="inlineStr">
        <is>
          <t>NORRBOTTENS LÄN</t>
        </is>
      </c>
      <c r="E4762" t="inlineStr">
        <is>
          <t>LULEÅ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31430-2025</t>
        </is>
      </c>
      <c r="B4763" s="1" t="n">
        <v>45833.49342592592</v>
      </c>
      <c r="C4763" s="1" t="n">
        <v>45895</v>
      </c>
      <c r="D4763" t="inlineStr">
        <is>
          <t>NORRBOTTENS LÄN</t>
        </is>
      </c>
      <c r="E4763" t="inlineStr">
        <is>
          <t>GÄLLIVARE</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36758-2025</t>
        </is>
      </c>
      <c r="B4764" s="1" t="n">
        <v>45873</v>
      </c>
      <c r="C4764" s="1" t="n">
        <v>45895</v>
      </c>
      <c r="D4764" t="inlineStr">
        <is>
          <t>NORRBOTTENS LÄN</t>
        </is>
      </c>
      <c r="E4764" t="inlineStr">
        <is>
          <t>ÄLVSBYN</t>
        </is>
      </c>
      <c r="F4764" t="inlineStr">
        <is>
          <t>Sveaskog</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42407-2022</t>
        </is>
      </c>
      <c r="B4765" s="1" t="n">
        <v>44830</v>
      </c>
      <c r="C4765" s="1" t="n">
        <v>45895</v>
      </c>
      <c r="D4765" t="inlineStr">
        <is>
          <t>NORRBOTTENS LÄN</t>
        </is>
      </c>
      <c r="E4765" t="inlineStr">
        <is>
          <t>ÖVERKALIX</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43971-2024</t>
        </is>
      </c>
      <c r="B4766" s="1" t="n">
        <v>45572.49049768518</v>
      </c>
      <c r="C4766" s="1" t="n">
        <v>45895</v>
      </c>
      <c r="D4766" t="inlineStr">
        <is>
          <t>NORRBOTTENS LÄN</t>
        </is>
      </c>
      <c r="E4766" t="inlineStr">
        <is>
          <t>PITEÅ</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44005-2024</t>
        </is>
      </c>
      <c r="B4767" s="1" t="n">
        <v>45572.54814814815</v>
      </c>
      <c r="C4767" s="1" t="n">
        <v>45895</v>
      </c>
      <c r="D4767" t="inlineStr">
        <is>
          <t>NORRBOTTENS LÄN</t>
        </is>
      </c>
      <c r="E4767" t="inlineStr">
        <is>
          <t>LULEÅ</t>
        </is>
      </c>
      <c r="G4767" t="n">
        <v>14.8</v>
      </c>
      <c r="H4767" t="n">
        <v>0</v>
      </c>
      <c r="I4767" t="n">
        <v>0</v>
      </c>
      <c r="J4767" t="n">
        <v>0</v>
      </c>
      <c r="K4767" t="n">
        <v>0</v>
      </c>
      <c r="L4767" t="n">
        <v>0</v>
      </c>
      <c r="M4767" t="n">
        <v>0</v>
      </c>
      <c r="N4767" t="n">
        <v>0</v>
      </c>
      <c r="O4767" t="n">
        <v>0</v>
      </c>
      <c r="P4767" t="n">
        <v>0</v>
      </c>
      <c r="Q4767" t="n">
        <v>0</v>
      </c>
      <c r="R4767" s="2" t="inlineStr"/>
    </row>
    <row r="4768" ht="15" customHeight="1">
      <c r="A4768" t="inlineStr">
        <is>
          <t>A 45333-2024</t>
        </is>
      </c>
      <c r="B4768" s="1" t="n">
        <v>45576</v>
      </c>
      <c r="C4768" s="1" t="n">
        <v>45895</v>
      </c>
      <c r="D4768" t="inlineStr">
        <is>
          <t>NORRBOTTENS LÄN</t>
        </is>
      </c>
      <c r="E4768" t="inlineStr">
        <is>
          <t>JOKKMOKK</t>
        </is>
      </c>
      <c r="F4768" t="inlineStr">
        <is>
          <t>Sveaskog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31436-2025</t>
        </is>
      </c>
      <c r="B4769" s="1" t="n">
        <v>45833.49737268518</v>
      </c>
      <c r="C4769" s="1" t="n">
        <v>45895</v>
      </c>
      <c r="D4769" t="inlineStr">
        <is>
          <t>NORRBOTTENS LÄN</t>
        </is>
      </c>
      <c r="E4769" t="inlineStr">
        <is>
          <t>GÄLLIVARE</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31773-2025</t>
        </is>
      </c>
      <c r="B4770" s="1" t="n">
        <v>45834.51092592593</v>
      </c>
      <c r="C4770" s="1" t="n">
        <v>45895</v>
      </c>
      <c r="D4770" t="inlineStr">
        <is>
          <t>NORRBOTTENS LÄN</t>
        </is>
      </c>
      <c r="E4770" t="inlineStr">
        <is>
          <t>ÖVERTORNEÅ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31546-2025</t>
        </is>
      </c>
      <c r="B4771" s="1" t="n">
        <v>45833.63626157407</v>
      </c>
      <c r="C4771" s="1" t="n">
        <v>45895</v>
      </c>
      <c r="D4771" t="inlineStr">
        <is>
          <t>NORRBOTTENS LÄN</t>
        </is>
      </c>
      <c r="E4771" t="inlineStr">
        <is>
          <t>ÄLVSBYN</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31553-2025</t>
        </is>
      </c>
      <c r="B4772" s="1" t="n">
        <v>45833</v>
      </c>
      <c r="C4772" s="1" t="n">
        <v>45895</v>
      </c>
      <c r="D4772" t="inlineStr">
        <is>
          <t>NORRBOTTENS LÄN</t>
        </is>
      </c>
      <c r="E4772" t="inlineStr">
        <is>
          <t>GÄLLIVARE</t>
        </is>
      </c>
      <c r="F4772" t="inlineStr">
        <is>
          <t>Allmännings- och besparingsskogar</t>
        </is>
      </c>
      <c r="G4772" t="n">
        <v>40.8</v>
      </c>
      <c r="H4772" t="n">
        <v>0</v>
      </c>
      <c r="I4772" t="n">
        <v>0</v>
      </c>
      <c r="J4772" t="n">
        <v>0</v>
      </c>
      <c r="K4772" t="n">
        <v>0</v>
      </c>
      <c r="L4772" t="n">
        <v>0</v>
      </c>
      <c r="M4772" t="n">
        <v>0</v>
      </c>
      <c r="N4772" t="n">
        <v>0</v>
      </c>
      <c r="O4772" t="n">
        <v>0</v>
      </c>
      <c r="P4772" t="n">
        <v>0</v>
      </c>
      <c r="Q4772" t="n">
        <v>0</v>
      </c>
      <c r="R4772" s="2" t="inlineStr"/>
    </row>
    <row r="4773" ht="15" customHeight="1">
      <c r="A4773" t="inlineStr">
        <is>
          <t>A 31633-2025</t>
        </is>
      </c>
      <c r="B4773" s="1" t="n">
        <v>45834</v>
      </c>
      <c r="C4773" s="1" t="n">
        <v>45895</v>
      </c>
      <c r="D4773" t="inlineStr">
        <is>
          <t>NORRBOTTENS LÄN</t>
        </is>
      </c>
      <c r="E4773" t="inlineStr">
        <is>
          <t>PITEÅ</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32634-2025</t>
        </is>
      </c>
      <c r="B4774" s="1" t="n">
        <v>45838.65694444445</v>
      </c>
      <c r="C4774" s="1" t="n">
        <v>45895</v>
      </c>
      <c r="D4774" t="inlineStr">
        <is>
          <t>NORRBOTTENS LÄN</t>
        </is>
      </c>
      <c r="E4774" t="inlineStr">
        <is>
          <t>ÖVERKALIX</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32636-2025</t>
        </is>
      </c>
      <c r="B4775" s="1" t="n">
        <v>45838.65704861111</v>
      </c>
      <c r="C4775" s="1" t="n">
        <v>45895</v>
      </c>
      <c r="D4775" t="inlineStr">
        <is>
          <t>NORRBOTTENS LÄN</t>
        </is>
      </c>
      <c r="E4775" t="inlineStr">
        <is>
          <t>ÖVERKALIX</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32033-2025</t>
        </is>
      </c>
      <c r="B4776" s="1" t="n">
        <v>45835.42211805555</v>
      </c>
      <c r="C4776" s="1" t="n">
        <v>45895</v>
      </c>
      <c r="D4776" t="inlineStr">
        <is>
          <t>NORRBOTTENS LÄN</t>
        </is>
      </c>
      <c r="E4776" t="inlineStr">
        <is>
          <t>HAPARANDA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32039-2025</t>
        </is>
      </c>
      <c r="B4777" s="1" t="n">
        <v>45835.42732638889</v>
      </c>
      <c r="C4777" s="1" t="n">
        <v>45895</v>
      </c>
      <c r="D4777" t="inlineStr">
        <is>
          <t>NORRBOTTENS LÄN</t>
        </is>
      </c>
      <c r="E4777" t="inlineStr">
        <is>
          <t>HAPARANDA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32067-2025</t>
        </is>
      </c>
      <c r="B4778" s="1" t="n">
        <v>45835.44841435185</v>
      </c>
      <c r="C4778" s="1" t="n">
        <v>45895</v>
      </c>
      <c r="D4778" t="inlineStr">
        <is>
          <t>NORRBOTTENS LÄN</t>
        </is>
      </c>
      <c r="E4778" t="inlineStr">
        <is>
          <t>ÖVERKALIX</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37361-2025</t>
        </is>
      </c>
      <c r="B4779" s="1" t="n">
        <v>45877</v>
      </c>
      <c r="C4779" s="1" t="n">
        <v>45895</v>
      </c>
      <c r="D4779" t="inlineStr">
        <is>
          <t>NORRBOTTENS LÄN</t>
        </is>
      </c>
      <c r="E4779" t="inlineStr">
        <is>
          <t>ÖVERTORNEÅ</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32154-2025</t>
        </is>
      </c>
      <c r="B4780" s="1" t="n">
        <v>45835.53480324074</v>
      </c>
      <c r="C4780" s="1" t="n">
        <v>45895</v>
      </c>
      <c r="D4780" t="inlineStr">
        <is>
          <t>NORRBOTTENS LÄN</t>
        </is>
      </c>
      <c r="E4780" t="inlineStr">
        <is>
          <t>LULEÅ</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32173-2025</t>
        </is>
      </c>
      <c r="B4781" s="1" t="n">
        <v>45835.55337962963</v>
      </c>
      <c r="C4781" s="1" t="n">
        <v>45895</v>
      </c>
      <c r="D4781" t="inlineStr">
        <is>
          <t>NORRBOTTENS LÄN</t>
        </is>
      </c>
      <c r="E4781" t="inlineStr">
        <is>
          <t>ÖVERKALIX</t>
        </is>
      </c>
      <c r="F4781" t="inlineStr">
        <is>
          <t>Sveaskog</t>
        </is>
      </c>
      <c r="G4781" t="n">
        <v>16.3</v>
      </c>
      <c r="H4781" t="n">
        <v>0</v>
      </c>
      <c r="I4781" t="n">
        <v>0</v>
      </c>
      <c r="J4781" t="n">
        <v>0</v>
      </c>
      <c r="K4781" t="n">
        <v>0</v>
      </c>
      <c r="L4781" t="n">
        <v>0</v>
      </c>
      <c r="M4781" t="n">
        <v>0</v>
      </c>
      <c r="N4781" t="n">
        <v>0</v>
      </c>
      <c r="O4781" t="n">
        <v>0</v>
      </c>
      <c r="P4781" t="n">
        <v>0</v>
      </c>
      <c r="Q4781" t="n">
        <v>0</v>
      </c>
      <c r="R4781" s="2" t="inlineStr"/>
    </row>
    <row r="4782" ht="15" customHeight="1">
      <c r="A4782" t="inlineStr">
        <is>
          <t>A 36346-2025</t>
        </is>
      </c>
      <c r="B4782" s="1" t="n">
        <v>45868.47645833333</v>
      </c>
      <c r="C4782" s="1" t="n">
        <v>45895</v>
      </c>
      <c r="D4782" t="inlineStr">
        <is>
          <t>NORRBOTTENS LÄN</t>
        </is>
      </c>
      <c r="E4782" t="inlineStr">
        <is>
          <t>GÄLLIVARE</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37747-2025</t>
        </is>
      </c>
      <c r="B4783" s="1" t="n">
        <v>45880.66762731481</v>
      </c>
      <c r="C4783" s="1" t="n">
        <v>45895</v>
      </c>
      <c r="D4783" t="inlineStr">
        <is>
          <t>NORRBOTTENS LÄN</t>
        </is>
      </c>
      <c r="E4783" t="inlineStr">
        <is>
          <t>PAJALA</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55755-2024</t>
        </is>
      </c>
      <c r="B4784" s="1" t="n">
        <v>45623</v>
      </c>
      <c r="C4784" s="1" t="n">
        <v>45895</v>
      </c>
      <c r="D4784" t="inlineStr">
        <is>
          <t>NORRBOTTENS LÄN</t>
        </is>
      </c>
      <c r="E4784" t="inlineStr">
        <is>
          <t>GÄLLIVARE</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31918-2025</t>
        </is>
      </c>
      <c r="B4785" s="1" t="n">
        <v>45834</v>
      </c>
      <c r="C4785" s="1" t="n">
        <v>45895</v>
      </c>
      <c r="D4785" t="inlineStr">
        <is>
          <t>NORRBOTTENS LÄN</t>
        </is>
      </c>
      <c r="E4785" t="inlineStr">
        <is>
          <t>JOKKMOKK</t>
        </is>
      </c>
      <c r="G4785" t="n">
        <v>15.2</v>
      </c>
      <c r="H4785" t="n">
        <v>0</v>
      </c>
      <c r="I4785" t="n">
        <v>0</v>
      </c>
      <c r="J4785" t="n">
        <v>0</v>
      </c>
      <c r="K4785" t="n">
        <v>0</v>
      </c>
      <c r="L4785" t="n">
        <v>0</v>
      </c>
      <c r="M4785" t="n">
        <v>0</v>
      </c>
      <c r="N4785" t="n">
        <v>0</v>
      </c>
      <c r="O4785" t="n">
        <v>0</v>
      </c>
      <c r="P4785" t="n">
        <v>0</v>
      </c>
      <c r="Q4785" t="n">
        <v>0</v>
      </c>
      <c r="R4785" s="2" t="inlineStr"/>
    </row>
    <row r="4786" ht="15" customHeight="1">
      <c r="A4786" t="inlineStr">
        <is>
          <t>A 36344-2025</t>
        </is>
      </c>
      <c r="B4786" s="1" t="n">
        <v>45868.47358796297</v>
      </c>
      <c r="C4786" s="1" t="n">
        <v>45895</v>
      </c>
      <c r="D4786" t="inlineStr">
        <is>
          <t>NORRBOTTENS LÄN</t>
        </is>
      </c>
      <c r="E4786" t="inlineStr">
        <is>
          <t>GÄLLIVARE</t>
        </is>
      </c>
      <c r="F4786" t="inlineStr">
        <is>
          <t>Sveaskog</t>
        </is>
      </c>
      <c r="G4786" t="n">
        <v>21.2</v>
      </c>
      <c r="H4786" t="n">
        <v>0</v>
      </c>
      <c r="I4786" t="n">
        <v>0</v>
      </c>
      <c r="J4786" t="n">
        <v>0</v>
      </c>
      <c r="K4786" t="n">
        <v>0</v>
      </c>
      <c r="L4786" t="n">
        <v>0</v>
      </c>
      <c r="M4786" t="n">
        <v>0</v>
      </c>
      <c r="N4786" t="n">
        <v>0</v>
      </c>
      <c r="O4786" t="n">
        <v>0</v>
      </c>
      <c r="P4786" t="n">
        <v>0</v>
      </c>
      <c r="Q4786" t="n">
        <v>0</v>
      </c>
      <c r="R4786" s="2" t="inlineStr"/>
    </row>
    <row r="4787" ht="15" customHeight="1">
      <c r="A4787" t="inlineStr">
        <is>
          <t>A 36348-2025</t>
        </is>
      </c>
      <c r="B4787" s="1" t="n">
        <v>45868.4797337963</v>
      </c>
      <c r="C4787" s="1" t="n">
        <v>45895</v>
      </c>
      <c r="D4787" t="inlineStr">
        <is>
          <t>NORRBOTTENS LÄN</t>
        </is>
      </c>
      <c r="E4787" t="inlineStr">
        <is>
          <t>GÄLLIVARE</t>
        </is>
      </c>
      <c r="F4787" t="inlineStr">
        <is>
          <t>Sveaskog</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36620-2025</t>
        </is>
      </c>
      <c r="B4788" s="1" t="n">
        <v>45870</v>
      </c>
      <c r="C4788" s="1" t="n">
        <v>45895</v>
      </c>
      <c r="D4788" t="inlineStr">
        <is>
          <t>NORRBOTTENS LÄN</t>
        </is>
      </c>
      <c r="E4788" t="inlineStr">
        <is>
          <t>ÖVERKALIX</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36715-2025</t>
        </is>
      </c>
      <c r="B4789" s="1" t="n">
        <v>45873</v>
      </c>
      <c r="C4789" s="1" t="n">
        <v>45895</v>
      </c>
      <c r="D4789" t="inlineStr">
        <is>
          <t>NORRBOTTENS LÄN</t>
        </is>
      </c>
      <c r="E4789" t="inlineStr">
        <is>
          <t>ÖVERKALIX</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19563-2024</t>
        </is>
      </c>
      <c r="B4790" s="1" t="n">
        <v>45429.92297453704</v>
      </c>
      <c r="C4790" s="1" t="n">
        <v>45895</v>
      </c>
      <c r="D4790" t="inlineStr">
        <is>
          <t>NORRBOTTENS LÄN</t>
        </is>
      </c>
      <c r="E4790" t="inlineStr">
        <is>
          <t>BODEN</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33353-2021</t>
        </is>
      </c>
      <c r="B4791" s="1" t="n">
        <v>44377.49069444444</v>
      </c>
      <c r="C4791" s="1" t="n">
        <v>45895</v>
      </c>
      <c r="D4791" t="inlineStr">
        <is>
          <t>NORRBOTTENS LÄN</t>
        </is>
      </c>
      <c r="E4791" t="inlineStr">
        <is>
          <t>BODEN</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32223-2025</t>
        </is>
      </c>
      <c r="B4792" s="1" t="n">
        <v>45835.59313657408</v>
      </c>
      <c r="C4792" s="1" t="n">
        <v>45895</v>
      </c>
      <c r="D4792" t="inlineStr">
        <is>
          <t>NORRBOTTENS LÄN</t>
        </is>
      </c>
      <c r="E4792" t="inlineStr">
        <is>
          <t>LULEÅ</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32144-2025</t>
        </is>
      </c>
      <c r="B4793" s="1" t="n">
        <v>45835.52673611111</v>
      </c>
      <c r="C4793" s="1" t="n">
        <v>45895</v>
      </c>
      <c r="D4793" t="inlineStr">
        <is>
          <t>NORRBOTTENS LÄN</t>
        </is>
      </c>
      <c r="E4793" t="inlineStr">
        <is>
          <t>ÖVERTORNEÅ</t>
        </is>
      </c>
      <c r="F4793" t="inlineStr">
        <is>
          <t>Sveaskog</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32523-2025</t>
        </is>
      </c>
      <c r="B4794" s="1" t="n">
        <v>45838.48664351852</v>
      </c>
      <c r="C4794" s="1" t="n">
        <v>45895</v>
      </c>
      <c r="D4794" t="inlineStr">
        <is>
          <t>NORRBOTTENS LÄN</t>
        </is>
      </c>
      <c r="E4794" t="inlineStr">
        <is>
          <t>PAJALA</t>
        </is>
      </c>
      <c r="F4794" t="inlineStr">
        <is>
          <t>Sveaskog</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32241-2025</t>
        </is>
      </c>
      <c r="B4795" s="1" t="n">
        <v>45835.61546296296</v>
      </c>
      <c r="C4795" s="1" t="n">
        <v>45895</v>
      </c>
      <c r="D4795" t="inlineStr">
        <is>
          <t>NORRBOTTENS LÄN</t>
        </is>
      </c>
      <c r="E4795" t="inlineStr">
        <is>
          <t>KALIX</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32242-2025</t>
        </is>
      </c>
      <c r="B4796" s="1" t="n">
        <v>45835.61557870371</v>
      </c>
      <c r="C4796" s="1" t="n">
        <v>45895</v>
      </c>
      <c r="D4796" t="inlineStr">
        <is>
          <t>NORRBOTTENS LÄN</t>
        </is>
      </c>
      <c r="E4796" t="inlineStr">
        <is>
          <t>KALIX</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32243-2025</t>
        </is>
      </c>
      <c r="B4797" s="1" t="n">
        <v>45835.61560185185</v>
      </c>
      <c r="C4797" s="1" t="n">
        <v>45895</v>
      </c>
      <c r="D4797" t="inlineStr">
        <is>
          <t>NORRBOTTENS LÄN</t>
        </is>
      </c>
      <c r="E4797" t="inlineStr">
        <is>
          <t>KALIX</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50632-2021</t>
        </is>
      </c>
      <c r="B4798" s="1" t="n">
        <v>44459</v>
      </c>
      <c r="C4798" s="1" t="n">
        <v>45895</v>
      </c>
      <c r="D4798" t="inlineStr">
        <is>
          <t>NORRBOTTENS LÄN</t>
        </is>
      </c>
      <c r="E4798" t="inlineStr">
        <is>
          <t>LULEÅ</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6778-2023</t>
        </is>
      </c>
      <c r="B4799" s="1" t="n">
        <v>44966</v>
      </c>
      <c r="C4799" s="1" t="n">
        <v>45895</v>
      </c>
      <c r="D4799" t="inlineStr">
        <is>
          <t>NORRBOTTENS LÄN</t>
        </is>
      </c>
      <c r="E4799" t="inlineStr">
        <is>
          <t>JOKKMOKK</t>
        </is>
      </c>
      <c r="F4799" t="inlineStr">
        <is>
          <t>SCA</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36565-2025</t>
        </is>
      </c>
      <c r="B4800" s="1" t="n">
        <v>45870</v>
      </c>
      <c r="C4800" s="1" t="n">
        <v>45895</v>
      </c>
      <c r="D4800" t="inlineStr">
        <is>
          <t>NORRBOTTENS LÄN</t>
        </is>
      </c>
      <c r="E4800" t="inlineStr">
        <is>
          <t>BODEN</t>
        </is>
      </c>
      <c r="F4800" t="inlineStr">
        <is>
          <t>Sveaskog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36621-2025</t>
        </is>
      </c>
      <c r="B4801" s="1" t="n">
        <v>45870.65696759259</v>
      </c>
      <c r="C4801" s="1" t="n">
        <v>45895</v>
      </c>
      <c r="D4801" t="inlineStr">
        <is>
          <t>NORRBOTTENS LÄN</t>
        </is>
      </c>
      <c r="E4801" t="inlineStr">
        <is>
          <t>ÖVERKALIX</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6781-2023</t>
        </is>
      </c>
      <c r="B4802" s="1" t="n">
        <v>44966</v>
      </c>
      <c r="C4802" s="1" t="n">
        <v>45895</v>
      </c>
      <c r="D4802" t="inlineStr">
        <is>
          <t>NORRBOTTENS LÄN</t>
        </is>
      </c>
      <c r="E4802" t="inlineStr">
        <is>
          <t>GÄLLIVARE</t>
        </is>
      </c>
      <c r="F4802" t="inlineStr">
        <is>
          <t>SCA</t>
        </is>
      </c>
      <c r="G4802" t="n">
        <v>14.1</v>
      </c>
      <c r="H4802" t="n">
        <v>0</v>
      </c>
      <c r="I4802" t="n">
        <v>0</v>
      </c>
      <c r="J4802" t="n">
        <v>0</v>
      </c>
      <c r="K4802" t="n">
        <v>0</v>
      </c>
      <c r="L4802" t="n">
        <v>0</v>
      </c>
      <c r="M4802" t="n">
        <v>0</v>
      </c>
      <c r="N4802" t="n">
        <v>0</v>
      </c>
      <c r="O4802" t="n">
        <v>0</v>
      </c>
      <c r="P4802" t="n">
        <v>0</v>
      </c>
      <c r="Q4802" t="n">
        <v>0</v>
      </c>
      <c r="R4802" s="2" t="inlineStr"/>
    </row>
    <row r="4803" ht="15" customHeight="1">
      <c r="A4803" t="inlineStr">
        <is>
          <t>A 37426-2025</t>
        </is>
      </c>
      <c r="B4803" s="1" t="n">
        <v>45877.49121527778</v>
      </c>
      <c r="C4803" s="1" t="n">
        <v>45895</v>
      </c>
      <c r="D4803" t="inlineStr">
        <is>
          <t>NORRBOTTENS LÄN</t>
        </is>
      </c>
      <c r="E4803" t="inlineStr">
        <is>
          <t>PAJALA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25926-2025</t>
        </is>
      </c>
      <c r="B4804" s="1" t="n">
        <v>45803</v>
      </c>
      <c r="C4804" s="1" t="n">
        <v>45895</v>
      </c>
      <c r="D4804" t="inlineStr">
        <is>
          <t>NORRBOTTENS LÄN</t>
        </is>
      </c>
      <c r="E4804" t="inlineStr">
        <is>
          <t>BODEN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32576-2025</t>
        </is>
      </c>
      <c r="B4805" s="1" t="n">
        <v>45838</v>
      </c>
      <c r="C4805" s="1" t="n">
        <v>45895</v>
      </c>
      <c r="D4805" t="inlineStr">
        <is>
          <t>NORRBOTTENS LÄN</t>
        </is>
      </c>
      <c r="E4805" t="inlineStr">
        <is>
          <t>ÖVERTORNEÅ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29649-2024</t>
        </is>
      </c>
      <c r="B4806" s="1" t="n">
        <v>45484</v>
      </c>
      <c r="C4806" s="1" t="n">
        <v>45895</v>
      </c>
      <c r="D4806" t="inlineStr">
        <is>
          <t>NORRBOTTENS LÄN</t>
        </is>
      </c>
      <c r="E4806" t="inlineStr">
        <is>
          <t>ARJEPLOG</t>
        </is>
      </c>
      <c r="F4806" t="inlineStr">
        <is>
          <t>Allmännings- och besparingsskogar</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18900-2025</t>
        </is>
      </c>
      <c r="B4807" s="1" t="n">
        <v>45764.45171296296</v>
      </c>
      <c r="C4807" s="1" t="n">
        <v>45895</v>
      </c>
      <c r="D4807" t="inlineStr">
        <is>
          <t>NORRBOTTENS LÄN</t>
        </is>
      </c>
      <c r="E4807" t="inlineStr">
        <is>
          <t>BODEN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36249-2023</t>
        </is>
      </c>
      <c r="B4808" s="1" t="n">
        <v>45150.9416087963</v>
      </c>
      <c r="C4808" s="1" t="n">
        <v>45895</v>
      </c>
      <c r="D4808" t="inlineStr">
        <is>
          <t>NORRBOTTENS LÄN</t>
        </is>
      </c>
      <c r="E4808" t="inlineStr">
        <is>
          <t>GÄLLIVARE</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36250-2023</t>
        </is>
      </c>
      <c r="B4809" s="1" t="n">
        <v>45150.94170138889</v>
      </c>
      <c r="C4809" s="1" t="n">
        <v>45895</v>
      </c>
      <c r="D4809" t="inlineStr">
        <is>
          <t>NORRBOTTENS LÄN</t>
        </is>
      </c>
      <c r="E4809" t="inlineStr">
        <is>
          <t>GÄLLIVARE</t>
        </is>
      </c>
      <c r="F4809" t="inlineStr">
        <is>
          <t>SCA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40624-2022</t>
        </is>
      </c>
      <c r="B4810" s="1" t="n">
        <v>44823</v>
      </c>
      <c r="C4810" s="1" t="n">
        <v>45895</v>
      </c>
      <c r="D4810" t="inlineStr">
        <is>
          <t>NORRBOTTENS LÄN</t>
        </is>
      </c>
      <c r="E4810" t="inlineStr">
        <is>
          <t>BODEN</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42102-2024</t>
        </is>
      </c>
      <c r="B4811" s="1" t="n">
        <v>45562.35875</v>
      </c>
      <c r="C4811" s="1" t="n">
        <v>45895</v>
      </c>
      <c r="D4811" t="inlineStr">
        <is>
          <t>NORRBOTTENS LÄN</t>
        </is>
      </c>
      <c r="E4811" t="inlineStr">
        <is>
          <t>LULEÅ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27923-2023</t>
        </is>
      </c>
      <c r="B4812" s="1" t="n">
        <v>45098</v>
      </c>
      <c r="C4812" s="1" t="n">
        <v>45895</v>
      </c>
      <c r="D4812" t="inlineStr">
        <is>
          <t>NORRBOTTENS LÄN</t>
        </is>
      </c>
      <c r="E4812" t="inlineStr">
        <is>
          <t>PITEÅ</t>
        </is>
      </c>
      <c r="F4812" t="inlineStr">
        <is>
          <t>Övriga Aktiebolag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50746-2021</t>
        </is>
      </c>
      <c r="B4813" s="1" t="n">
        <v>44460</v>
      </c>
      <c r="C4813" s="1" t="n">
        <v>45895</v>
      </c>
      <c r="D4813" t="inlineStr">
        <is>
          <t>NORRBOTTENS LÄN</t>
        </is>
      </c>
      <c r="E4813" t="inlineStr">
        <is>
          <t>ÄLVSBYN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56319-2022</t>
        </is>
      </c>
      <c r="B4814" s="1" t="n">
        <v>44890</v>
      </c>
      <c r="C4814" s="1" t="n">
        <v>45895</v>
      </c>
      <c r="D4814" t="inlineStr">
        <is>
          <t>NORRBOTTENS LÄN</t>
        </is>
      </c>
      <c r="E4814" t="inlineStr">
        <is>
          <t>PITEÅ</t>
        </is>
      </c>
      <c r="F4814" t="inlineStr">
        <is>
          <t>Övriga Aktiebolag</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24416-2021</t>
        </is>
      </c>
      <c r="B4815" s="1" t="n">
        <v>44337</v>
      </c>
      <c r="C4815" s="1" t="n">
        <v>45895</v>
      </c>
      <c r="D4815" t="inlineStr">
        <is>
          <t>NORRBOTTENS LÄN</t>
        </is>
      </c>
      <c r="E4815" t="inlineStr">
        <is>
          <t>ÖVERTORNEÅ</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32127-2025</t>
        </is>
      </c>
      <c r="B4816" s="1" t="n">
        <v>45835.49930555555</v>
      </c>
      <c r="C4816" s="1" t="n">
        <v>45895</v>
      </c>
      <c r="D4816" t="inlineStr">
        <is>
          <t>NORRBOTTENS LÄN</t>
        </is>
      </c>
      <c r="E4816" t="inlineStr">
        <is>
          <t>LULEÅ</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36926-2025</t>
        </is>
      </c>
      <c r="B4817" s="1" t="n">
        <v>45874</v>
      </c>
      <c r="C4817" s="1" t="n">
        <v>45895</v>
      </c>
      <c r="D4817" t="inlineStr">
        <is>
          <t>NORRBOTTENS LÄN</t>
        </is>
      </c>
      <c r="E4817" t="inlineStr">
        <is>
          <t>BODEN</t>
        </is>
      </c>
      <c r="F4817" t="inlineStr">
        <is>
          <t>SCA</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37536-2025</t>
        </is>
      </c>
      <c r="B4818" s="1" t="n">
        <v>45878.52914351852</v>
      </c>
      <c r="C4818" s="1" t="n">
        <v>45895</v>
      </c>
      <c r="D4818" t="inlineStr">
        <is>
          <t>NORRBOTTENS LÄN</t>
        </is>
      </c>
      <c r="E4818" t="inlineStr">
        <is>
          <t>PAJALA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36115-2025</t>
        </is>
      </c>
      <c r="B4819" s="1" t="n">
        <v>45866.58059027778</v>
      </c>
      <c r="C4819" s="1" t="n">
        <v>45895</v>
      </c>
      <c r="D4819" t="inlineStr">
        <is>
          <t>NORRBOTTENS LÄN</t>
        </is>
      </c>
      <c r="E4819" t="inlineStr">
        <is>
          <t>ÖVERTORNEÅ</t>
        </is>
      </c>
      <c r="F4819" t="inlineStr">
        <is>
          <t>Sveaskog</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32924-2021</t>
        </is>
      </c>
      <c r="B4820" s="1" t="n">
        <v>44375.93804398148</v>
      </c>
      <c r="C4820" s="1" t="n">
        <v>45895</v>
      </c>
      <c r="D4820" t="inlineStr">
        <is>
          <t>NORRBOTTENS LÄN</t>
        </is>
      </c>
      <c r="E4820" t="inlineStr">
        <is>
          <t>PITEÅ</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54879-2021</t>
        </is>
      </c>
      <c r="B4821" s="1" t="n">
        <v>44473</v>
      </c>
      <c r="C4821" s="1" t="n">
        <v>45895</v>
      </c>
      <c r="D4821" t="inlineStr">
        <is>
          <t>NORRBOTTENS LÄN</t>
        </is>
      </c>
      <c r="E4821" t="inlineStr">
        <is>
          <t>LULEÅ</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52646-2023</t>
        </is>
      </c>
      <c r="B4822" s="1" t="n">
        <v>45225</v>
      </c>
      <c r="C4822" s="1" t="n">
        <v>45895</v>
      </c>
      <c r="D4822" t="inlineStr">
        <is>
          <t>NORRBOTTENS LÄN</t>
        </is>
      </c>
      <c r="E4822" t="inlineStr">
        <is>
          <t>ARVIDSJAUR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45431-2024</t>
        </is>
      </c>
      <c r="B4823" s="1" t="n">
        <v>45576</v>
      </c>
      <c r="C4823" s="1" t="n">
        <v>45895</v>
      </c>
      <c r="D4823" t="inlineStr">
        <is>
          <t>NORRBOTTENS LÄN</t>
        </is>
      </c>
      <c r="E4823" t="inlineStr">
        <is>
          <t>ÖVERTORNEÅ</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36868-2025</t>
        </is>
      </c>
      <c r="B4824" s="1" t="n">
        <v>45874</v>
      </c>
      <c r="C4824" s="1" t="n">
        <v>45895</v>
      </c>
      <c r="D4824" t="inlineStr">
        <is>
          <t>NORRBOTTENS LÄN</t>
        </is>
      </c>
      <c r="E4824" t="inlineStr">
        <is>
          <t>GÄLLIVARE</t>
        </is>
      </c>
      <c r="F4824" t="inlineStr">
        <is>
          <t>SCA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42888-2024</t>
        </is>
      </c>
      <c r="B4825" s="1" t="n">
        <v>45566</v>
      </c>
      <c r="C4825" s="1" t="n">
        <v>45895</v>
      </c>
      <c r="D4825" t="inlineStr">
        <is>
          <t>NORRBOTTENS LÄN</t>
        </is>
      </c>
      <c r="E4825" t="inlineStr">
        <is>
          <t>PAJALA</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36541-2022</t>
        </is>
      </c>
      <c r="B4826" s="1" t="n">
        <v>44804</v>
      </c>
      <c r="C4826" s="1" t="n">
        <v>45895</v>
      </c>
      <c r="D4826" t="inlineStr">
        <is>
          <t>NORRBOTTENS LÄN</t>
        </is>
      </c>
      <c r="E4826" t="inlineStr">
        <is>
          <t>PAJALA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32582-2025</t>
        </is>
      </c>
      <c r="B4827" s="1" t="n">
        <v>45838.5983912037</v>
      </c>
      <c r="C4827" s="1" t="n">
        <v>45895</v>
      </c>
      <c r="D4827" t="inlineStr">
        <is>
          <t>NORRBOTTENS LÄN</t>
        </is>
      </c>
      <c r="E4827" t="inlineStr">
        <is>
          <t>BODEN</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32511-2025</t>
        </is>
      </c>
      <c r="B4828" s="1" t="n">
        <v>45838.4737962963</v>
      </c>
      <c r="C4828" s="1" t="n">
        <v>45895</v>
      </c>
      <c r="D4828" t="inlineStr">
        <is>
          <t>NORRBOTTENS LÄN</t>
        </is>
      </c>
      <c r="E4828" t="inlineStr">
        <is>
          <t>PAJALA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26843-2025</t>
        </is>
      </c>
      <c r="B4829" s="1" t="n">
        <v>45810</v>
      </c>
      <c r="C4829" s="1" t="n">
        <v>45895</v>
      </c>
      <c r="D4829" t="inlineStr">
        <is>
          <t>NORRBOTTENS LÄN</t>
        </is>
      </c>
      <c r="E4829" t="inlineStr">
        <is>
          <t>KALIX</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63155-2021</t>
        </is>
      </c>
      <c r="B4830" s="1" t="n">
        <v>44505</v>
      </c>
      <c r="C4830" s="1" t="n">
        <v>45895</v>
      </c>
      <c r="D4830" t="inlineStr">
        <is>
          <t>NORRBOTTENS LÄN</t>
        </is>
      </c>
      <c r="E4830" t="inlineStr">
        <is>
          <t>GÄLLIVARE</t>
        </is>
      </c>
      <c r="F4830" t="inlineStr">
        <is>
          <t>SCA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32052-2025</t>
        </is>
      </c>
      <c r="B4831" s="1" t="n">
        <v>45835.44276620371</v>
      </c>
      <c r="C4831" s="1" t="n">
        <v>45895</v>
      </c>
      <c r="D4831" t="inlineStr">
        <is>
          <t>NORRBOTTENS LÄN</t>
        </is>
      </c>
      <c r="E4831" t="inlineStr">
        <is>
          <t>BODEN</t>
        </is>
      </c>
      <c r="F4831" t="inlineStr">
        <is>
          <t>Sveaskog</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8149-2025</t>
        </is>
      </c>
      <c r="B4832" s="1" t="n">
        <v>45708</v>
      </c>
      <c r="C4832" s="1" t="n">
        <v>45895</v>
      </c>
      <c r="D4832" t="inlineStr">
        <is>
          <t>NORRBOTTENS LÄN</t>
        </is>
      </c>
      <c r="E4832" t="inlineStr">
        <is>
          <t>GÄLLIVARE</t>
        </is>
      </c>
      <c r="F4832" t="inlineStr">
        <is>
          <t>Sveaskog</t>
        </is>
      </c>
      <c r="G4832" t="n">
        <v>33.3</v>
      </c>
      <c r="H4832" t="n">
        <v>0</v>
      </c>
      <c r="I4832" t="n">
        <v>0</v>
      </c>
      <c r="J4832" t="n">
        <v>0</v>
      </c>
      <c r="K4832" t="n">
        <v>0</v>
      </c>
      <c r="L4832" t="n">
        <v>0</v>
      </c>
      <c r="M4832" t="n">
        <v>0</v>
      </c>
      <c r="N4832" t="n">
        <v>0</v>
      </c>
      <c r="O4832" t="n">
        <v>0</v>
      </c>
      <c r="P4832" t="n">
        <v>0</v>
      </c>
      <c r="Q4832" t="n">
        <v>0</v>
      </c>
      <c r="R4832" s="2" t="inlineStr"/>
    </row>
    <row r="4833" ht="15" customHeight="1">
      <c r="A4833" t="inlineStr">
        <is>
          <t>A 32156-2025</t>
        </is>
      </c>
      <c r="B4833" s="1" t="n">
        <v>45835.53508101852</v>
      </c>
      <c r="C4833" s="1" t="n">
        <v>45895</v>
      </c>
      <c r="D4833" t="inlineStr">
        <is>
          <t>NORRBOTTENS LÄN</t>
        </is>
      </c>
      <c r="E4833" t="inlineStr">
        <is>
          <t>ÖVERTORNEÅ</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32175-2025</t>
        </is>
      </c>
      <c r="B4834" s="1" t="n">
        <v>45835.55673611111</v>
      </c>
      <c r="C4834" s="1" t="n">
        <v>45895</v>
      </c>
      <c r="D4834" t="inlineStr">
        <is>
          <t>NORRBOTTENS LÄN</t>
        </is>
      </c>
      <c r="E4834" t="inlineStr">
        <is>
          <t>ÖVERKALIX</t>
        </is>
      </c>
      <c r="F4834" t="inlineStr">
        <is>
          <t>Sveaskog</t>
        </is>
      </c>
      <c r="G4834" t="n">
        <v>19.6</v>
      </c>
      <c r="H4834" t="n">
        <v>0</v>
      </c>
      <c r="I4834" t="n">
        <v>0</v>
      </c>
      <c r="J4834" t="n">
        <v>0</v>
      </c>
      <c r="K4834" t="n">
        <v>0</v>
      </c>
      <c r="L4834" t="n">
        <v>0</v>
      </c>
      <c r="M4834" t="n">
        <v>0</v>
      </c>
      <c r="N4834" t="n">
        <v>0</v>
      </c>
      <c r="O4834" t="n">
        <v>0</v>
      </c>
      <c r="P4834" t="n">
        <v>0</v>
      </c>
      <c r="Q4834" t="n">
        <v>0</v>
      </c>
      <c r="R4834" s="2" t="inlineStr"/>
    </row>
    <row r="4835" ht="15" customHeight="1">
      <c r="A4835" t="inlineStr">
        <is>
          <t>A 11200-2023</t>
        </is>
      </c>
      <c r="B4835" s="1" t="n">
        <v>44988</v>
      </c>
      <c r="C4835" s="1" t="n">
        <v>45895</v>
      </c>
      <c r="D4835" t="inlineStr">
        <is>
          <t>NORRBOTTENS LÄN</t>
        </is>
      </c>
      <c r="E4835" t="inlineStr">
        <is>
          <t>PAJALA</t>
        </is>
      </c>
      <c r="G4835" t="n">
        <v>8.5</v>
      </c>
      <c r="H4835" t="n">
        <v>0</v>
      </c>
      <c r="I4835" t="n">
        <v>0</v>
      </c>
      <c r="J4835" t="n">
        <v>0</v>
      </c>
      <c r="K4835" t="n">
        <v>0</v>
      </c>
      <c r="L4835" t="n">
        <v>0</v>
      </c>
      <c r="M4835" t="n">
        <v>0</v>
      </c>
      <c r="N4835" t="n">
        <v>0</v>
      </c>
      <c r="O4835" t="n">
        <v>0</v>
      </c>
      <c r="P4835" t="n">
        <v>0</v>
      </c>
      <c r="Q4835" t="n">
        <v>0</v>
      </c>
      <c r="R4835" s="2" t="inlineStr"/>
    </row>
    <row r="4836" ht="15" customHeight="1">
      <c r="A4836" t="inlineStr">
        <is>
          <t>A 37650-2025</t>
        </is>
      </c>
      <c r="B4836" s="1" t="n">
        <v>45880</v>
      </c>
      <c r="C4836" s="1" t="n">
        <v>45895</v>
      </c>
      <c r="D4836" t="inlineStr">
        <is>
          <t>NORRBOTTENS LÄN</t>
        </is>
      </c>
      <c r="E4836" t="inlineStr">
        <is>
          <t>PAJALA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37659-2025</t>
        </is>
      </c>
      <c r="B4837" s="1" t="n">
        <v>45880.49833333334</v>
      </c>
      <c r="C4837" s="1" t="n">
        <v>45895</v>
      </c>
      <c r="D4837" t="inlineStr">
        <is>
          <t>NORRBOTTENS LÄN</t>
        </is>
      </c>
      <c r="E4837" t="inlineStr">
        <is>
          <t>GÄLLIVARE</t>
        </is>
      </c>
      <c r="F4837" t="inlineStr">
        <is>
          <t>Sveaskog</t>
        </is>
      </c>
      <c r="G4837" t="n">
        <v>13.7</v>
      </c>
      <c r="H4837" t="n">
        <v>0</v>
      </c>
      <c r="I4837" t="n">
        <v>0</v>
      </c>
      <c r="J4837" t="n">
        <v>0</v>
      </c>
      <c r="K4837" t="n">
        <v>0</v>
      </c>
      <c r="L4837" t="n">
        <v>0</v>
      </c>
      <c r="M4837" t="n">
        <v>0</v>
      </c>
      <c r="N4837" t="n">
        <v>0</v>
      </c>
      <c r="O4837" t="n">
        <v>0</v>
      </c>
      <c r="P4837" t="n">
        <v>0</v>
      </c>
      <c r="Q4837" t="n">
        <v>0</v>
      </c>
      <c r="R4837" s="2" t="inlineStr"/>
    </row>
    <row r="4838" ht="15" customHeight="1">
      <c r="A4838" t="inlineStr">
        <is>
          <t>A 5131-2025</t>
        </is>
      </c>
      <c r="B4838" s="1" t="n">
        <v>45691.57331018519</v>
      </c>
      <c r="C4838" s="1" t="n">
        <v>45895</v>
      </c>
      <c r="D4838" t="inlineStr">
        <is>
          <t>NORRBOTTENS LÄN</t>
        </is>
      </c>
      <c r="E4838" t="inlineStr">
        <is>
          <t>LULEÅ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5155-2025</t>
        </is>
      </c>
      <c r="B4839" s="1" t="n">
        <v>45691.60460648148</v>
      </c>
      <c r="C4839" s="1" t="n">
        <v>45895</v>
      </c>
      <c r="D4839" t="inlineStr">
        <is>
          <t>NORRBOTTENS LÄN</t>
        </is>
      </c>
      <c r="E4839" t="inlineStr">
        <is>
          <t>ÖVERTORNEÅ</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5161-2025</t>
        </is>
      </c>
      <c r="B4840" s="1" t="n">
        <v>45691</v>
      </c>
      <c r="C4840" s="1" t="n">
        <v>45895</v>
      </c>
      <c r="D4840" t="inlineStr">
        <is>
          <t>NORRBOTTENS LÄN</t>
        </is>
      </c>
      <c r="E4840" t="inlineStr">
        <is>
          <t>ÖVERTORNEÅ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37683-2025</t>
        </is>
      </c>
      <c r="B4841" s="1" t="n">
        <v>45880.55248842593</v>
      </c>
      <c r="C4841" s="1" t="n">
        <v>45895</v>
      </c>
      <c r="D4841" t="inlineStr">
        <is>
          <t>NORRBOTTENS LÄN</t>
        </is>
      </c>
      <c r="E4841" t="inlineStr">
        <is>
          <t>GÄLLIVARE</t>
        </is>
      </c>
      <c r="F4841" t="inlineStr">
        <is>
          <t>SCA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37694-2025</t>
        </is>
      </c>
      <c r="B4842" s="1" t="n">
        <v>45880.57349537037</v>
      </c>
      <c r="C4842" s="1" t="n">
        <v>45895</v>
      </c>
      <c r="D4842" t="inlineStr">
        <is>
          <t>NORRBOTTENS LÄN</t>
        </is>
      </c>
      <c r="E4842" t="inlineStr">
        <is>
          <t>JOKKMOKK</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37752-2025</t>
        </is>
      </c>
      <c r="B4843" s="1" t="n">
        <v>45880.67576388889</v>
      </c>
      <c r="C4843" s="1" t="n">
        <v>45895</v>
      </c>
      <c r="D4843" t="inlineStr">
        <is>
          <t>NORRBOTTENS LÄN</t>
        </is>
      </c>
      <c r="E4843" t="inlineStr">
        <is>
          <t>PAJALA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36607-2025</t>
        </is>
      </c>
      <c r="B4844" s="1" t="n">
        <v>45870.56957175926</v>
      </c>
      <c r="C4844" s="1" t="n">
        <v>45895</v>
      </c>
      <c r="D4844" t="inlineStr">
        <is>
          <t>NORRBOTTENS LÄN</t>
        </is>
      </c>
      <c r="E4844" t="inlineStr">
        <is>
          <t>PAJALA</t>
        </is>
      </c>
      <c r="F4844" t="inlineStr">
        <is>
          <t>Sveaskog</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36997-2025</t>
        </is>
      </c>
      <c r="B4845" s="1" t="n">
        <v>45874.67802083334</v>
      </c>
      <c r="C4845" s="1" t="n">
        <v>45895</v>
      </c>
      <c r="D4845" t="inlineStr">
        <is>
          <t>NORRBOTTENS LÄN</t>
        </is>
      </c>
      <c r="E4845" t="inlineStr">
        <is>
          <t>GÄLLIVARE</t>
        </is>
      </c>
      <c r="F4845" t="inlineStr">
        <is>
          <t>SCA</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37454-2025</t>
        </is>
      </c>
      <c r="B4846" s="1" t="n">
        <v>45877.56238425926</v>
      </c>
      <c r="C4846" s="1" t="n">
        <v>45895</v>
      </c>
      <c r="D4846" t="inlineStr">
        <is>
          <t>NORRBOTTENS LÄN</t>
        </is>
      </c>
      <c r="E4846" t="inlineStr">
        <is>
          <t>ARVIDSJAUR</t>
        </is>
      </c>
      <c r="F4846" t="inlineStr">
        <is>
          <t>Sveaskog</t>
        </is>
      </c>
      <c r="G4846" t="n">
        <v>23.4</v>
      </c>
      <c r="H4846" t="n">
        <v>0</v>
      </c>
      <c r="I4846" t="n">
        <v>0</v>
      </c>
      <c r="J4846" t="n">
        <v>0</v>
      </c>
      <c r="K4846" t="n">
        <v>0</v>
      </c>
      <c r="L4846" t="n">
        <v>0</v>
      </c>
      <c r="M4846" t="n">
        <v>0</v>
      </c>
      <c r="N4846" t="n">
        <v>0</v>
      </c>
      <c r="O4846" t="n">
        <v>0</v>
      </c>
      <c r="P4846" t="n">
        <v>0</v>
      </c>
      <c r="Q4846" t="n">
        <v>0</v>
      </c>
      <c r="R4846" s="2" t="inlineStr"/>
    </row>
    <row r="4847" ht="15" customHeight="1">
      <c r="A4847" t="inlineStr">
        <is>
          <t>A 32253-2025</t>
        </is>
      </c>
      <c r="B4847" s="1" t="n">
        <v>45835.63008101852</v>
      </c>
      <c r="C4847" s="1" t="n">
        <v>45895</v>
      </c>
      <c r="D4847" t="inlineStr">
        <is>
          <t>NORRBOTTENS LÄN</t>
        </is>
      </c>
      <c r="E4847" t="inlineStr">
        <is>
          <t>LULEÅ</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32260-2025</t>
        </is>
      </c>
      <c r="B4848" s="1" t="n">
        <v>45835.64260416666</v>
      </c>
      <c r="C4848" s="1" t="n">
        <v>45895</v>
      </c>
      <c r="D4848" t="inlineStr">
        <is>
          <t>NORRBOTTENS LÄN</t>
        </is>
      </c>
      <c r="E4848" t="inlineStr">
        <is>
          <t>LULEÅ</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5776-2025</t>
        </is>
      </c>
      <c r="B4849" s="1" t="n">
        <v>45694</v>
      </c>
      <c r="C4849" s="1" t="n">
        <v>45895</v>
      </c>
      <c r="D4849" t="inlineStr">
        <is>
          <t>NORRBOTTENS LÄN</t>
        </is>
      </c>
      <c r="E4849" t="inlineStr">
        <is>
          <t>GÄLLIVARE</t>
        </is>
      </c>
      <c r="F4849" t="inlineStr">
        <is>
          <t>SCA</t>
        </is>
      </c>
      <c r="G4849" t="n">
        <v>14.5</v>
      </c>
      <c r="H4849" t="n">
        <v>0</v>
      </c>
      <c r="I4849" t="n">
        <v>0</v>
      </c>
      <c r="J4849" t="n">
        <v>0</v>
      </c>
      <c r="K4849" t="n">
        <v>0</v>
      </c>
      <c r="L4849" t="n">
        <v>0</v>
      </c>
      <c r="M4849" t="n">
        <v>0</v>
      </c>
      <c r="N4849" t="n">
        <v>0</v>
      </c>
      <c r="O4849" t="n">
        <v>0</v>
      </c>
      <c r="P4849" t="n">
        <v>0</v>
      </c>
      <c r="Q4849" t="n">
        <v>0</v>
      </c>
      <c r="R4849" s="2" t="inlineStr"/>
    </row>
    <row r="4850" ht="15" customHeight="1">
      <c r="A4850" t="inlineStr">
        <is>
          <t>A 7084-2025</t>
        </is>
      </c>
      <c r="B4850" s="1" t="n">
        <v>45701</v>
      </c>
      <c r="C4850" s="1" t="n">
        <v>45895</v>
      </c>
      <c r="D4850" t="inlineStr">
        <is>
          <t>NORRBOTTENS LÄN</t>
        </is>
      </c>
      <c r="E4850" t="inlineStr">
        <is>
          <t>ARVIDSJAUR</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58942-2024</t>
        </is>
      </c>
      <c r="B4851" s="1" t="n">
        <v>45636</v>
      </c>
      <c r="C4851" s="1" t="n">
        <v>45895</v>
      </c>
      <c r="D4851" t="inlineStr">
        <is>
          <t>NORRBOTTENS LÄN</t>
        </is>
      </c>
      <c r="E4851" t="inlineStr">
        <is>
          <t>ARVIDSJAUR</t>
        </is>
      </c>
      <c r="F4851" t="inlineStr">
        <is>
          <t>Sveaskog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12950-2021</t>
        </is>
      </c>
      <c r="B4852" s="1" t="n">
        <v>44271</v>
      </c>
      <c r="C4852" s="1" t="n">
        <v>45895</v>
      </c>
      <c r="D4852" t="inlineStr">
        <is>
          <t>NORRBOTTENS LÄN</t>
        </is>
      </c>
      <c r="E4852" t="inlineStr">
        <is>
          <t>ÄLVSBYN</t>
        </is>
      </c>
      <c r="G4852" t="n">
        <v>14.3</v>
      </c>
      <c r="H4852" t="n">
        <v>0</v>
      </c>
      <c r="I4852" t="n">
        <v>0</v>
      </c>
      <c r="J4852" t="n">
        <v>0</v>
      </c>
      <c r="K4852" t="n">
        <v>0</v>
      </c>
      <c r="L4852" t="n">
        <v>0</v>
      </c>
      <c r="M4852" t="n">
        <v>0</v>
      </c>
      <c r="N4852" t="n">
        <v>0</v>
      </c>
      <c r="O4852" t="n">
        <v>0</v>
      </c>
      <c r="P4852" t="n">
        <v>0</v>
      </c>
      <c r="Q4852" t="n">
        <v>0</v>
      </c>
      <c r="R4852" s="2" t="inlineStr"/>
    </row>
    <row r="4853" ht="15" customHeight="1">
      <c r="A4853" t="inlineStr">
        <is>
          <t>A 32255-2025</t>
        </is>
      </c>
      <c r="B4853" s="1" t="n">
        <v>45835.63332175926</v>
      </c>
      <c r="C4853" s="1" t="n">
        <v>45895</v>
      </c>
      <c r="D4853" t="inlineStr">
        <is>
          <t>NORRBOTTENS LÄN</t>
        </is>
      </c>
      <c r="E4853" t="inlineStr">
        <is>
          <t>LULEÅ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32371-2025</t>
        </is>
      </c>
      <c r="B4854" s="1" t="n">
        <v>45837.68739583333</v>
      </c>
      <c r="C4854" s="1" t="n">
        <v>45895</v>
      </c>
      <c r="D4854" t="inlineStr">
        <is>
          <t>NORRBOTTENS LÄN</t>
        </is>
      </c>
      <c r="E4854" t="inlineStr">
        <is>
          <t>ÖVERKALIX</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32372-2025</t>
        </is>
      </c>
      <c r="B4855" s="1" t="n">
        <v>45837.69155092593</v>
      </c>
      <c r="C4855" s="1" t="n">
        <v>45895</v>
      </c>
      <c r="D4855" t="inlineStr">
        <is>
          <t>NORRBOTTENS LÄN</t>
        </is>
      </c>
      <c r="E4855" t="inlineStr">
        <is>
          <t>PITEÅ</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37422-2025</t>
        </is>
      </c>
      <c r="B4856" s="1" t="n">
        <v>45877.48719907407</v>
      </c>
      <c r="C4856" s="1" t="n">
        <v>45895</v>
      </c>
      <c r="D4856" t="inlineStr">
        <is>
          <t>NORRBOTTENS LÄN</t>
        </is>
      </c>
      <c r="E4856" t="inlineStr">
        <is>
          <t>PAJALA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55259-2024</t>
        </is>
      </c>
      <c r="B4857" s="1" t="n">
        <v>45621</v>
      </c>
      <c r="C4857" s="1" t="n">
        <v>45895</v>
      </c>
      <c r="D4857" t="inlineStr">
        <is>
          <t>NORRBOTTENS LÄN</t>
        </is>
      </c>
      <c r="E4857" t="inlineStr">
        <is>
          <t>GÄLLIVARE</t>
        </is>
      </c>
      <c r="G4857" t="n">
        <v>17.9</v>
      </c>
      <c r="H4857" t="n">
        <v>0</v>
      </c>
      <c r="I4857" t="n">
        <v>0</v>
      </c>
      <c r="J4857" t="n">
        <v>0</v>
      </c>
      <c r="K4857" t="n">
        <v>0</v>
      </c>
      <c r="L4857" t="n">
        <v>0</v>
      </c>
      <c r="M4857" t="n">
        <v>0</v>
      </c>
      <c r="N4857" t="n">
        <v>0</v>
      </c>
      <c r="O4857" t="n">
        <v>0</v>
      </c>
      <c r="P4857" t="n">
        <v>0</v>
      </c>
      <c r="Q4857" t="n">
        <v>0</v>
      </c>
      <c r="R4857" s="2" t="inlineStr"/>
    </row>
    <row r="4858" ht="15" customHeight="1">
      <c r="A4858" t="inlineStr">
        <is>
          <t>A 56495-2024</t>
        </is>
      </c>
      <c r="B4858" s="1" t="n">
        <v>45625</v>
      </c>
      <c r="C4858" s="1" t="n">
        <v>45895</v>
      </c>
      <c r="D4858" t="inlineStr">
        <is>
          <t>NORRBOTTENS LÄN</t>
        </is>
      </c>
      <c r="E4858" t="inlineStr">
        <is>
          <t>ARVIDSJAUR</t>
        </is>
      </c>
      <c r="G4858" t="n">
        <v>14.1</v>
      </c>
      <c r="H4858" t="n">
        <v>0</v>
      </c>
      <c r="I4858" t="n">
        <v>0</v>
      </c>
      <c r="J4858" t="n">
        <v>0</v>
      </c>
      <c r="K4858" t="n">
        <v>0</v>
      </c>
      <c r="L4858" t="n">
        <v>0</v>
      </c>
      <c r="M4858" t="n">
        <v>0</v>
      </c>
      <c r="N4858" t="n">
        <v>0</v>
      </c>
      <c r="O4858" t="n">
        <v>0</v>
      </c>
      <c r="P4858" t="n">
        <v>0</v>
      </c>
      <c r="Q4858" t="n">
        <v>0</v>
      </c>
      <c r="R4858" s="2" t="inlineStr"/>
    </row>
    <row r="4859" ht="15" customHeight="1">
      <c r="A4859" t="inlineStr">
        <is>
          <t>A 29804-2024</t>
        </is>
      </c>
      <c r="B4859" s="1" t="n">
        <v>45485.52054398148</v>
      </c>
      <c r="C4859" s="1" t="n">
        <v>45895</v>
      </c>
      <c r="D4859" t="inlineStr">
        <is>
          <t>NORRBOTTENS LÄN</t>
        </is>
      </c>
      <c r="E4859" t="inlineStr">
        <is>
          <t>PAJALA</t>
        </is>
      </c>
      <c r="F4859" t="inlineStr">
        <is>
          <t>Sveaskog</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30367-2024</t>
        </is>
      </c>
      <c r="B4860" s="1" t="n">
        <v>45491</v>
      </c>
      <c r="C4860" s="1" t="n">
        <v>45895</v>
      </c>
      <c r="D4860" t="inlineStr">
        <is>
          <t>NORRBOTTENS LÄN</t>
        </is>
      </c>
      <c r="E4860" t="inlineStr">
        <is>
          <t>GÄLLIVARE</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32535-2025</t>
        </is>
      </c>
      <c r="B4861" s="1" t="n">
        <v>45838.49375</v>
      </c>
      <c r="C4861" s="1" t="n">
        <v>45895</v>
      </c>
      <c r="D4861" t="inlineStr">
        <is>
          <t>NORRBOTTENS LÄN</t>
        </is>
      </c>
      <c r="E4861" t="inlineStr">
        <is>
          <t>ÖVERKALIX</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44179-2023</t>
        </is>
      </c>
      <c r="B4862" s="1" t="n">
        <v>45188.51991898148</v>
      </c>
      <c r="C4862" s="1" t="n">
        <v>45895</v>
      </c>
      <c r="D4862" t="inlineStr">
        <is>
          <t>NORRBOTTENS LÄN</t>
        </is>
      </c>
      <c r="E4862" t="inlineStr">
        <is>
          <t>ARVIDSJAUR</t>
        </is>
      </c>
      <c r="F4862" t="inlineStr">
        <is>
          <t>Sveaskog</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44199-2023</t>
        </is>
      </c>
      <c r="B4863" s="1" t="n">
        <v>45188</v>
      </c>
      <c r="C4863" s="1" t="n">
        <v>45895</v>
      </c>
      <c r="D4863" t="inlineStr">
        <is>
          <t>NORRBOTTENS LÄN</t>
        </is>
      </c>
      <c r="E4863" t="inlineStr">
        <is>
          <t>PITEÅ</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32244-2025</t>
        </is>
      </c>
      <c r="B4864" s="1" t="n">
        <v>45835.61568287037</v>
      </c>
      <c r="C4864" s="1" t="n">
        <v>45895</v>
      </c>
      <c r="D4864" t="inlineStr">
        <is>
          <t>NORRBOTTENS LÄN</t>
        </is>
      </c>
      <c r="E4864" t="inlineStr">
        <is>
          <t>KALIX</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32264-2025</t>
        </is>
      </c>
      <c r="B4865" s="1" t="n">
        <v>45835.64934027778</v>
      </c>
      <c r="C4865" s="1" t="n">
        <v>45895</v>
      </c>
      <c r="D4865" t="inlineStr">
        <is>
          <t>NORRBOTTENS LÄN</t>
        </is>
      </c>
      <c r="E4865" t="inlineStr">
        <is>
          <t>LULEÅ</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718-2022</t>
        </is>
      </c>
      <c r="B4866" s="1" t="n">
        <v>44568</v>
      </c>
      <c r="C4866" s="1" t="n">
        <v>45895</v>
      </c>
      <c r="D4866" t="inlineStr">
        <is>
          <t>NORRBOTTENS LÄN</t>
        </is>
      </c>
      <c r="E4866" t="inlineStr">
        <is>
          <t>BODEN</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35859-2025</t>
        </is>
      </c>
      <c r="B4867" s="1" t="n">
        <v>45861.6377199074</v>
      </c>
      <c r="C4867" s="1" t="n">
        <v>45895</v>
      </c>
      <c r="D4867" t="inlineStr">
        <is>
          <t>NORRBOTTENS LÄN</t>
        </is>
      </c>
      <c r="E4867" t="inlineStr">
        <is>
          <t>PAJALA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36623-2025</t>
        </is>
      </c>
      <c r="B4868" s="1" t="n">
        <v>45870.65719907408</v>
      </c>
      <c r="C4868" s="1" t="n">
        <v>45895</v>
      </c>
      <c r="D4868" t="inlineStr">
        <is>
          <t>NORRBOTTENS LÄN</t>
        </is>
      </c>
      <c r="E4868" t="inlineStr">
        <is>
          <t>GÄLLIVARE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33539-2021</t>
        </is>
      </c>
      <c r="B4869" s="1" t="n">
        <v>44377.92153935185</v>
      </c>
      <c r="C4869" s="1" t="n">
        <v>45895</v>
      </c>
      <c r="D4869" t="inlineStr">
        <is>
          <t>NORRBOTTENS LÄN</t>
        </is>
      </c>
      <c r="E4869" t="inlineStr">
        <is>
          <t>PITEÅ</t>
        </is>
      </c>
      <c r="G4869" t="n">
        <v>15.5</v>
      </c>
      <c r="H4869" t="n">
        <v>0</v>
      </c>
      <c r="I4869" t="n">
        <v>0</v>
      </c>
      <c r="J4869" t="n">
        <v>0</v>
      </c>
      <c r="K4869" t="n">
        <v>0</v>
      </c>
      <c r="L4869" t="n">
        <v>0</v>
      </c>
      <c r="M4869" t="n">
        <v>0</v>
      </c>
      <c r="N4869" t="n">
        <v>0</v>
      </c>
      <c r="O4869" t="n">
        <v>0</v>
      </c>
      <c r="P4869" t="n">
        <v>0</v>
      </c>
      <c r="Q4869" t="n">
        <v>0</v>
      </c>
      <c r="R4869" s="2" t="inlineStr"/>
    </row>
    <row r="4870" ht="15" customHeight="1">
      <c r="A4870" t="inlineStr">
        <is>
          <t>A 55329-2024</t>
        </is>
      </c>
      <c r="B4870" s="1" t="n">
        <v>45621.67932870371</v>
      </c>
      <c r="C4870" s="1" t="n">
        <v>45895</v>
      </c>
      <c r="D4870" t="inlineStr">
        <is>
          <t>NORRBOTTENS LÄN</t>
        </is>
      </c>
      <c r="E4870" t="inlineStr">
        <is>
          <t>ÖVERKALIX</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36078-2025</t>
        </is>
      </c>
      <c r="B4871" s="1" t="n">
        <v>45866</v>
      </c>
      <c r="C4871" s="1" t="n">
        <v>45895</v>
      </c>
      <c r="D4871" t="inlineStr">
        <is>
          <t>NORRBOTTENS LÄN</t>
        </is>
      </c>
      <c r="E4871" t="inlineStr">
        <is>
          <t>PAJALA</t>
        </is>
      </c>
      <c r="F4871" t="inlineStr">
        <is>
          <t>Sveaskog</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32309-2025</t>
        </is>
      </c>
      <c r="B4872" s="1" t="n">
        <v>45835.74189814815</v>
      </c>
      <c r="C4872" s="1" t="n">
        <v>45895</v>
      </c>
      <c r="D4872" t="inlineStr">
        <is>
          <t>NORRBOTTENS LÄN</t>
        </is>
      </c>
      <c r="E4872" t="inlineStr">
        <is>
          <t>BODEN</t>
        </is>
      </c>
      <c r="F4872" t="inlineStr">
        <is>
          <t>Sveaskog</t>
        </is>
      </c>
      <c r="G4872" t="n">
        <v>13.6</v>
      </c>
      <c r="H4872" t="n">
        <v>0</v>
      </c>
      <c r="I4872" t="n">
        <v>0</v>
      </c>
      <c r="J4872" t="n">
        <v>0</v>
      </c>
      <c r="K4872" t="n">
        <v>0</v>
      </c>
      <c r="L4872" t="n">
        <v>0</v>
      </c>
      <c r="M4872" t="n">
        <v>0</v>
      </c>
      <c r="N4872" t="n">
        <v>0</v>
      </c>
      <c r="O4872" t="n">
        <v>0</v>
      </c>
      <c r="P4872" t="n">
        <v>0</v>
      </c>
      <c r="Q4872" t="n">
        <v>0</v>
      </c>
      <c r="R4872" s="2" t="inlineStr"/>
    </row>
    <row r="4873" ht="15" customHeight="1">
      <c r="A4873" t="inlineStr">
        <is>
          <t>A 6754-2025</t>
        </is>
      </c>
      <c r="B4873" s="1" t="n">
        <v>45700.61891203704</v>
      </c>
      <c r="C4873" s="1" t="n">
        <v>45895</v>
      </c>
      <c r="D4873" t="inlineStr">
        <is>
          <t>NORRBOTTENS LÄN</t>
        </is>
      </c>
      <c r="E4873" t="inlineStr">
        <is>
          <t>PITEÅ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37534-2025</t>
        </is>
      </c>
      <c r="B4874" s="1" t="n">
        <v>45878.51769675926</v>
      </c>
      <c r="C4874" s="1" t="n">
        <v>45895</v>
      </c>
      <c r="D4874" t="inlineStr">
        <is>
          <t>NORRBOTTENS LÄN</t>
        </is>
      </c>
      <c r="E4874" t="inlineStr">
        <is>
          <t>PAJALA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37587-2025</t>
        </is>
      </c>
      <c r="B4875" s="1" t="n">
        <v>45880.40678240741</v>
      </c>
      <c r="C4875" s="1" t="n">
        <v>45895</v>
      </c>
      <c r="D4875" t="inlineStr">
        <is>
          <t>NORRBOTTENS LÄN</t>
        </is>
      </c>
      <c r="E4875" t="inlineStr">
        <is>
          <t>PAJALA</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37442-2025</t>
        </is>
      </c>
      <c r="B4876" s="1" t="n">
        <v>45877.54096064815</v>
      </c>
      <c r="C4876" s="1" t="n">
        <v>45895</v>
      </c>
      <c r="D4876" t="inlineStr">
        <is>
          <t>NORRBOTTENS LÄN</t>
        </is>
      </c>
      <c r="E4876" t="inlineStr">
        <is>
          <t>ARJEPLOG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42009-2024</t>
        </is>
      </c>
      <c r="B4877" s="1" t="n">
        <v>45561.69032407407</v>
      </c>
      <c r="C4877" s="1" t="n">
        <v>45895</v>
      </c>
      <c r="D4877" t="inlineStr">
        <is>
          <t>NORRBOTTENS LÄN</t>
        </is>
      </c>
      <c r="E4877" t="inlineStr">
        <is>
          <t>KALIX</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36790-2025</t>
        </is>
      </c>
      <c r="B4878" s="1" t="n">
        <v>45873.63587962963</v>
      </c>
      <c r="C4878" s="1" t="n">
        <v>45895</v>
      </c>
      <c r="D4878" t="inlineStr">
        <is>
          <t>NORRBOTTENS LÄN</t>
        </is>
      </c>
      <c r="E4878" t="inlineStr">
        <is>
          <t>GÄLLIVARE</t>
        </is>
      </c>
      <c r="F4878" t="inlineStr">
        <is>
          <t>SCA</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31961-2025</t>
        </is>
      </c>
      <c r="B4879" s="1" t="n">
        <v>45835.34453703704</v>
      </c>
      <c r="C4879" s="1" t="n">
        <v>45895</v>
      </c>
      <c r="D4879" t="inlineStr">
        <is>
          <t>NORRBOTTENS LÄN</t>
        </is>
      </c>
      <c r="E4879" t="inlineStr">
        <is>
          <t>ÖVERKALIX</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42422-2024</t>
        </is>
      </c>
      <c r="B4880" s="1" t="n">
        <v>45565.38912037037</v>
      </c>
      <c r="C4880" s="1" t="n">
        <v>45895</v>
      </c>
      <c r="D4880" t="inlineStr">
        <is>
          <t>NORRBOTTENS LÄN</t>
        </is>
      </c>
      <c r="E4880" t="inlineStr">
        <is>
          <t>LULEÅ</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42426-2024</t>
        </is>
      </c>
      <c r="B4881" s="1" t="n">
        <v>45565.39958333333</v>
      </c>
      <c r="C4881" s="1" t="n">
        <v>45895</v>
      </c>
      <c r="D4881" t="inlineStr">
        <is>
          <t>NORRBOTTENS LÄN</t>
        </is>
      </c>
      <c r="E4881" t="inlineStr">
        <is>
          <t>LULEÅ</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9207-2025</t>
        </is>
      </c>
      <c r="B4882" s="1" t="n">
        <v>45714.49681712963</v>
      </c>
      <c r="C4882" s="1" t="n">
        <v>45895</v>
      </c>
      <c r="D4882" t="inlineStr">
        <is>
          <t>NORRBOTTENS LÄN</t>
        </is>
      </c>
      <c r="E4882" t="inlineStr">
        <is>
          <t>KALIX</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41707-2024</t>
        </is>
      </c>
      <c r="B4883" s="1" t="n">
        <v>45560.69846064815</v>
      </c>
      <c r="C4883" s="1" t="n">
        <v>45895</v>
      </c>
      <c r="D4883" t="inlineStr">
        <is>
          <t>NORRBOTTENS LÄN</t>
        </is>
      </c>
      <c r="E4883" t="inlineStr">
        <is>
          <t>LULEÅ</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41708-2024</t>
        </is>
      </c>
      <c r="B4884" s="1" t="n">
        <v>45560.6984837963</v>
      </c>
      <c r="C4884" s="1" t="n">
        <v>45895</v>
      </c>
      <c r="D4884" t="inlineStr">
        <is>
          <t>NORRBOTTENS LÄN</t>
        </is>
      </c>
      <c r="E4884" t="inlineStr">
        <is>
          <t>LULEÅ</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18010-2024</t>
        </is>
      </c>
      <c r="B4885" s="1" t="n">
        <v>45419.949375</v>
      </c>
      <c r="C4885" s="1" t="n">
        <v>45895</v>
      </c>
      <c r="D4885" t="inlineStr">
        <is>
          <t>NORRBOTTENS LÄN</t>
        </is>
      </c>
      <c r="E4885" t="inlineStr">
        <is>
          <t>KALIX</t>
        </is>
      </c>
      <c r="F4885" t="inlineStr">
        <is>
          <t>SCA</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44983-2023</t>
        </is>
      </c>
      <c r="B4886" s="1" t="n">
        <v>45190</v>
      </c>
      <c r="C4886" s="1" t="n">
        <v>45895</v>
      </c>
      <c r="D4886" t="inlineStr">
        <is>
          <t>NORRBOTTENS LÄN</t>
        </is>
      </c>
      <c r="E4886" t="inlineStr">
        <is>
          <t>GÄLLIVARE</t>
        </is>
      </c>
      <c r="F4886" t="inlineStr">
        <is>
          <t>SCA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44079-2023</t>
        </is>
      </c>
      <c r="B4887" s="1" t="n">
        <v>45188</v>
      </c>
      <c r="C4887" s="1" t="n">
        <v>45895</v>
      </c>
      <c r="D4887" t="inlineStr">
        <is>
          <t>NORRBOTTENS LÄN</t>
        </is>
      </c>
      <c r="E4887" t="inlineStr">
        <is>
          <t>ÖVERTORNEÅ</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37827-2024</t>
        </is>
      </c>
      <c r="B4888" s="1" t="n">
        <v>45544</v>
      </c>
      <c r="C4888" s="1" t="n">
        <v>45895</v>
      </c>
      <c r="D4888" t="inlineStr">
        <is>
          <t>NORRBOTTENS LÄN</t>
        </is>
      </c>
      <c r="E4888" t="inlineStr">
        <is>
          <t>JOKKMOKK</t>
        </is>
      </c>
      <c r="F4888" t="inlineStr">
        <is>
          <t>SCA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62851-2021</t>
        </is>
      </c>
      <c r="B4889" s="1" t="n">
        <v>44504</v>
      </c>
      <c r="C4889" s="1" t="n">
        <v>45895</v>
      </c>
      <c r="D4889" t="inlineStr">
        <is>
          <t>NORRBOTTENS LÄN</t>
        </is>
      </c>
      <c r="E4889" t="inlineStr">
        <is>
          <t>ÖVERTORNEÅ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35674-2025</t>
        </is>
      </c>
      <c r="B4890" s="1" t="n">
        <v>45859.6357175926</v>
      </c>
      <c r="C4890" s="1" t="n">
        <v>45895</v>
      </c>
      <c r="D4890" t="inlineStr">
        <is>
          <t>NORRBOTTENS LÄN</t>
        </is>
      </c>
      <c r="E4890" t="inlineStr">
        <is>
          <t>KALIX</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37621-2025</t>
        </is>
      </c>
      <c r="B4891" s="1" t="n">
        <v>45880.45326388889</v>
      </c>
      <c r="C4891" s="1" t="n">
        <v>45895</v>
      </c>
      <c r="D4891" t="inlineStr">
        <is>
          <t>NORRBOTTENS LÄN</t>
        </is>
      </c>
      <c r="E4891" t="inlineStr">
        <is>
          <t>ÖVERKALIX</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37653-2025</t>
        </is>
      </c>
      <c r="B4892" s="1" t="n">
        <v>45880.49046296296</v>
      </c>
      <c r="C4892" s="1" t="n">
        <v>45895</v>
      </c>
      <c r="D4892" t="inlineStr">
        <is>
          <t>NORRBOTTENS LÄN</t>
        </is>
      </c>
      <c r="E4892" t="inlineStr">
        <is>
          <t>BODEN</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32352-2025</t>
        </is>
      </c>
      <c r="B4893" s="1" t="n">
        <v>45837.50755787037</v>
      </c>
      <c r="C4893" s="1" t="n">
        <v>45895</v>
      </c>
      <c r="D4893" t="inlineStr">
        <is>
          <t>NORRBOTTENS LÄN</t>
        </is>
      </c>
      <c r="E4893" t="inlineStr">
        <is>
          <t>PITEÅ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16864-2023</t>
        </is>
      </c>
      <c r="B4894" s="1" t="n">
        <v>45028</v>
      </c>
      <c r="C4894" s="1" t="n">
        <v>45895</v>
      </c>
      <c r="D4894" t="inlineStr">
        <is>
          <t>NORRBOTTENS LÄN</t>
        </is>
      </c>
      <c r="E4894" t="inlineStr">
        <is>
          <t>JOKKMOKK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22039-2024</t>
        </is>
      </c>
      <c r="B4895" s="1" t="n">
        <v>45443</v>
      </c>
      <c r="C4895" s="1" t="n">
        <v>45895</v>
      </c>
      <c r="D4895" t="inlineStr">
        <is>
          <t>NORRBOTTENS LÄN</t>
        </is>
      </c>
      <c r="E4895" t="inlineStr">
        <is>
          <t>PAJALA</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60417-2024</t>
        </is>
      </c>
      <c r="B4896" s="1" t="n">
        <v>45643.53211805555</v>
      </c>
      <c r="C4896" s="1" t="n">
        <v>45895</v>
      </c>
      <c r="D4896" t="inlineStr">
        <is>
          <t>NORRBOTTENS LÄN</t>
        </is>
      </c>
      <c r="E4896" t="inlineStr">
        <is>
          <t>ÖVERKALIX</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31209-2023</t>
        </is>
      </c>
      <c r="B4897" s="1" t="n">
        <v>45113.95096064815</v>
      </c>
      <c r="C4897" s="1" t="n">
        <v>45895</v>
      </c>
      <c r="D4897" t="inlineStr">
        <is>
          <t>NORRBOTTENS LÄN</t>
        </is>
      </c>
      <c r="E4897" t="inlineStr">
        <is>
          <t>JOKKMOKK</t>
        </is>
      </c>
      <c r="F4897" t="inlineStr">
        <is>
          <t>SCA</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3037-2021</t>
        </is>
      </c>
      <c r="B4898" s="1" t="n">
        <v>44216</v>
      </c>
      <c r="C4898" s="1" t="n">
        <v>45895</v>
      </c>
      <c r="D4898" t="inlineStr">
        <is>
          <t>NORRBOTTENS LÄN</t>
        </is>
      </c>
      <c r="E4898" t="inlineStr">
        <is>
          <t>KALIX</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61619-2024</t>
        </is>
      </c>
      <c r="B4899" s="1" t="n">
        <v>45646.65796296296</v>
      </c>
      <c r="C4899" s="1" t="n">
        <v>45895</v>
      </c>
      <c r="D4899" t="inlineStr">
        <is>
          <t>NORRBOTTENS LÄN</t>
        </is>
      </c>
      <c r="E4899" t="inlineStr">
        <is>
          <t>ÄLVSBYN</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32370-2025</t>
        </is>
      </c>
      <c r="B4900" s="1" t="n">
        <v>45837.67564814815</v>
      </c>
      <c r="C4900" s="1" t="n">
        <v>45895</v>
      </c>
      <c r="D4900" t="inlineStr">
        <is>
          <t>NORRBOTTENS LÄN</t>
        </is>
      </c>
      <c r="E4900" t="inlineStr">
        <is>
          <t>ÖVERKALIX</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2888-2025</t>
        </is>
      </c>
      <c r="B4901" s="1" t="n">
        <v>45677.7190625</v>
      </c>
      <c r="C4901" s="1" t="n">
        <v>45895</v>
      </c>
      <c r="D4901" t="inlineStr">
        <is>
          <t>NORRBOTTENS LÄN</t>
        </is>
      </c>
      <c r="E4901" t="inlineStr">
        <is>
          <t>PITEÅ</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42753-2022</t>
        </is>
      </c>
      <c r="B4902" s="1" t="n">
        <v>44832</v>
      </c>
      <c r="C4902" s="1" t="n">
        <v>45895</v>
      </c>
      <c r="D4902" t="inlineStr">
        <is>
          <t>NORRBOTTENS LÄN</t>
        </is>
      </c>
      <c r="E4902" t="inlineStr">
        <is>
          <t>LULEÅ</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19845-2021</t>
        </is>
      </c>
      <c r="B4903" s="1" t="n">
        <v>44312</v>
      </c>
      <c r="C4903" s="1" t="n">
        <v>45895</v>
      </c>
      <c r="D4903" t="inlineStr">
        <is>
          <t>NORRBOTTENS LÄN</t>
        </is>
      </c>
      <c r="E4903" t="inlineStr">
        <is>
          <t>ÖVERTORNEÅ</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28432-2022</t>
        </is>
      </c>
      <c r="B4904" s="1" t="n">
        <v>44747</v>
      </c>
      <c r="C4904" s="1" t="n">
        <v>45895</v>
      </c>
      <c r="D4904" t="inlineStr">
        <is>
          <t>NORRBOTTENS LÄN</t>
        </is>
      </c>
      <c r="E4904" t="inlineStr">
        <is>
          <t>BODEN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1192-2025</t>
        </is>
      </c>
      <c r="B4905" s="1" t="n">
        <v>45667.37363425926</v>
      </c>
      <c r="C4905" s="1" t="n">
        <v>45895</v>
      </c>
      <c r="D4905" t="inlineStr">
        <is>
          <t>NORRBOTTENS LÄN</t>
        </is>
      </c>
      <c r="E4905" t="inlineStr">
        <is>
          <t>BODEN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1205-2025</t>
        </is>
      </c>
      <c r="B4906" s="1" t="n">
        <v>45667.39547453704</v>
      </c>
      <c r="C4906" s="1" t="n">
        <v>45895</v>
      </c>
      <c r="D4906" t="inlineStr">
        <is>
          <t>NORRBOTTENS LÄN</t>
        </is>
      </c>
      <c r="E4906" t="inlineStr">
        <is>
          <t>BODEN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21421-2022</t>
        </is>
      </c>
      <c r="B4907" s="1" t="n">
        <v>44706</v>
      </c>
      <c r="C4907" s="1" t="n">
        <v>45895</v>
      </c>
      <c r="D4907" t="inlineStr">
        <is>
          <t>NORRBOTTENS LÄN</t>
        </is>
      </c>
      <c r="E4907" t="inlineStr">
        <is>
          <t>BODEN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291-2021</t>
        </is>
      </c>
      <c r="B4908" s="1" t="n">
        <v>44200</v>
      </c>
      <c r="C4908" s="1" t="n">
        <v>45895</v>
      </c>
      <c r="D4908" t="inlineStr">
        <is>
          <t>NORRBOTTENS LÄN</t>
        </is>
      </c>
      <c r="E4908" t="inlineStr">
        <is>
          <t>GÄLLIVARE</t>
        </is>
      </c>
      <c r="F4908" t="inlineStr">
        <is>
          <t>Allmännings- och besparingsskogar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23136-2024</t>
        </is>
      </c>
      <c r="B4909" s="1" t="n">
        <v>45450</v>
      </c>
      <c r="C4909" s="1" t="n">
        <v>45895</v>
      </c>
      <c r="D4909" t="inlineStr">
        <is>
          <t>NORRBOTTENS LÄN</t>
        </is>
      </c>
      <c r="E4909" t="inlineStr">
        <is>
          <t>ÄLVSBYN</t>
        </is>
      </c>
      <c r="F4909" t="inlineStr">
        <is>
          <t>Sveaskog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37664-2025</t>
        </is>
      </c>
      <c r="B4910" s="1" t="n">
        <v>45880.5109837963</v>
      </c>
      <c r="C4910" s="1" t="n">
        <v>45895</v>
      </c>
      <c r="D4910" t="inlineStr">
        <is>
          <t>NORRBOTTENS LÄN</t>
        </is>
      </c>
      <c r="E4910" t="inlineStr">
        <is>
          <t>PAJALA</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41180-2021</t>
        </is>
      </c>
      <c r="B4911" s="1" t="n">
        <v>44423</v>
      </c>
      <c r="C4911" s="1" t="n">
        <v>45895</v>
      </c>
      <c r="D4911" t="inlineStr">
        <is>
          <t>NORRBOTTENS LÄN</t>
        </is>
      </c>
      <c r="E4911" t="inlineStr">
        <is>
          <t>BODEN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35858-2025</t>
        </is>
      </c>
      <c r="B4912" s="1" t="n">
        <v>45861.63548611111</v>
      </c>
      <c r="C4912" s="1" t="n">
        <v>45895</v>
      </c>
      <c r="D4912" t="inlineStr">
        <is>
          <t>NORRBOTTENS LÄN</t>
        </is>
      </c>
      <c r="E4912" t="inlineStr">
        <is>
          <t>PAJALA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37156-2025</t>
        </is>
      </c>
      <c r="B4913" s="1" t="n">
        <v>45875</v>
      </c>
      <c r="C4913" s="1" t="n">
        <v>45895</v>
      </c>
      <c r="D4913" t="inlineStr">
        <is>
          <t>NORRBOTTENS LÄN</t>
        </is>
      </c>
      <c r="E4913" t="inlineStr">
        <is>
          <t>ÖVERTORNEÅ</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28150-2024</t>
        </is>
      </c>
      <c r="B4914" s="1" t="n">
        <v>45476.76228009259</v>
      </c>
      <c r="C4914" s="1" t="n">
        <v>45895</v>
      </c>
      <c r="D4914" t="inlineStr">
        <is>
          <t>NORRBOTTENS LÄN</t>
        </is>
      </c>
      <c r="E4914" t="inlineStr">
        <is>
          <t>LULEÅ</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37425-2025</t>
        </is>
      </c>
      <c r="B4915" s="1" t="n">
        <v>45877.49061342593</v>
      </c>
      <c r="C4915" s="1" t="n">
        <v>45895</v>
      </c>
      <c r="D4915" t="inlineStr">
        <is>
          <t>NORRBOTTENS LÄN</t>
        </is>
      </c>
      <c r="E4915" t="inlineStr">
        <is>
          <t>PAJALA</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4283-2025</t>
        </is>
      </c>
      <c r="B4916" s="1" t="n">
        <v>45685.64603009259</v>
      </c>
      <c r="C4916" s="1" t="n">
        <v>45895</v>
      </c>
      <c r="D4916" t="inlineStr">
        <is>
          <t>NORRBOTTENS LÄN</t>
        </is>
      </c>
      <c r="E4916" t="inlineStr">
        <is>
          <t>ÖVERTORNEÅ</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4286-2025</t>
        </is>
      </c>
      <c r="B4917" s="1" t="n">
        <v>45685</v>
      </c>
      <c r="C4917" s="1" t="n">
        <v>45895</v>
      </c>
      <c r="D4917" t="inlineStr">
        <is>
          <t>NORRBOTTENS LÄN</t>
        </is>
      </c>
      <c r="E4917" t="inlineStr">
        <is>
          <t>LULEÅ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14975-2025</t>
        </is>
      </c>
      <c r="B4918" s="1" t="n">
        <v>45743</v>
      </c>
      <c r="C4918" s="1" t="n">
        <v>45895</v>
      </c>
      <c r="D4918" t="inlineStr">
        <is>
          <t>NORRBOTTENS LÄN</t>
        </is>
      </c>
      <c r="E4918" t="inlineStr">
        <is>
          <t>GÄLLIVARE</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4329-2025</t>
        </is>
      </c>
      <c r="B4919" s="1" t="n">
        <v>45685</v>
      </c>
      <c r="C4919" s="1" t="n">
        <v>45895</v>
      </c>
      <c r="D4919" t="inlineStr">
        <is>
          <t>NORRBOTTENS LÄN</t>
        </is>
      </c>
      <c r="E4919" t="inlineStr">
        <is>
          <t>PITEÅ</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5703-2023</t>
        </is>
      </c>
      <c r="B4920" s="1" t="n">
        <v>44960.94230324074</v>
      </c>
      <c r="C4920" s="1" t="n">
        <v>45895</v>
      </c>
      <c r="D4920" t="inlineStr">
        <is>
          <t>NORRBOTTENS LÄN</t>
        </is>
      </c>
      <c r="E4920" t="inlineStr">
        <is>
          <t>ÖVERKALIX</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5706-2023</t>
        </is>
      </c>
      <c r="B4921" s="1" t="n">
        <v>44960.9424537037</v>
      </c>
      <c r="C4921" s="1" t="n">
        <v>45895</v>
      </c>
      <c r="D4921" t="inlineStr">
        <is>
          <t>NORRBOTTENS LÄN</t>
        </is>
      </c>
      <c r="E4921" t="inlineStr">
        <is>
          <t>PAJALA</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5707-2023</t>
        </is>
      </c>
      <c r="B4922" s="1" t="n">
        <v>44960</v>
      </c>
      <c r="C4922" s="1" t="n">
        <v>45895</v>
      </c>
      <c r="D4922" t="inlineStr">
        <is>
          <t>NORRBOTTENS LÄN</t>
        </is>
      </c>
      <c r="E4922" t="inlineStr">
        <is>
          <t>PAJALA</t>
        </is>
      </c>
      <c r="F4922" t="inlineStr">
        <is>
          <t>SCA</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61315-2022</t>
        </is>
      </c>
      <c r="B4923" s="1" t="n">
        <v>44909</v>
      </c>
      <c r="C4923" s="1" t="n">
        <v>45895</v>
      </c>
      <c r="D4923" t="inlineStr">
        <is>
          <t>NORRBOTTENS LÄN</t>
        </is>
      </c>
      <c r="E4923" t="inlineStr">
        <is>
          <t>LULEÅ</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6271-2024</t>
        </is>
      </c>
      <c r="B4924" s="1" t="n">
        <v>45337</v>
      </c>
      <c r="C4924" s="1" t="n">
        <v>45895</v>
      </c>
      <c r="D4924" t="inlineStr">
        <is>
          <t>NORRBOTTENS LÄN</t>
        </is>
      </c>
      <c r="E4924" t="inlineStr">
        <is>
          <t>GÄLLIVARE</t>
        </is>
      </c>
      <c r="G4924" t="n">
        <v>14.7</v>
      </c>
      <c r="H4924" t="n">
        <v>0</v>
      </c>
      <c r="I4924" t="n">
        <v>0</v>
      </c>
      <c r="J4924" t="n">
        <v>0</v>
      </c>
      <c r="K4924" t="n">
        <v>0</v>
      </c>
      <c r="L4924" t="n">
        <v>0</v>
      </c>
      <c r="M4924" t="n">
        <v>0</v>
      </c>
      <c r="N4924" t="n">
        <v>0</v>
      </c>
      <c r="O4924" t="n">
        <v>0</v>
      </c>
      <c r="P4924" t="n">
        <v>0</v>
      </c>
      <c r="Q4924" t="n">
        <v>0</v>
      </c>
      <c r="R4924" s="2" t="inlineStr"/>
    </row>
    <row r="4925" ht="15" customHeight="1">
      <c r="A4925" t="inlineStr">
        <is>
          <t>A 6272-2024</t>
        </is>
      </c>
      <c r="B4925" s="1" t="n">
        <v>45337</v>
      </c>
      <c r="C4925" s="1" t="n">
        <v>45895</v>
      </c>
      <c r="D4925" t="inlineStr">
        <is>
          <t>NORRBOTTENS LÄN</t>
        </is>
      </c>
      <c r="E4925" t="inlineStr">
        <is>
          <t>GÄLLIVARE</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36715-2021</t>
        </is>
      </c>
      <c r="B4926" s="1" t="n">
        <v>44392.54153935185</v>
      </c>
      <c r="C4926" s="1" t="n">
        <v>45895</v>
      </c>
      <c r="D4926" t="inlineStr">
        <is>
          <t>NORRBOTTENS LÄN</t>
        </is>
      </c>
      <c r="E4926" t="inlineStr">
        <is>
          <t>PAJALA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13714-2022</t>
        </is>
      </c>
      <c r="B4927" s="1" t="n">
        <v>44648</v>
      </c>
      <c r="C4927" s="1" t="n">
        <v>45895</v>
      </c>
      <c r="D4927" t="inlineStr">
        <is>
          <t>NORRBOTTENS LÄN</t>
        </is>
      </c>
      <c r="E4927" t="inlineStr">
        <is>
          <t>BODEN</t>
        </is>
      </c>
      <c r="F4927" t="inlineStr">
        <is>
          <t>Sveaskog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48009-2024</t>
        </is>
      </c>
      <c r="B4928" s="1" t="n">
        <v>45589</v>
      </c>
      <c r="C4928" s="1" t="n">
        <v>45895</v>
      </c>
      <c r="D4928" t="inlineStr">
        <is>
          <t>NORRBOTTENS LÄN</t>
        </is>
      </c>
      <c r="E4928" t="inlineStr">
        <is>
          <t>ARVIDSJAUR</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48037-2024</t>
        </is>
      </c>
      <c r="B4929" s="1" t="n">
        <v>45589.49346064815</v>
      </c>
      <c r="C4929" s="1" t="n">
        <v>45895</v>
      </c>
      <c r="D4929" t="inlineStr">
        <is>
          <t>NORRBOTTENS LÄN</t>
        </is>
      </c>
      <c r="E4929" t="inlineStr">
        <is>
          <t>ÖVERTORNEÅ</t>
        </is>
      </c>
      <c r="F4929" t="inlineStr">
        <is>
          <t>Kommuner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47195-2024</t>
        </is>
      </c>
      <c r="B4930" s="1" t="n">
        <v>45586.63122685185</v>
      </c>
      <c r="C4930" s="1" t="n">
        <v>45895</v>
      </c>
      <c r="D4930" t="inlineStr">
        <is>
          <t>NORRBOTTENS LÄN</t>
        </is>
      </c>
      <c r="E4930" t="inlineStr">
        <is>
          <t>PAJALA</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37594-2025</t>
        </is>
      </c>
      <c r="B4931" s="1" t="n">
        <v>45880.41603009259</v>
      </c>
      <c r="C4931" s="1" t="n">
        <v>45895</v>
      </c>
      <c r="D4931" t="inlineStr">
        <is>
          <t>NORRBOTTENS LÄN</t>
        </is>
      </c>
      <c r="E4931" t="inlineStr">
        <is>
          <t>GÄLLIVARE</t>
        </is>
      </c>
      <c r="F4931" t="inlineStr">
        <is>
          <t>Sveaskog</t>
        </is>
      </c>
      <c r="G4931" t="n">
        <v>13.3</v>
      </c>
      <c r="H4931" t="n">
        <v>0</v>
      </c>
      <c r="I4931" t="n">
        <v>0</v>
      </c>
      <c r="J4931" t="n">
        <v>0</v>
      </c>
      <c r="K4931" t="n">
        <v>0</v>
      </c>
      <c r="L4931" t="n">
        <v>0</v>
      </c>
      <c r="M4931" t="n">
        <v>0</v>
      </c>
      <c r="N4931" t="n">
        <v>0</v>
      </c>
      <c r="O4931" t="n">
        <v>0</v>
      </c>
      <c r="P4931" t="n">
        <v>0</v>
      </c>
      <c r="Q4931" t="n">
        <v>0</v>
      </c>
      <c r="R4931" s="2" t="inlineStr"/>
    </row>
    <row r="4932" ht="15" customHeight="1">
      <c r="A4932" t="inlineStr">
        <is>
          <t>A 32377-2025</t>
        </is>
      </c>
      <c r="B4932" s="1" t="n">
        <v>45837.7256712963</v>
      </c>
      <c r="C4932" s="1" t="n">
        <v>45895</v>
      </c>
      <c r="D4932" t="inlineStr">
        <is>
          <t>NORRBOTTENS LÄN</t>
        </is>
      </c>
      <c r="E4932" t="inlineStr">
        <is>
          <t>ÖVERKALIX</t>
        </is>
      </c>
      <c r="G4932" t="n">
        <v>8.5</v>
      </c>
      <c r="H4932" t="n">
        <v>0</v>
      </c>
      <c r="I4932" t="n">
        <v>0</v>
      </c>
      <c r="J4932" t="n">
        <v>0</v>
      </c>
      <c r="K4932" t="n">
        <v>0</v>
      </c>
      <c r="L4932" t="n">
        <v>0</v>
      </c>
      <c r="M4932" t="n">
        <v>0</v>
      </c>
      <c r="N4932" t="n">
        <v>0</v>
      </c>
      <c r="O4932" t="n">
        <v>0</v>
      </c>
      <c r="P4932" t="n">
        <v>0</v>
      </c>
      <c r="Q4932" t="n">
        <v>0</v>
      </c>
      <c r="R4932" s="2" t="inlineStr"/>
    </row>
    <row r="4933" ht="15" customHeight="1">
      <c r="A4933" t="inlineStr">
        <is>
          <t>A 59183-2024</t>
        </is>
      </c>
      <c r="B4933" s="1" t="n">
        <v>45637.52493055556</v>
      </c>
      <c r="C4933" s="1" t="n">
        <v>45895</v>
      </c>
      <c r="D4933" t="inlineStr">
        <is>
          <t>NORRBOTTENS LÄN</t>
        </is>
      </c>
      <c r="E4933" t="inlineStr">
        <is>
          <t>ÖVERKALIX</t>
        </is>
      </c>
      <c r="G4933" t="n">
        <v>16.9</v>
      </c>
      <c r="H4933" t="n">
        <v>0</v>
      </c>
      <c r="I4933" t="n">
        <v>0</v>
      </c>
      <c r="J4933" t="n">
        <v>0</v>
      </c>
      <c r="K4933" t="n">
        <v>0</v>
      </c>
      <c r="L4933" t="n">
        <v>0</v>
      </c>
      <c r="M4933" t="n">
        <v>0</v>
      </c>
      <c r="N4933" t="n">
        <v>0</v>
      </c>
      <c r="O4933" t="n">
        <v>0</v>
      </c>
      <c r="P4933" t="n">
        <v>0</v>
      </c>
      <c r="Q4933" t="n">
        <v>0</v>
      </c>
      <c r="R4933" s="2" t="inlineStr"/>
    </row>
    <row r="4934" ht="15" customHeight="1">
      <c r="A4934" t="inlineStr">
        <is>
          <t>A 47199-2024</t>
        </is>
      </c>
      <c r="B4934" s="1" t="n">
        <v>45586</v>
      </c>
      <c r="C4934" s="1" t="n">
        <v>45895</v>
      </c>
      <c r="D4934" t="inlineStr">
        <is>
          <t>NORRBOTTENS LÄN</t>
        </is>
      </c>
      <c r="E4934" t="inlineStr">
        <is>
          <t>PAJALA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11178-2023</t>
        </is>
      </c>
      <c r="B4935" s="1" t="n">
        <v>44987</v>
      </c>
      <c r="C4935" s="1" t="n">
        <v>45895</v>
      </c>
      <c r="D4935" t="inlineStr">
        <is>
          <t>NORRBOTTENS LÄN</t>
        </is>
      </c>
      <c r="E4935" t="inlineStr">
        <is>
          <t>LULEÅ</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53785-2022</t>
        </is>
      </c>
      <c r="B4936" s="1" t="n">
        <v>44875</v>
      </c>
      <c r="C4936" s="1" t="n">
        <v>45895</v>
      </c>
      <c r="D4936" t="inlineStr">
        <is>
          <t>NORRBOTTENS LÄN</t>
        </is>
      </c>
      <c r="E4936" t="inlineStr">
        <is>
          <t>GÄLLIVARE</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37721-2025</t>
        </is>
      </c>
      <c r="B4937" s="1" t="n">
        <v>45880.61523148148</v>
      </c>
      <c r="C4937" s="1" t="n">
        <v>45895</v>
      </c>
      <c r="D4937" t="inlineStr">
        <is>
          <t>NORRBOTTENS LÄN</t>
        </is>
      </c>
      <c r="E4937" t="inlineStr">
        <is>
          <t>PITEÅ</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53840-2022</t>
        </is>
      </c>
      <c r="B4938" s="1" t="n">
        <v>44880.59427083333</v>
      </c>
      <c r="C4938" s="1" t="n">
        <v>45895</v>
      </c>
      <c r="D4938" t="inlineStr">
        <is>
          <t>NORRBOTTENS LÄN</t>
        </is>
      </c>
      <c r="E4938" t="inlineStr">
        <is>
          <t>BODEN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9969-2023</t>
        </is>
      </c>
      <c r="B4939" s="1" t="n">
        <v>44979</v>
      </c>
      <c r="C4939" s="1" t="n">
        <v>45895</v>
      </c>
      <c r="D4939" t="inlineStr">
        <is>
          <t>NORRBOTTENS LÄN</t>
        </is>
      </c>
      <c r="E4939" t="inlineStr">
        <is>
          <t>BODEN</t>
        </is>
      </c>
      <c r="F4939" t="inlineStr">
        <is>
          <t>Övriga statliga verk och myndigheter</t>
        </is>
      </c>
      <c r="G4939" t="n">
        <v>18.8</v>
      </c>
      <c r="H4939" t="n">
        <v>0</v>
      </c>
      <c r="I4939" t="n">
        <v>0</v>
      </c>
      <c r="J4939" t="n">
        <v>0</v>
      </c>
      <c r="K4939" t="n">
        <v>0</v>
      </c>
      <c r="L4939" t="n">
        <v>0</v>
      </c>
      <c r="M4939" t="n">
        <v>0</v>
      </c>
      <c r="N4939" t="n">
        <v>0</v>
      </c>
      <c r="O4939" t="n">
        <v>0</v>
      </c>
      <c r="P4939" t="n">
        <v>0</v>
      </c>
      <c r="Q4939" t="n">
        <v>0</v>
      </c>
      <c r="R4939" s="2" t="inlineStr"/>
    </row>
    <row r="4940" ht="15" customHeight="1">
      <c r="A4940" t="inlineStr">
        <is>
          <t>A 12794-2023</t>
        </is>
      </c>
      <c r="B4940" s="1" t="n">
        <v>45001</v>
      </c>
      <c r="C4940" s="1" t="n">
        <v>45895</v>
      </c>
      <c r="D4940" t="inlineStr">
        <is>
          <t>NORRBOTTENS LÄN</t>
        </is>
      </c>
      <c r="E4940" t="inlineStr">
        <is>
          <t>ARVIDSJAUR</t>
        </is>
      </c>
      <c r="F4940" t="inlineStr">
        <is>
          <t>Sveaskog</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37279-2025</t>
        </is>
      </c>
      <c r="B4941" s="1" t="n">
        <v>45876</v>
      </c>
      <c r="C4941" s="1" t="n">
        <v>45895</v>
      </c>
      <c r="D4941" t="inlineStr">
        <is>
          <t>NORRBOTTENS LÄN</t>
        </is>
      </c>
      <c r="E4941" t="inlineStr">
        <is>
          <t>GÄLLIVARE</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4961-2025</t>
        </is>
      </c>
      <c r="B4942" s="1" t="n">
        <v>45689.81684027778</v>
      </c>
      <c r="C4942" s="1" t="n">
        <v>45895</v>
      </c>
      <c r="D4942" t="inlineStr">
        <is>
          <t>NORRBOTTENS LÄN</t>
        </is>
      </c>
      <c r="E4942" t="inlineStr">
        <is>
          <t>ÖVERKALIX</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28803-2024</t>
        </is>
      </c>
      <c r="B4943" s="1" t="n">
        <v>45478</v>
      </c>
      <c r="C4943" s="1" t="n">
        <v>45895</v>
      </c>
      <c r="D4943" t="inlineStr">
        <is>
          <t>NORRBOTTENS LÄN</t>
        </is>
      </c>
      <c r="E4943" t="inlineStr">
        <is>
          <t>ARVIDSJAUR</t>
        </is>
      </c>
      <c r="F4943" t="inlineStr">
        <is>
          <t>Övriga Aktiebolag</t>
        </is>
      </c>
      <c r="G4943" t="n">
        <v>16.5</v>
      </c>
      <c r="H4943" t="n">
        <v>0</v>
      </c>
      <c r="I4943" t="n">
        <v>0</v>
      </c>
      <c r="J4943" t="n">
        <v>0</v>
      </c>
      <c r="K4943" t="n">
        <v>0</v>
      </c>
      <c r="L4943" t="n">
        <v>0</v>
      </c>
      <c r="M4943" t="n">
        <v>0</v>
      </c>
      <c r="N4943" t="n">
        <v>0</v>
      </c>
      <c r="O4943" t="n">
        <v>0</v>
      </c>
      <c r="P4943" t="n">
        <v>0</v>
      </c>
      <c r="Q4943" t="n">
        <v>0</v>
      </c>
      <c r="R4943" s="2" t="inlineStr"/>
    </row>
    <row r="4944" ht="15" customHeight="1">
      <c r="A4944" t="inlineStr">
        <is>
          <t>A 5038-2025</t>
        </is>
      </c>
      <c r="B4944" s="1" t="n">
        <v>45691.42896990741</v>
      </c>
      <c r="C4944" s="1" t="n">
        <v>45895</v>
      </c>
      <c r="D4944" t="inlineStr">
        <is>
          <t>NORRBOTTENS LÄN</t>
        </is>
      </c>
      <c r="E4944" t="inlineStr">
        <is>
          <t>LULEÅ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25698-2024</t>
        </is>
      </c>
      <c r="B4945" s="1" t="n">
        <v>45463.94219907407</v>
      </c>
      <c r="C4945" s="1" t="n">
        <v>45895</v>
      </c>
      <c r="D4945" t="inlineStr">
        <is>
          <t>NORRBOTTENS LÄN</t>
        </is>
      </c>
      <c r="E4945" t="inlineStr">
        <is>
          <t>ÖVERKALIX</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5051-2025</t>
        </is>
      </c>
      <c r="B4946" s="1" t="n">
        <v>45691.45101851852</v>
      </c>
      <c r="C4946" s="1" t="n">
        <v>45895</v>
      </c>
      <c r="D4946" t="inlineStr">
        <is>
          <t>NORRBOTTENS LÄN</t>
        </is>
      </c>
      <c r="E4946" t="inlineStr">
        <is>
          <t>LULEÅ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23019-2023</t>
        </is>
      </c>
      <c r="B4947" s="1" t="n">
        <v>45073</v>
      </c>
      <c r="C4947" s="1" t="n">
        <v>45895</v>
      </c>
      <c r="D4947" t="inlineStr">
        <is>
          <t>NORRBOTTENS LÄN</t>
        </is>
      </c>
      <c r="E4947" t="inlineStr">
        <is>
          <t>JOKKMOKK</t>
        </is>
      </c>
      <c r="F4947" t="inlineStr">
        <is>
          <t>SCA</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37652-2025</t>
        </is>
      </c>
      <c r="B4948" s="1" t="n">
        <v>45880.49027777778</v>
      </c>
      <c r="C4948" s="1" t="n">
        <v>45895</v>
      </c>
      <c r="D4948" t="inlineStr">
        <is>
          <t>NORRBOTTENS LÄN</t>
        </is>
      </c>
      <c r="E4948" t="inlineStr">
        <is>
          <t>GÄLLIVARE</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32458-2025</t>
        </is>
      </c>
      <c r="B4949" s="1" t="n">
        <v>45838.41445601852</v>
      </c>
      <c r="C4949" s="1" t="n">
        <v>45895</v>
      </c>
      <c r="D4949" t="inlineStr">
        <is>
          <t>NORRBOTTENS LÄN</t>
        </is>
      </c>
      <c r="E4949" t="inlineStr">
        <is>
          <t>LULEÅ</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34510-2021</t>
        </is>
      </c>
      <c r="B4950" s="1" t="n">
        <v>44382</v>
      </c>
      <c r="C4950" s="1" t="n">
        <v>45895</v>
      </c>
      <c r="D4950" t="inlineStr">
        <is>
          <t>NORRBOTTENS LÄN</t>
        </is>
      </c>
      <c r="E4950" t="inlineStr">
        <is>
          <t>ARVIDSJAUR</t>
        </is>
      </c>
      <c r="F4950" t="inlineStr">
        <is>
          <t>Sveaskog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32544-2025</t>
        </is>
      </c>
      <c r="B4951" s="1" t="n">
        <v>45838.53458333333</v>
      </c>
      <c r="C4951" s="1" t="n">
        <v>45895</v>
      </c>
      <c r="D4951" t="inlineStr">
        <is>
          <t>NORRBOTTENS LÄN</t>
        </is>
      </c>
      <c r="E4951" t="inlineStr">
        <is>
          <t>PAJALA</t>
        </is>
      </c>
      <c r="F4951" t="inlineStr">
        <is>
          <t>Sveaskog</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35843-2021</t>
        </is>
      </c>
      <c r="B4952" s="1" t="n">
        <v>44386</v>
      </c>
      <c r="C4952" s="1" t="n">
        <v>45895</v>
      </c>
      <c r="D4952" t="inlineStr">
        <is>
          <t>NORRBOTTENS LÄN</t>
        </is>
      </c>
      <c r="E4952" t="inlineStr">
        <is>
          <t>BODEN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877-2023</t>
        </is>
      </c>
      <c r="B4953" s="1" t="n">
        <v>44931</v>
      </c>
      <c r="C4953" s="1" t="n">
        <v>45895</v>
      </c>
      <c r="D4953" t="inlineStr">
        <is>
          <t>NORRBOTTENS LÄN</t>
        </is>
      </c>
      <c r="E4953" t="inlineStr">
        <is>
          <t>BODEN</t>
        </is>
      </c>
      <c r="G4953" t="n">
        <v>8.699999999999999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48577-2023</t>
        </is>
      </c>
      <c r="B4954" s="1" t="n">
        <v>45208</v>
      </c>
      <c r="C4954" s="1" t="n">
        <v>45895</v>
      </c>
      <c r="D4954" t="inlineStr">
        <is>
          <t>NORRBOTTENS LÄN</t>
        </is>
      </c>
      <c r="E4954" t="inlineStr">
        <is>
          <t>ÖVERKALIX</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17438-2023</t>
        </is>
      </c>
      <c r="B4955" s="1" t="n">
        <v>45035.92709490741</v>
      </c>
      <c r="C4955" s="1" t="n">
        <v>45895</v>
      </c>
      <c r="D4955" t="inlineStr">
        <is>
          <t>NORRBOTTENS LÄN</t>
        </is>
      </c>
      <c r="E4955" t="inlineStr">
        <is>
          <t>LULEÅ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45059-2024</t>
        </is>
      </c>
      <c r="B4956" s="1" t="n">
        <v>45575.55498842592</v>
      </c>
      <c r="C4956" s="1" t="n">
        <v>45895</v>
      </c>
      <c r="D4956" t="inlineStr">
        <is>
          <t>NORRBOTTENS LÄN</t>
        </is>
      </c>
      <c r="E4956" t="inlineStr">
        <is>
          <t>ARVIDSJAUR</t>
        </is>
      </c>
      <c r="F4956" t="inlineStr">
        <is>
          <t>Sveaskog</t>
        </is>
      </c>
      <c r="G4956" t="n">
        <v>14.9</v>
      </c>
      <c r="H4956" t="n">
        <v>0</v>
      </c>
      <c r="I4956" t="n">
        <v>0</v>
      </c>
      <c r="J4956" t="n">
        <v>0</v>
      </c>
      <c r="K4956" t="n">
        <v>0</v>
      </c>
      <c r="L4956" t="n">
        <v>0</v>
      </c>
      <c r="M4956" t="n">
        <v>0</v>
      </c>
      <c r="N4956" t="n">
        <v>0</v>
      </c>
      <c r="O4956" t="n">
        <v>0</v>
      </c>
      <c r="P4956" t="n">
        <v>0</v>
      </c>
      <c r="Q4956" t="n">
        <v>0</v>
      </c>
      <c r="R4956" s="2" t="inlineStr"/>
    </row>
    <row r="4957" ht="15" customHeight="1">
      <c r="A4957" t="inlineStr">
        <is>
          <t>A 35276-2024</t>
        </is>
      </c>
      <c r="B4957" s="1" t="n">
        <v>45530</v>
      </c>
      <c r="C4957" s="1" t="n">
        <v>45895</v>
      </c>
      <c r="D4957" t="inlineStr">
        <is>
          <t>NORRBOTTENS LÄN</t>
        </is>
      </c>
      <c r="E4957" t="inlineStr">
        <is>
          <t>PAJALA</t>
        </is>
      </c>
      <c r="F4957" t="inlineStr">
        <is>
          <t>Allmännings- och besparingsskogar</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4011-2022</t>
        </is>
      </c>
      <c r="B4958" s="1" t="n">
        <v>44587</v>
      </c>
      <c r="C4958" s="1" t="n">
        <v>45895</v>
      </c>
      <c r="D4958" t="inlineStr">
        <is>
          <t>NORRBOTTENS LÄN</t>
        </is>
      </c>
      <c r="E4958" t="inlineStr">
        <is>
          <t>ÖVERTORNEÅ</t>
        </is>
      </c>
      <c r="F4958" t="inlineStr">
        <is>
          <t>Kommuner</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4135-2022</t>
        </is>
      </c>
      <c r="B4959" s="1" t="n">
        <v>44588</v>
      </c>
      <c r="C4959" s="1" t="n">
        <v>45895</v>
      </c>
      <c r="D4959" t="inlineStr">
        <is>
          <t>NORRBOTTENS LÄN</t>
        </is>
      </c>
      <c r="E4959" t="inlineStr">
        <is>
          <t>GÄLLIVARE</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46910-2024</t>
        </is>
      </c>
      <c r="B4960" s="1" t="n">
        <v>45583</v>
      </c>
      <c r="C4960" s="1" t="n">
        <v>45895</v>
      </c>
      <c r="D4960" t="inlineStr">
        <is>
          <t>NORRBOTTENS LÄN</t>
        </is>
      </c>
      <c r="E4960" t="inlineStr">
        <is>
          <t>ARJEPLOG</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15532-2025</t>
        </is>
      </c>
      <c r="B4961" s="1" t="n">
        <v>45747.63590277778</v>
      </c>
      <c r="C4961" s="1" t="n">
        <v>45895</v>
      </c>
      <c r="D4961" t="inlineStr">
        <is>
          <t>NORRBOTTENS LÄN</t>
        </is>
      </c>
      <c r="E4961" t="inlineStr">
        <is>
          <t>PITEÅ</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30870-2023</t>
        </is>
      </c>
      <c r="B4962" s="1" t="n">
        <v>45113</v>
      </c>
      <c r="C4962" s="1" t="n">
        <v>45895</v>
      </c>
      <c r="D4962" t="inlineStr">
        <is>
          <t>NORRBOTTENS LÄN</t>
        </is>
      </c>
      <c r="E4962" t="inlineStr">
        <is>
          <t>ARJEPLOG</t>
        </is>
      </c>
      <c r="F4962" t="inlineStr">
        <is>
          <t>Allmännings- och besparingsskogar</t>
        </is>
      </c>
      <c r="G4962" t="n">
        <v>25.5</v>
      </c>
      <c r="H4962" t="n">
        <v>0</v>
      </c>
      <c r="I4962" t="n">
        <v>0</v>
      </c>
      <c r="J4962" t="n">
        <v>0</v>
      </c>
      <c r="K4962" t="n">
        <v>0</v>
      </c>
      <c r="L4962" t="n">
        <v>0</v>
      </c>
      <c r="M4962" t="n">
        <v>0</v>
      </c>
      <c r="N4962" t="n">
        <v>0</v>
      </c>
      <c r="O4962" t="n">
        <v>0</v>
      </c>
      <c r="P4962" t="n">
        <v>0</v>
      </c>
      <c r="Q4962" t="n">
        <v>0</v>
      </c>
      <c r="R4962" s="2" t="inlineStr"/>
    </row>
    <row r="4963" ht="15" customHeight="1">
      <c r="A4963" t="inlineStr">
        <is>
          <t>A 44431-2024</t>
        </is>
      </c>
      <c r="B4963" s="1" t="n">
        <v>45574.27649305556</v>
      </c>
      <c r="C4963" s="1" t="n">
        <v>45895</v>
      </c>
      <c r="D4963" t="inlineStr">
        <is>
          <t>NORRBOTTENS LÄN</t>
        </is>
      </c>
      <c r="E4963" t="inlineStr">
        <is>
          <t>ÖVERTORNEÅ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33023-2025</t>
        </is>
      </c>
      <c r="B4964" s="1" t="n">
        <v>45840.37375</v>
      </c>
      <c r="C4964" s="1" t="n">
        <v>45895</v>
      </c>
      <c r="D4964" t="inlineStr">
        <is>
          <t>NORRBOTTENS LÄN</t>
        </is>
      </c>
      <c r="E4964" t="inlineStr">
        <is>
          <t>BODEN</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4395-2025</t>
        </is>
      </c>
      <c r="B4965" s="1" t="n">
        <v>45686.42519675926</v>
      </c>
      <c r="C4965" s="1" t="n">
        <v>45895</v>
      </c>
      <c r="D4965" t="inlineStr">
        <is>
          <t>NORRBOTTENS LÄN</t>
        </is>
      </c>
      <c r="E4965" t="inlineStr">
        <is>
          <t>BODEN</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33024-2025</t>
        </is>
      </c>
      <c r="B4966" s="1" t="n">
        <v>45840.37756944444</v>
      </c>
      <c r="C4966" s="1" t="n">
        <v>45895</v>
      </c>
      <c r="D4966" t="inlineStr">
        <is>
          <t>NORRBOTTENS LÄN</t>
        </is>
      </c>
      <c r="E4966" t="inlineStr">
        <is>
          <t>BODEN</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37854-2025</t>
        </is>
      </c>
      <c r="B4967" s="1" t="n">
        <v>45881.45475694445</v>
      </c>
      <c r="C4967" s="1" t="n">
        <v>45895</v>
      </c>
      <c r="D4967" t="inlineStr">
        <is>
          <t>NORRBOTTENS LÄN</t>
        </is>
      </c>
      <c r="E4967" t="inlineStr">
        <is>
          <t>BODEN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33226-2025</t>
        </is>
      </c>
      <c r="B4968" s="1" t="n">
        <v>45840.63622685185</v>
      </c>
      <c r="C4968" s="1" t="n">
        <v>45895</v>
      </c>
      <c r="D4968" t="inlineStr">
        <is>
          <t>NORRBOTTENS LÄN</t>
        </is>
      </c>
      <c r="E4968" t="inlineStr">
        <is>
          <t>GÄLLIVARE</t>
        </is>
      </c>
      <c r="F4968" t="inlineStr">
        <is>
          <t>SCA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38049-2025</t>
        </is>
      </c>
      <c r="B4969" s="1" t="n">
        <v>45882.40704861111</v>
      </c>
      <c r="C4969" s="1" t="n">
        <v>45895</v>
      </c>
      <c r="D4969" t="inlineStr">
        <is>
          <t>NORRBOTTENS LÄN</t>
        </is>
      </c>
      <c r="E4969" t="inlineStr">
        <is>
          <t>GÄLLIVARE</t>
        </is>
      </c>
      <c r="F4969" t="inlineStr">
        <is>
          <t>SCA</t>
        </is>
      </c>
      <c r="G4969" t="n">
        <v>11.2</v>
      </c>
      <c r="H4969" t="n">
        <v>0</v>
      </c>
      <c r="I4969" t="n">
        <v>0</v>
      </c>
      <c r="J4969" t="n">
        <v>0</v>
      </c>
      <c r="K4969" t="n">
        <v>0</v>
      </c>
      <c r="L4969" t="n">
        <v>0</v>
      </c>
      <c r="M4969" t="n">
        <v>0</v>
      </c>
      <c r="N4969" t="n">
        <v>0</v>
      </c>
      <c r="O4969" t="n">
        <v>0</v>
      </c>
      <c r="P4969" t="n">
        <v>0</v>
      </c>
      <c r="Q4969" t="n">
        <v>0</v>
      </c>
      <c r="R4969" s="2" t="inlineStr"/>
    </row>
    <row r="4970" ht="15" customHeight="1">
      <c r="A4970" t="inlineStr">
        <is>
          <t>A 32775-2025</t>
        </is>
      </c>
      <c r="B4970" s="1" t="n">
        <v>45839.46466435185</v>
      </c>
      <c r="C4970" s="1" t="n">
        <v>45895</v>
      </c>
      <c r="D4970" t="inlineStr">
        <is>
          <t>NORRBOTTENS LÄN</t>
        </is>
      </c>
      <c r="E4970" t="inlineStr">
        <is>
          <t>BODEN</t>
        </is>
      </c>
      <c r="G4970" t="n">
        <v>13.6</v>
      </c>
      <c r="H4970" t="n">
        <v>0</v>
      </c>
      <c r="I4970" t="n">
        <v>0</v>
      </c>
      <c r="J4970" t="n">
        <v>0</v>
      </c>
      <c r="K4970" t="n">
        <v>0</v>
      </c>
      <c r="L4970" t="n">
        <v>0</v>
      </c>
      <c r="M4970" t="n">
        <v>0</v>
      </c>
      <c r="N4970" t="n">
        <v>0</v>
      </c>
      <c r="O4970" t="n">
        <v>0</v>
      </c>
      <c r="P4970" t="n">
        <v>0</v>
      </c>
      <c r="Q4970" t="n">
        <v>0</v>
      </c>
      <c r="R4970" s="2" t="inlineStr"/>
    </row>
    <row r="4971" ht="15" customHeight="1">
      <c r="A4971" t="inlineStr">
        <is>
          <t>A 32990-2025</t>
        </is>
      </c>
      <c r="B4971" s="1" t="n">
        <v>45840.3191087963</v>
      </c>
      <c r="C4971" s="1" t="n">
        <v>45895</v>
      </c>
      <c r="D4971" t="inlineStr">
        <is>
          <t>NORRBOTTENS LÄN</t>
        </is>
      </c>
      <c r="E4971" t="inlineStr">
        <is>
          <t>ARVIDSJAUR</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64554-2023</t>
        </is>
      </c>
      <c r="B4972" s="1" t="n">
        <v>45281.40275462963</v>
      </c>
      <c r="C4972" s="1" t="n">
        <v>45895</v>
      </c>
      <c r="D4972" t="inlineStr">
        <is>
          <t>NORRBOTTENS LÄN</t>
        </is>
      </c>
      <c r="E4972" t="inlineStr">
        <is>
          <t>ÖVERTORNEÅ</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64822-2023</t>
        </is>
      </c>
      <c r="B4973" s="1" t="n">
        <v>45281</v>
      </c>
      <c r="C4973" s="1" t="n">
        <v>45895</v>
      </c>
      <c r="D4973" t="inlineStr">
        <is>
          <t>NORRBOTTENS LÄN</t>
        </is>
      </c>
      <c r="E4973" t="inlineStr">
        <is>
          <t>ARJEPLOG</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33248-2025</t>
        </is>
      </c>
      <c r="B4974" s="1" t="n">
        <v>45840</v>
      </c>
      <c r="C4974" s="1" t="n">
        <v>45895</v>
      </c>
      <c r="D4974" t="inlineStr">
        <is>
          <t>NORRBOTTENS LÄN</t>
        </is>
      </c>
      <c r="E4974" t="inlineStr">
        <is>
          <t>PAJALA</t>
        </is>
      </c>
      <c r="F4974" t="inlineStr">
        <is>
          <t>Allmännings- och besparingsskogar</t>
        </is>
      </c>
      <c r="G4974" t="n">
        <v>24.2</v>
      </c>
      <c r="H4974" t="n">
        <v>0</v>
      </c>
      <c r="I4974" t="n">
        <v>0</v>
      </c>
      <c r="J4974" t="n">
        <v>0</v>
      </c>
      <c r="K4974" t="n">
        <v>0</v>
      </c>
      <c r="L4974" t="n">
        <v>0</v>
      </c>
      <c r="M4974" t="n">
        <v>0</v>
      </c>
      <c r="N4974" t="n">
        <v>0</v>
      </c>
      <c r="O4974" t="n">
        <v>0</v>
      </c>
      <c r="P4974" t="n">
        <v>0</v>
      </c>
      <c r="Q4974" t="n">
        <v>0</v>
      </c>
      <c r="R4974" s="2" t="inlineStr"/>
    </row>
    <row r="4975" ht="15" customHeight="1">
      <c r="A4975" t="inlineStr">
        <is>
          <t>A 32460-2025</t>
        </is>
      </c>
      <c r="B4975" s="1" t="n">
        <v>45838.41540509259</v>
      </c>
      <c r="C4975" s="1" t="n">
        <v>45895</v>
      </c>
      <c r="D4975" t="inlineStr">
        <is>
          <t>NORRBOTTENS LÄN</t>
        </is>
      </c>
      <c r="E4975" t="inlineStr">
        <is>
          <t>LULEÅ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32715-2025</t>
        </is>
      </c>
      <c r="B4976" s="1" t="n">
        <v>45839.37099537037</v>
      </c>
      <c r="C4976" s="1" t="n">
        <v>45895</v>
      </c>
      <c r="D4976" t="inlineStr">
        <is>
          <t>NORRBOTTENS LÄN</t>
        </is>
      </c>
      <c r="E4976" t="inlineStr">
        <is>
          <t>ÖVERKALIX</t>
        </is>
      </c>
      <c r="F4976" t="inlineStr">
        <is>
          <t>Sveaskog</t>
        </is>
      </c>
      <c r="G4976" t="n">
        <v>24.5</v>
      </c>
      <c r="H4976" t="n">
        <v>0</v>
      </c>
      <c r="I4976" t="n">
        <v>0</v>
      </c>
      <c r="J4976" t="n">
        <v>0</v>
      </c>
      <c r="K4976" t="n">
        <v>0</v>
      </c>
      <c r="L4976" t="n">
        <v>0</v>
      </c>
      <c r="M4976" t="n">
        <v>0</v>
      </c>
      <c r="N4976" t="n">
        <v>0</v>
      </c>
      <c r="O4976" t="n">
        <v>0</v>
      </c>
      <c r="P4976" t="n">
        <v>0</v>
      </c>
      <c r="Q4976" t="n">
        <v>0</v>
      </c>
      <c r="R4976" s="2" t="inlineStr"/>
    </row>
    <row r="4977" ht="15" customHeight="1">
      <c r="A4977" t="inlineStr">
        <is>
          <t>A 58370-2023</t>
        </is>
      </c>
      <c r="B4977" s="1" t="n">
        <v>45250</v>
      </c>
      <c r="C4977" s="1" t="n">
        <v>45895</v>
      </c>
      <c r="D4977" t="inlineStr">
        <is>
          <t>NORRBOTTENS LÄN</t>
        </is>
      </c>
      <c r="E4977" t="inlineStr">
        <is>
          <t>ARJEPLOG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10652-2022</t>
        </is>
      </c>
      <c r="B4978" s="1" t="n">
        <v>44624</v>
      </c>
      <c r="C4978" s="1" t="n">
        <v>45895</v>
      </c>
      <c r="D4978" t="inlineStr">
        <is>
          <t>NORRBOTTENS LÄN</t>
        </is>
      </c>
      <c r="E4978" t="inlineStr">
        <is>
          <t>GÄLLIVARE</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32708-2025</t>
        </is>
      </c>
      <c r="B4979" s="1" t="n">
        <v>45839.36539351852</v>
      </c>
      <c r="C4979" s="1" t="n">
        <v>45895</v>
      </c>
      <c r="D4979" t="inlineStr">
        <is>
          <t>NORRBOTTENS LÄN</t>
        </is>
      </c>
      <c r="E4979" t="inlineStr">
        <is>
          <t>ÖVERKALIX</t>
        </is>
      </c>
      <c r="F4979" t="inlineStr">
        <is>
          <t>Sveaskog</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33174-2025</t>
        </is>
      </c>
      <c r="B4980" s="1" t="n">
        <v>45840.585625</v>
      </c>
      <c r="C4980" s="1" t="n">
        <v>45895</v>
      </c>
      <c r="D4980" t="inlineStr">
        <is>
          <t>NORRBOTTENS LÄN</t>
        </is>
      </c>
      <c r="E4980" t="inlineStr">
        <is>
          <t>ARVIDSJAUR</t>
        </is>
      </c>
      <c r="F4980" t="inlineStr">
        <is>
          <t>Sveaskog</t>
        </is>
      </c>
      <c r="G4980" t="n">
        <v>26.3</v>
      </c>
      <c r="H4980" t="n">
        <v>0</v>
      </c>
      <c r="I4980" t="n">
        <v>0</v>
      </c>
      <c r="J4980" t="n">
        <v>0</v>
      </c>
      <c r="K4980" t="n">
        <v>0</v>
      </c>
      <c r="L4980" t="n">
        <v>0</v>
      </c>
      <c r="M4980" t="n">
        <v>0</v>
      </c>
      <c r="N4980" t="n">
        <v>0</v>
      </c>
      <c r="O4980" t="n">
        <v>0</v>
      </c>
      <c r="P4980" t="n">
        <v>0</v>
      </c>
      <c r="Q4980" t="n">
        <v>0</v>
      </c>
      <c r="R4980" s="2" t="inlineStr"/>
    </row>
    <row r="4981" ht="15" customHeight="1">
      <c r="A4981" t="inlineStr">
        <is>
          <t>A 45698-2024</t>
        </is>
      </c>
      <c r="B4981" s="1" t="n">
        <v>45579</v>
      </c>
      <c r="C4981" s="1" t="n">
        <v>45895</v>
      </c>
      <c r="D4981" t="inlineStr">
        <is>
          <t>NORRBOTTENS LÄN</t>
        </is>
      </c>
      <c r="E4981" t="inlineStr">
        <is>
          <t>ÖVERTORNEÅ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34370-2021</t>
        </is>
      </c>
      <c r="B4982" s="1" t="n">
        <v>44379</v>
      </c>
      <c r="C4982" s="1" t="n">
        <v>45895</v>
      </c>
      <c r="D4982" t="inlineStr">
        <is>
          <t>NORRBOTTENS LÄN</t>
        </is>
      </c>
      <c r="E4982" t="inlineStr">
        <is>
          <t>KALIX</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31007-2024</t>
        </is>
      </c>
      <c r="B4983" s="1" t="n">
        <v>45499.63932870371</v>
      </c>
      <c r="C4983" s="1" t="n">
        <v>45895</v>
      </c>
      <c r="D4983" t="inlineStr">
        <is>
          <t>NORRBOTTENS LÄN</t>
        </is>
      </c>
      <c r="E4983" t="inlineStr">
        <is>
          <t>BODEN</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32991-2025</t>
        </is>
      </c>
      <c r="B4984" s="1" t="n">
        <v>45840</v>
      </c>
      <c r="C4984" s="1" t="n">
        <v>45895</v>
      </c>
      <c r="D4984" t="inlineStr">
        <is>
          <t>NORRBOTTENS LÄN</t>
        </is>
      </c>
      <c r="E4984" t="inlineStr">
        <is>
          <t>BODEN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28707-2024</t>
        </is>
      </c>
      <c r="B4985" s="1" t="n">
        <v>45478.52390046296</v>
      </c>
      <c r="C4985" s="1" t="n">
        <v>45895</v>
      </c>
      <c r="D4985" t="inlineStr">
        <is>
          <t>NORRBOTTENS LÄN</t>
        </is>
      </c>
      <c r="E4985" t="inlineStr">
        <is>
          <t>PITEÅ</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28715-2024</t>
        </is>
      </c>
      <c r="B4986" s="1" t="n">
        <v>45478.53690972222</v>
      </c>
      <c r="C4986" s="1" t="n">
        <v>45895</v>
      </c>
      <c r="D4986" t="inlineStr">
        <is>
          <t>NORRBOTTENS LÄN</t>
        </is>
      </c>
      <c r="E4986" t="inlineStr">
        <is>
          <t>PITEÅ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13754-2024</t>
        </is>
      </c>
      <c r="B4987" s="1" t="n">
        <v>45390</v>
      </c>
      <c r="C4987" s="1" t="n">
        <v>45895</v>
      </c>
      <c r="D4987" t="inlineStr">
        <is>
          <t>NORRBOTTENS LÄN</t>
        </is>
      </c>
      <c r="E4987" t="inlineStr">
        <is>
          <t>ÖVERTORNEÅ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15818-2025</t>
        </is>
      </c>
      <c r="B4988" s="1" t="n">
        <v>45748.68107638889</v>
      </c>
      <c r="C4988" s="1" t="n">
        <v>45895</v>
      </c>
      <c r="D4988" t="inlineStr">
        <is>
          <t>NORRBOTTENS LÄN</t>
        </is>
      </c>
      <c r="E4988" t="inlineStr">
        <is>
          <t>KALIX</t>
        </is>
      </c>
      <c r="F4988" t="inlineStr">
        <is>
          <t>SCA</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33032-2025</t>
        </is>
      </c>
      <c r="B4989" s="1" t="n">
        <v>45840.39109953704</v>
      </c>
      <c r="C4989" s="1" t="n">
        <v>45895</v>
      </c>
      <c r="D4989" t="inlineStr">
        <is>
          <t>NORRBOTTENS LÄN</t>
        </is>
      </c>
      <c r="E4989" t="inlineStr">
        <is>
          <t>BODEN</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33038-2025</t>
        </is>
      </c>
      <c r="B4990" s="1" t="n">
        <v>45840.39805555555</v>
      </c>
      <c r="C4990" s="1" t="n">
        <v>45895</v>
      </c>
      <c r="D4990" t="inlineStr">
        <is>
          <t>NORRBOTTENS LÄN</t>
        </is>
      </c>
      <c r="E4990" t="inlineStr">
        <is>
          <t>BODEN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45468-2022</t>
        </is>
      </c>
      <c r="B4991" s="1" t="n">
        <v>44841</v>
      </c>
      <c r="C4991" s="1" t="n">
        <v>45895</v>
      </c>
      <c r="D4991" t="inlineStr">
        <is>
          <t>NORRBOTTENS LÄN</t>
        </is>
      </c>
      <c r="E4991" t="inlineStr">
        <is>
          <t>JOKKMOKK</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29253-2024</t>
        </is>
      </c>
      <c r="B4992" s="1" t="n">
        <v>45482</v>
      </c>
      <c r="C4992" s="1" t="n">
        <v>45895</v>
      </c>
      <c r="D4992" t="inlineStr">
        <is>
          <t>NORRBOTTENS LÄN</t>
        </is>
      </c>
      <c r="E4992" t="inlineStr">
        <is>
          <t>GÄLLIVARE</t>
        </is>
      </c>
      <c r="F4992" t="inlineStr">
        <is>
          <t>SCA</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14660-2025</t>
        </is>
      </c>
      <c r="B4993" s="1" t="n">
        <v>45742</v>
      </c>
      <c r="C4993" s="1" t="n">
        <v>45895</v>
      </c>
      <c r="D4993" t="inlineStr">
        <is>
          <t>NORRBOTTENS LÄN</t>
        </is>
      </c>
      <c r="E4993" t="inlineStr">
        <is>
          <t>GÄLLIVARE</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19594-2025</t>
        </is>
      </c>
      <c r="B4994" s="1" t="n">
        <v>45770.57881944445</v>
      </c>
      <c r="C4994" s="1" t="n">
        <v>45895</v>
      </c>
      <c r="D4994" t="inlineStr">
        <is>
          <t>NORRBOTTENS LÄN</t>
        </is>
      </c>
      <c r="E4994" t="inlineStr">
        <is>
          <t>LULEÅ</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52192-2023</t>
        </is>
      </c>
      <c r="B4995" s="1" t="n">
        <v>45217</v>
      </c>
      <c r="C4995" s="1" t="n">
        <v>45895</v>
      </c>
      <c r="D4995" t="inlineStr">
        <is>
          <t>NORRBOTTENS LÄN</t>
        </is>
      </c>
      <c r="E4995" t="inlineStr">
        <is>
          <t>HAPARANDA</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36416-2025</t>
        </is>
      </c>
      <c r="B4996" s="1" t="n">
        <v>45868</v>
      </c>
      <c r="C4996" s="1" t="n">
        <v>45895</v>
      </c>
      <c r="D4996" t="inlineStr">
        <is>
          <t>NORRBOTTENS LÄN</t>
        </is>
      </c>
      <c r="E4996" t="inlineStr">
        <is>
          <t>GÄLLIVARE</t>
        </is>
      </c>
      <c r="F4996" t="inlineStr">
        <is>
          <t>SCA</t>
        </is>
      </c>
      <c r="G4996" t="n">
        <v>18.2</v>
      </c>
      <c r="H4996" t="n">
        <v>0</v>
      </c>
      <c r="I4996" t="n">
        <v>0</v>
      </c>
      <c r="J4996" t="n">
        <v>0</v>
      </c>
      <c r="K4996" t="n">
        <v>0</v>
      </c>
      <c r="L4996" t="n">
        <v>0</v>
      </c>
      <c r="M4996" t="n">
        <v>0</v>
      </c>
      <c r="N4996" t="n">
        <v>0</v>
      </c>
      <c r="O4996" t="n">
        <v>0</v>
      </c>
      <c r="P4996" t="n">
        <v>0</v>
      </c>
      <c r="Q4996" t="n">
        <v>0</v>
      </c>
      <c r="R4996" s="2" t="inlineStr"/>
    </row>
    <row r="4997" ht="15" customHeight="1">
      <c r="A4997" t="inlineStr">
        <is>
          <t>A 17851-2024</t>
        </is>
      </c>
      <c r="B4997" s="1" t="n">
        <v>45419</v>
      </c>
      <c r="C4997" s="1" t="n">
        <v>45895</v>
      </c>
      <c r="D4997" t="inlineStr">
        <is>
          <t>NORRBOTTENS LÄN</t>
        </is>
      </c>
      <c r="E4997" t="inlineStr">
        <is>
          <t>PITEÅ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37788-2025</t>
        </is>
      </c>
      <c r="B4998" s="1" t="n">
        <v>45881.30692129629</v>
      </c>
      <c r="C4998" s="1" t="n">
        <v>45895</v>
      </c>
      <c r="D4998" t="inlineStr">
        <is>
          <t>NORRBOTTENS LÄN</t>
        </is>
      </c>
      <c r="E4998" t="inlineStr">
        <is>
          <t>ARVIDSJAUR</t>
        </is>
      </c>
      <c r="F4998" t="inlineStr">
        <is>
          <t>Sveaskog</t>
        </is>
      </c>
      <c r="G4998" t="n">
        <v>13.8</v>
      </c>
      <c r="H4998" t="n">
        <v>0</v>
      </c>
      <c r="I4998" t="n">
        <v>0</v>
      </c>
      <c r="J4998" t="n">
        <v>0</v>
      </c>
      <c r="K4998" t="n">
        <v>0</v>
      </c>
      <c r="L4998" t="n">
        <v>0</v>
      </c>
      <c r="M4998" t="n">
        <v>0</v>
      </c>
      <c r="N4998" t="n">
        <v>0</v>
      </c>
      <c r="O4998" t="n">
        <v>0</v>
      </c>
      <c r="P4998" t="n">
        <v>0</v>
      </c>
      <c r="Q4998" t="n">
        <v>0</v>
      </c>
      <c r="R4998" s="2" t="inlineStr"/>
    </row>
    <row r="4999" ht="15" customHeight="1">
      <c r="A4999" t="inlineStr">
        <is>
          <t>A 32892-2025</t>
        </is>
      </c>
      <c r="B4999" s="1" t="n">
        <v>45839.60887731481</v>
      </c>
      <c r="C4999" s="1" t="n">
        <v>45895</v>
      </c>
      <c r="D4999" t="inlineStr">
        <is>
          <t>NORRBOTTENS LÄN</t>
        </is>
      </c>
      <c r="E4999" t="inlineStr">
        <is>
          <t>ÖVERKALIX</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9193-2022</t>
        </is>
      </c>
      <c r="B5000" s="1" t="n">
        <v>44615</v>
      </c>
      <c r="C5000" s="1" t="n">
        <v>45895</v>
      </c>
      <c r="D5000" t="inlineStr">
        <is>
          <t>NORRBOTTENS LÄN</t>
        </is>
      </c>
      <c r="E5000" t="inlineStr">
        <is>
          <t>PITEÅ</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40560-2022</t>
        </is>
      </c>
      <c r="B5001" s="1" t="n">
        <v>44823.66949074074</v>
      </c>
      <c r="C5001" s="1" t="n">
        <v>45895</v>
      </c>
      <c r="D5001" t="inlineStr">
        <is>
          <t>NORRBOTTENS LÄN</t>
        </is>
      </c>
      <c r="E5001" t="inlineStr">
        <is>
          <t>ÄLVSBYN</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37915-2025</t>
        </is>
      </c>
      <c r="B5002" s="1" t="n">
        <v>45881.57421296297</v>
      </c>
      <c r="C5002" s="1" t="n">
        <v>45895</v>
      </c>
      <c r="D5002" t="inlineStr">
        <is>
          <t>NORRBOTTENS LÄN</t>
        </is>
      </c>
      <c r="E5002" t="inlineStr">
        <is>
          <t>KALIX</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37924-2025</t>
        </is>
      </c>
      <c r="B5003" s="1" t="n">
        <v>45881.57532407407</v>
      </c>
      <c r="C5003" s="1" t="n">
        <v>45895</v>
      </c>
      <c r="D5003" t="inlineStr">
        <is>
          <t>NORRBOTTENS LÄN</t>
        </is>
      </c>
      <c r="E5003" t="inlineStr">
        <is>
          <t>KALIX</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37958-2025</t>
        </is>
      </c>
      <c r="B5004" s="1" t="n">
        <v>45881.64761574074</v>
      </c>
      <c r="C5004" s="1" t="n">
        <v>45895</v>
      </c>
      <c r="D5004" t="inlineStr">
        <is>
          <t>NORRBOTTENS LÄN</t>
        </is>
      </c>
      <c r="E5004" t="inlineStr">
        <is>
          <t>ÖVERTORNEÅ</t>
        </is>
      </c>
      <c r="F5004" t="inlineStr">
        <is>
          <t>Sveaskog</t>
        </is>
      </c>
      <c r="G5004" t="n">
        <v>16.3</v>
      </c>
      <c r="H5004" t="n">
        <v>0</v>
      </c>
      <c r="I5004" t="n">
        <v>0</v>
      </c>
      <c r="J5004" t="n">
        <v>0</v>
      </c>
      <c r="K5004" t="n">
        <v>0</v>
      </c>
      <c r="L5004" t="n">
        <v>0</v>
      </c>
      <c r="M5004" t="n">
        <v>0</v>
      </c>
      <c r="N5004" t="n">
        <v>0</v>
      </c>
      <c r="O5004" t="n">
        <v>0</v>
      </c>
      <c r="P5004" t="n">
        <v>0</v>
      </c>
      <c r="Q5004" t="n">
        <v>0</v>
      </c>
      <c r="R5004" s="2" t="inlineStr"/>
    </row>
    <row r="5005" ht="15" customHeight="1">
      <c r="A5005" t="inlineStr">
        <is>
          <t>A 32552-2025</t>
        </is>
      </c>
      <c r="B5005" s="1" t="n">
        <v>45838</v>
      </c>
      <c r="C5005" s="1" t="n">
        <v>45895</v>
      </c>
      <c r="D5005" t="inlineStr">
        <is>
          <t>NORRBOTTENS LÄN</t>
        </is>
      </c>
      <c r="E5005" t="inlineStr">
        <is>
          <t>ÄLVSBYN</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2244-2023</t>
        </is>
      </c>
      <c r="B5006" s="1" t="n">
        <v>44942</v>
      </c>
      <c r="C5006" s="1" t="n">
        <v>45895</v>
      </c>
      <c r="D5006" t="inlineStr">
        <is>
          <t>NORRBOTTENS LÄN</t>
        </is>
      </c>
      <c r="E5006" t="inlineStr">
        <is>
          <t>GÄLLIVARE</t>
        </is>
      </c>
      <c r="G5006" t="n">
        <v>21.1</v>
      </c>
      <c r="H5006" t="n">
        <v>0</v>
      </c>
      <c r="I5006" t="n">
        <v>0</v>
      </c>
      <c r="J5006" t="n">
        <v>0</v>
      </c>
      <c r="K5006" t="n">
        <v>0</v>
      </c>
      <c r="L5006" t="n">
        <v>0</v>
      </c>
      <c r="M5006" t="n">
        <v>0</v>
      </c>
      <c r="N5006" t="n">
        <v>0</v>
      </c>
      <c r="O5006" t="n">
        <v>0</v>
      </c>
      <c r="P5006" t="n">
        <v>0</v>
      </c>
      <c r="Q5006" t="n">
        <v>0</v>
      </c>
      <c r="R5006" s="2" t="inlineStr"/>
    </row>
    <row r="5007" ht="15" customHeight="1">
      <c r="A5007" t="inlineStr">
        <is>
          <t>A 3535-2021</t>
        </is>
      </c>
      <c r="B5007" s="1" t="n">
        <v>44216</v>
      </c>
      <c r="C5007" s="1" t="n">
        <v>45895</v>
      </c>
      <c r="D5007" t="inlineStr">
        <is>
          <t>NORRBOTTENS LÄN</t>
        </is>
      </c>
      <c r="E5007" t="inlineStr">
        <is>
          <t>BODEN</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47024-2024</t>
        </is>
      </c>
      <c r="B5008" s="1" t="n">
        <v>45586</v>
      </c>
      <c r="C5008" s="1" t="n">
        <v>45895</v>
      </c>
      <c r="D5008" t="inlineStr">
        <is>
          <t>NORRBOTTENS LÄN</t>
        </is>
      </c>
      <c r="E5008" t="inlineStr">
        <is>
          <t>BODEN</t>
        </is>
      </c>
      <c r="F5008" t="inlineStr">
        <is>
          <t>Sveaskog</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34062-2021</t>
        </is>
      </c>
      <c r="B5009" s="1" t="n">
        <v>44378</v>
      </c>
      <c r="C5009" s="1" t="n">
        <v>45895</v>
      </c>
      <c r="D5009" t="inlineStr">
        <is>
          <t>NORRBOTTENS LÄN</t>
        </is>
      </c>
      <c r="E5009" t="inlineStr">
        <is>
          <t>JOKKMOKK</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7306-2024</t>
        </is>
      </c>
      <c r="B5010" s="1" t="n">
        <v>45344</v>
      </c>
      <c r="C5010" s="1" t="n">
        <v>45895</v>
      </c>
      <c r="D5010" t="inlineStr">
        <is>
          <t>NORRBOTTENS LÄN</t>
        </is>
      </c>
      <c r="E5010" t="inlineStr">
        <is>
          <t>LULEÅ</t>
        </is>
      </c>
      <c r="G5010" t="n">
        <v>29.2</v>
      </c>
      <c r="H5010" t="n">
        <v>0</v>
      </c>
      <c r="I5010" t="n">
        <v>0</v>
      </c>
      <c r="J5010" t="n">
        <v>0</v>
      </c>
      <c r="K5010" t="n">
        <v>0</v>
      </c>
      <c r="L5010" t="n">
        <v>0</v>
      </c>
      <c r="M5010" t="n">
        <v>0</v>
      </c>
      <c r="N5010" t="n">
        <v>0</v>
      </c>
      <c r="O5010" t="n">
        <v>0</v>
      </c>
      <c r="P5010" t="n">
        <v>0</v>
      </c>
      <c r="Q5010" t="n">
        <v>0</v>
      </c>
      <c r="R5010" s="2" t="inlineStr"/>
    </row>
    <row r="5011" ht="15" customHeight="1">
      <c r="A5011" t="inlineStr">
        <is>
          <t>A 15570-2024</t>
        </is>
      </c>
      <c r="B5011" s="1" t="n">
        <v>45401</v>
      </c>
      <c r="C5011" s="1" t="n">
        <v>45895</v>
      </c>
      <c r="D5011" t="inlineStr">
        <is>
          <t>NORRBOTTENS LÄN</t>
        </is>
      </c>
      <c r="E5011" t="inlineStr">
        <is>
          <t>PAJALA</t>
        </is>
      </c>
      <c r="F5011" t="inlineStr">
        <is>
          <t>Allmännings- och besparingsskogar</t>
        </is>
      </c>
      <c r="G5011" t="n">
        <v>22.1</v>
      </c>
      <c r="H5011" t="n">
        <v>0</v>
      </c>
      <c r="I5011" t="n">
        <v>0</v>
      </c>
      <c r="J5011" t="n">
        <v>0</v>
      </c>
      <c r="K5011" t="n">
        <v>0</v>
      </c>
      <c r="L5011" t="n">
        <v>0</v>
      </c>
      <c r="M5011" t="n">
        <v>0</v>
      </c>
      <c r="N5011" t="n">
        <v>0</v>
      </c>
      <c r="O5011" t="n">
        <v>0</v>
      </c>
      <c r="P5011" t="n">
        <v>0</v>
      </c>
      <c r="Q5011" t="n">
        <v>0</v>
      </c>
      <c r="R5011" s="2" t="inlineStr"/>
    </row>
    <row r="5012" ht="15" customHeight="1">
      <c r="A5012" t="inlineStr">
        <is>
          <t>A 38029-2025</t>
        </is>
      </c>
      <c r="B5012" s="1" t="n">
        <v>45882.36502314815</v>
      </c>
      <c r="C5012" s="1" t="n">
        <v>45895</v>
      </c>
      <c r="D5012" t="inlineStr">
        <is>
          <t>NORRBOTTENS LÄN</t>
        </is>
      </c>
      <c r="E5012" t="inlineStr">
        <is>
          <t>GÄLLIVARE</t>
        </is>
      </c>
      <c r="F5012" t="inlineStr">
        <is>
          <t>SCA</t>
        </is>
      </c>
      <c r="G5012" t="n">
        <v>10.2</v>
      </c>
      <c r="H5012" t="n">
        <v>0</v>
      </c>
      <c r="I5012" t="n">
        <v>0</v>
      </c>
      <c r="J5012" t="n">
        <v>0</v>
      </c>
      <c r="K5012" t="n">
        <v>0</v>
      </c>
      <c r="L5012" t="n">
        <v>0</v>
      </c>
      <c r="M5012" t="n">
        <v>0</v>
      </c>
      <c r="N5012" t="n">
        <v>0</v>
      </c>
      <c r="O5012" t="n">
        <v>0</v>
      </c>
      <c r="P5012" t="n">
        <v>0</v>
      </c>
      <c r="Q5012" t="n">
        <v>0</v>
      </c>
      <c r="R5012" s="2" t="inlineStr"/>
    </row>
    <row r="5013" ht="15" customHeight="1">
      <c r="A5013" t="inlineStr">
        <is>
          <t>A 24922-2023</t>
        </is>
      </c>
      <c r="B5013" s="1" t="n">
        <v>45078</v>
      </c>
      <c r="C5013" s="1" t="n">
        <v>45895</v>
      </c>
      <c r="D5013" t="inlineStr">
        <is>
          <t>NORRBOTTENS LÄN</t>
        </is>
      </c>
      <c r="E5013" t="inlineStr">
        <is>
          <t>ÄLVSBYN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17661-2023</t>
        </is>
      </c>
      <c r="B5014" s="1" t="n">
        <v>45036</v>
      </c>
      <c r="C5014" s="1" t="n">
        <v>45895</v>
      </c>
      <c r="D5014" t="inlineStr">
        <is>
          <t>NORRBOTTENS LÄN</t>
        </is>
      </c>
      <c r="E5014" t="inlineStr">
        <is>
          <t>KALIX</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38152-2025</t>
        </is>
      </c>
      <c r="B5015" s="1" t="n">
        <v>45882.59648148148</v>
      </c>
      <c r="C5015" s="1" t="n">
        <v>45895</v>
      </c>
      <c r="D5015" t="inlineStr">
        <is>
          <t>NORRBOTTENS LÄN</t>
        </is>
      </c>
      <c r="E5015" t="inlineStr">
        <is>
          <t>ÖVERKALIX</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37404-2025</t>
        </is>
      </c>
      <c r="B5016" s="1" t="n">
        <v>45877.44846064815</v>
      </c>
      <c r="C5016" s="1" t="n">
        <v>45895</v>
      </c>
      <c r="D5016" t="inlineStr">
        <is>
          <t>NORRBOTTENS LÄN</t>
        </is>
      </c>
      <c r="E5016" t="inlineStr">
        <is>
          <t>BODEN</t>
        </is>
      </c>
      <c r="F5016" t="inlineStr">
        <is>
          <t>SCA</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37911-2025</t>
        </is>
      </c>
      <c r="B5017" s="1" t="n">
        <v>45881.57380787037</v>
      </c>
      <c r="C5017" s="1" t="n">
        <v>45895</v>
      </c>
      <c r="D5017" t="inlineStr">
        <is>
          <t>NORRBOTTENS LÄN</t>
        </is>
      </c>
      <c r="E5017" t="inlineStr">
        <is>
          <t>KALIX</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37914-2025</t>
        </is>
      </c>
      <c r="B5018" s="1" t="n">
        <v>45881.57408564815</v>
      </c>
      <c r="C5018" s="1" t="n">
        <v>45895</v>
      </c>
      <c r="D5018" t="inlineStr">
        <is>
          <t>NORRBOTTENS LÄN</t>
        </is>
      </c>
      <c r="E5018" t="inlineStr">
        <is>
          <t>KALIX</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15485-2025</t>
        </is>
      </c>
      <c r="B5019" s="1" t="n">
        <v>45747.56875</v>
      </c>
      <c r="C5019" s="1" t="n">
        <v>45895</v>
      </c>
      <c r="D5019" t="inlineStr">
        <is>
          <t>NORRBOTTENS LÄN</t>
        </is>
      </c>
      <c r="E5019" t="inlineStr">
        <is>
          <t>BODEN</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45446-2023</t>
        </is>
      </c>
      <c r="B5020" s="1" t="n">
        <v>45194.40387731481</v>
      </c>
      <c r="C5020" s="1" t="n">
        <v>45895</v>
      </c>
      <c r="D5020" t="inlineStr">
        <is>
          <t>NORRBOTTENS LÄN</t>
        </is>
      </c>
      <c r="E5020" t="inlineStr">
        <is>
          <t>BODEN</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22810-2024</t>
        </is>
      </c>
      <c r="B5021" s="1" t="n">
        <v>45448</v>
      </c>
      <c r="C5021" s="1" t="n">
        <v>45895</v>
      </c>
      <c r="D5021" t="inlineStr">
        <is>
          <t>NORRBOTTENS LÄN</t>
        </is>
      </c>
      <c r="E5021" t="inlineStr">
        <is>
          <t>ÄLVSBYN</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32943-2025</t>
        </is>
      </c>
      <c r="B5022" s="1" t="n">
        <v>45839</v>
      </c>
      <c r="C5022" s="1" t="n">
        <v>45895</v>
      </c>
      <c r="D5022" t="inlineStr">
        <is>
          <t>NORRBOTTENS LÄN</t>
        </is>
      </c>
      <c r="E5022" t="inlineStr">
        <is>
          <t>GÄLLIVARE</t>
        </is>
      </c>
      <c r="G5022" t="n">
        <v>16.8</v>
      </c>
      <c r="H5022" t="n">
        <v>0</v>
      </c>
      <c r="I5022" t="n">
        <v>0</v>
      </c>
      <c r="J5022" t="n">
        <v>0</v>
      </c>
      <c r="K5022" t="n">
        <v>0</v>
      </c>
      <c r="L5022" t="n">
        <v>0</v>
      </c>
      <c r="M5022" t="n">
        <v>0</v>
      </c>
      <c r="N5022" t="n">
        <v>0</v>
      </c>
      <c r="O5022" t="n">
        <v>0</v>
      </c>
      <c r="P5022" t="n">
        <v>0</v>
      </c>
      <c r="Q5022" t="n">
        <v>0</v>
      </c>
      <c r="R5022" s="2" t="inlineStr"/>
    </row>
    <row r="5023" ht="15" customHeight="1">
      <c r="A5023" t="inlineStr">
        <is>
          <t>A 38204-2025</t>
        </is>
      </c>
      <c r="B5023" s="1" t="n">
        <v>45882.69832175926</v>
      </c>
      <c r="C5023" s="1" t="n">
        <v>45895</v>
      </c>
      <c r="D5023" t="inlineStr">
        <is>
          <t>NORRBOTTENS LÄN</t>
        </is>
      </c>
      <c r="E5023" t="inlineStr">
        <is>
          <t>GÄLLIVARE</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37917-2025</t>
        </is>
      </c>
      <c r="B5024" s="1" t="n">
        <v>45881.57443287037</v>
      </c>
      <c r="C5024" s="1" t="n">
        <v>45895</v>
      </c>
      <c r="D5024" t="inlineStr">
        <is>
          <t>NORRBOTTENS LÄN</t>
        </is>
      </c>
      <c r="E5024" t="inlineStr">
        <is>
          <t>JOKKMOKK</t>
        </is>
      </c>
      <c r="F5024" t="inlineStr">
        <is>
          <t>SCA</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33185-2025</t>
        </is>
      </c>
      <c r="B5025" s="1" t="n">
        <v>45840.59425925926</v>
      </c>
      <c r="C5025" s="1" t="n">
        <v>45895</v>
      </c>
      <c r="D5025" t="inlineStr">
        <is>
          <t>NORRBOTTENS LÄN</t>
        </is>
      </c>
      <c r="E5025" t="inlineStr">
        <is>
          <t>PITEÅ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33222-2025</t>
        </is>
      </c>
      <c r="B5026" s="1" t="n">
        <v>45840</v>
      </c>
      <c r="C5026" s="1" t="n">
        <v>45895</v>
      </c>
      <c r="D5026" t="inlineStr">
        <is>
          <t>NORRBOTTENS LÄN</t>
        </is>
      </c>
      <c r="E5026" t="inlineStr">
        <is>
          <t>ARVIDSJAUR</t>
        </is>
      </c>
      <c r="F5026" t="inlineStr">
        <is>
          <t>Sveaskog</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33276-2025</t>
        </is>
      </c>
      <c r="B5027" s="1" t="n">
        <v>45840</v>
      </c>
      <c r="C5027" s="1" t="n">
        <v>45895</v>
      </c>
      <c r="D5027" t="inlineStr">
        <is>
          <t>NORRBOTTENS LÄN</t>
        </is>
      </c>
      <c r="E5027" t="inlineStr">
        <is>
          <t>BODEN</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43648-2023</t>
        </is>
      </c>
      <c r="B5028" s="1" t="n">
        <v>45187</v>
      </c>
      <c r="C5028" s="1" t="n">
        <v>45895</v>
      </c>
      <c r="D5028" t="inlineStr">
        <is>
          <t>NORRBOTTENS LÄN</t>
        </is>
      </c>
      <c r="E5028" t="inlineStr">
        <is>
          <t>BODEN</t>
        </is>
      </c>
      <c r="F5028" t="inlineStr">
        <is>
          <t>Sveaskog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18976-2024</t>
        </is>
      </c>
      <c r="B5029" s="1" t="n">
        <v>45427.5741550926</v>
      </c>
      <c r="C5029" s="1" t="n">
        <v>45895</v>
      </c>
      <c r="D5029" t="inlineStr">
        <is>
          <t>NORRBOTTENS LÄN</t>
        </is>
      </c>
      <c r="E5029" t="inlineStr">
        <is>
          <t>ÖVERKALIX</t>
        </is>
      </c>
      <c r="F5029" t="inlineStr">
        <is>
          <t>Sveaskog</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32936-2025</t>
        </is>
      </c>
      <c r="B5030" s="1" t="n">
        <v>45839</v>
      </c>
      <c r="C5030" s="1" t="n">
        <v>45895</v>
      </c>
      <c r="D5030" t="inlineStr">
        <is>
          <t>NORRBOTTENS LÄN</t>
        </is>
      </c>
      <c r="E5030" t="inlineStr">
        <is>
          <t>GÄLLIVARE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2276-2023</t>
        </is>
      </c>
      <c r="B5031" s="1" t="n">
        <v>44942</v>
      </c>
      <c r="C5031" s="1" t="n">
        <v>45895</v>
      </c>
      <c r="D5031" t="inlineStr">
        <is>
          <t>NORRBOTTENS LÄN</t>
        </is>
      </c>
      <c r="E5031" t="inlineStr">
        <is>
          <t>GÄLLIVARE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2293-2023</t>
        </is>
      </c>
      <c r="B5032" s="1" t="n">
        <v>44942</v>
      </c>
      <c r="C5032" s="1" t="n">
        <v>45895</v>
      </c>
      <c r="D5032" t="inlineStr">
        <is>
          <t>NORRBOTTENS LÄN</t>
        </is>
      </c>
      <c r="E5032" t="inlineStr">
        <is>
          <t>ÄLVSBYN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60082-2024</t>
        </is>
      </c>
      <c r="B5033" s="1" t="n">
        <v>45642.53783564815</v>
      </c>
      <c r="C5033" s="1" t="n">
        <v>45895</v>
      </c>
      <c r="D5033" t="inlineStr">
        <is>
          <t>NORRBOTTENS LÄN</t>
        </is>
      </c>
      <c r="E5033" t="inlineStr">
        <is>
          <t>PITEÅ</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61743-2024</t>
        </is>
      </c>
      <c r="B5034" s="1" t="n">
        <v>45649.38344907408</v>
      </c>
      <c r="C5034" s="1" t="n">
        <v>45895</v>
      </c>
      <c r="D5034" t="inlineStr">
        <is>
          <t>NORRBOTTENS LÄN</t>
        </is>
      </c>
      <c r="E5034" t="inlineStr">
        <is>
          <t>BODEN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37291-2024</t>
        </is>
      </c>
      <c r="B5035" s="1" t="n">
        <v>45540</v>
      </c>
      <c r="C5035" s="1" t="n">
        <v>45895</v>
      </c>
      <c r="D5035" t="inlineStr">
        <is>
          <t>NORRBOTTENS LÄN</t>
        </is>
      </c>
      <c r="E5035" t="inlineStr">
        <is>
          <t>ÄLVSBYN</t>
        </is>
      </c>
      <c r="F5035" t="inlineStr">
        <is>
          <t>Sveaskog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58009-2024</t>
        </is>
      </c>
      <c r="B5036" s="1" t="n">
        <v>45631.65880787037</v>
      </c>
      <c r="C5036" s="1" t="n">
        <v>45895</v>
      </c>
      <c r="D5036" t="inlineStr">
        <is>
          <t>NORRBOTTENS LÄN</t>
        </is>
      </c>
      <c r="E5036" t="inlineStr">
        <is>
          <t>PITEÅ</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37790-2025</t>
        </is>
      </c>
      <c r="B5037" s="1" t="n">
        <v>45881.31024305556</v>
      </c>
      <c r="C5037" s="1" t="n">
        <v>45895</v>
      </c>
      <c r="D5037" t="inlineStr">
        <is>
          <t>NORRBOTTENS LÄN</t>
        </is>
      </c>
      <c r="E5037" t="inlineStr">
        <is>
          <t>ARVIDSJAUR</t>
        </is>
      </c>
      <c r="F5037" t="inlineStr">
        <is>
          <t>Sveaskog</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38145-2025</t>
        </is>
      </c>
      <c r="B5038" s="1" t="n">
        <v>45882.58475694444</v>
      </c>
      <c r="C5038" s="1" t="n">
        <v>45895</v>
      </c>
      <c r="D5038" t="inlineStr">
        <is>
          <t>NORRBOTTENS LÄN</t>
        </is>
      </c>
      <c r="E5038" t="inlineStr">
        <is>
          <t>ÖVERKALIX</t>
        </is>
      </c>
      <c r="F5038" t="inlineStr">
        <is>
          <t>Sveaskog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4280-2025</t>
        </is>
      </c>
      <c r="B5039" s="1" t="n">
        <v>45685</v>
      </c>
      <c r="C5039" s="1" t="n">
        <v>45895</v>
      </c>
      <c r="D5039" t="inlineStr">
        <is>
          <t>NORRBOTTENS LÄN</t>
        </is>
      </c>
      <c r="E5039" t="inlineStr">
        <is>
          <t>ÖVERTORNEÅ</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40329-2023</t>
        </is>
      </c>
      <c r="B5040" s="1" t="n">
        <v>45169.62248842593</v>
      </c>
      <c r="C5040" s="1" t="n">
        <v>45895</v>
      </c>
      <c r="D5040" t="inlineStr">
        <is>
          <t>NORRBOTTENS LÄN</t>
        </is>
      </c>
      <c r="E5040" t="inlineStr">
        <is>
          <t>ÖVERKALIX</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4317-2025</t>
        </is>
      </c>
      <c r="B5041" s="1" t="n">
        <v>45685.70517361111</v>
      </c>
      <c r="C5041" s="1" t="n">
        <v>45895</v>
      </c>
      <c r="D5041" t="inlineStr">
        <is>
          <t>NORRBOTTENS LÄN</t>
        </is>
      </c>
      <c r="E5041" t="inlineStr">
        <is>
          <t>HAPARANDA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4323-2025</t>
        </is>
      </c>
      <c r="B5042" s="1" t="n">
        <v>45685.71274305556</v>
      </c>
      <c r="C5042" s="1" t="n">
        <v>45895</v>
      </c>
      <c r="D5042" t="inlineStr">
        <is>
          <t>NORRBOTTENS LÄN</t>
        </is>
      </c>
      <c r="E5042" t="inlineStr">
        <is>
          <t>HAPARANDA</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29729-2022</t>
        </is>
      </c>
      <c r="B5043" s="1" t="n">
        <v>44755</v>
      </c>
      <c r="C5043" s="1" t="n">
        <v>45895</v>
      </c>
      <c r="D5043" t="inlineStr">
        <is>
          <t>NORRBOTTENS LÄN</t>
        </is>
      </c>
      <c r="E5043" t="inlineStr">
        <is>
          <t>PAJALA</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32670-2025</t>
        </is>
      </c>
      <c r="B5044" s="1" t="n">
        <v>45838.70071759259</v>
      </c>
      <c r="C5044" s="1" t="n">
        <v>45895</v>
      </c>
      <c r="D5044" t="inlineStr">
        <is>
          <t>NORRBOTTENS LÄN</t>
        </is>
      </c>
      <c r="E5044" t="inlineStr">
        <is>
          <t>JOKKMOKK</t>
        </is>
      </c>
      <c r="F5044" t="inlineStr">
        <is>
          <t>Sveaskog</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8571-2025</t>
        </is>
      </c>
      <c r="B5045" s="1" t="n">
        <v>45709.64082175926</v>
      </c>
      <c r="C5045" s="1" t="n">
        <v>45895</v>
      </c>
      <c r="D5045" t="inlineStr">
        <is>
          <t>NORRBOTTENS LÄN</t>
        </is>
      </c>
      <c r="E5045" t="inlineStr">
        <is>
          <t>BODEN</t>
        </is>
      </c>
      <c r="F5045" t="inlineStr">
        <is>
          <t>Övriga Aktiebolag</t>
        </is>
      </c>
      <c r="G5045" t="n">
        <v>14.3</v>
      </c>
      <c r="H5045" t="n">
        <v>0</v>
      </c>
      <c r="I5045" t="n">
        <v>0</v>
      </c>
      <c r="J5045" t="n">
        <v>0</v>
      </c>
      <c r="K5045" t="n">
        <v>0</v>
      </c>
      <c r="L5045" t="n">
        <v>0</v>
      </c>
      <c r="M5045" t="n">
        <v>0</v>
      </c>
      <c r="N5045" t="n">
        <v>0</v>
      </c>
      <c r="O5045" t="n">
        <v>0</v>
      </c>
      <c r="P5045" t="n">
        <v>0</v>
      </c>
      <c r="Q5045" t="n">
        <v>0</v>
      </c>
      <c r="R5045" s="2" t="inlineStr"/>
    </row>
    <row r="5046" ht="15" customHeight="1">
      <c r="A5046" t="inlineStr">
        <is>
          <t>A 1683-2025</t>
        </is>
      </c>
      <c r="B5046" s="1" t="n">
        <v>45670.69847222222</v>
      </c>
      <c r="C5046" s="1" t="n">
        <v>45895</v>
      </c>
      <c r="D5046" t="inlineStr">
        <is>
          <t>NORRBOTTENS LÄN</t>
        </is>
      </c>
      <c r="E5046" t="inlineStr">
        <is>
          <t>LULEÅ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2009-2024</t>
        </is>
      </c>
      <c r="B5047" s="1" t="n">
        <v>45308.66241898148</v>
      </c>
      <c r="C5047" s="1" t="n">
        <v>45895</v>
      </c>
      <c r="D5047" t="inlineStr">
        <is>
          <t>NORRBOTTENS LÄN</t>
        </is>
      </c>
      <c r="E5047" t="inlineStr">
        <is>
          <t>ÖVERKALIX</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18804-2025</t>
        </is>
      </c>
      <c r="B5048" s="1" t="n">
        <v>45764.35172453704</v>
      </c>
      <c r="C5048" s="1" t="n">
        <v>45895</v>
      </c>
      <c r="D5048" t="inlineStr">
        <is>
          <t>NORRBOTTENS LÄN</t>
        </is>
      </c>
      <c r="E5048" t="inlineStr">
        <is>
          <t>GÄLLIVARE</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37909-2025</t>
        </is>
      </c>
      <c r="B5049" s="1" t="n">
        <v>45881.57342592593</v>
      </c>
      <c r="C5049" s="1" t="n">
        <v>45895</v>
      </c>
      <c r="D5049" t="inlineStr">
        <is>
          <t>NORRBOTTENS LÄN</t>
        </is>
      </c>
      <c r="E5049" t="inlineStr">
        <is>
          <t>KALIX</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37923-2025</t>
        </is>
      </c>
      <c r="B5050" s="1" t="n">
        <v>45881.57527777777</v>
      </c>
      <c r="C5050" s="1" t="n">
        <v>45895</v>
      </c>
      <c r="D5050" t="inlineStr">
        <is>
          <t>NORRBOTTENS LÄN</t>
        </is>
      </c>
      <c r="E5050" t="inlineStr">
        <is>
          <t>KALIX</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5170-2025</t>
        </is>
      </c>
      <c r="B5051" s="1" t="n">
        <v>45691.61585648148</v>
      </c>
      <c r="C5051" s="1" t="n">
        <v>45895</v>
      </c>
      <c r="D5051" t="inlineStr">
        <is>
          <t>NORRBOTTENS LÄN</t>
        </is>
      </c>
      <c r="E5051" t="inlineStr">
        <is>
          <t>ÖVERKALIX</t>
        </is>
      </c>
      <c r="F5051" t="inlineStr">
        <is>
          <t>SCA</t>
        </is>
      </c>
      <c r="G5051" t="n">
        <v>20.3</v>
      </c>
      <c r="H5051" t="n">
        <v>0</v>
      </c>
      <c r="I5051" t="n">
        <v>0</v>
      </c>
      <c r="J5051" t="n">
        <v>0</v>
      </c>
      <c r="K5051" t="n">
        <v>0</v>
      </c>
      <c r="L5051" t="n">
        <v>0</v>
      </c>
      <c r="M5051" t="n">
        <v>0</v>
      </c>
      <c r="N5051" t="n">
        <v>0</v>
      </c>
      <c r="O5051" t="n">
        <v>0</v>
      </c>
      <c r="P5051" t="n">
        <v>0</v>
      </c>
      <c r="Q5051" t="n">
        <v>0</v>
      </c>
      <c r="R5051" s="2" t="inlineStr"/>
    </row>
    <row r="5052" ht="15" customHeight="1">
      <c r="A5052" t="inlineStr">
        <is>
          <t>A 18871-2025</t>
        </is>
      </c>
      <c r="B5052" s="1" t="n">
        <v>45764</v>
      </c>
      <c r="C5052" s="1" t="n">
        <v>45895</v>
      </c>
      <c r="D5052" t="inlineStr">
        <is>
          <t>NORRBOTTENS LÄN</t>
        </is>
      </c>
      <c r="E5052" t="inlineStr">
        <is>
          <t>BODEN</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49157-2022</t>
        </is>
      </c>
      <c r="B5053" s="1" t="n">
        <v>44860</v>
      </c>
      <c r="C5053" s="1" t="n">
        <v>45895</v>
      </c>
      <c r="D5053" t="inlineStr">
        <is>
          <t>NORRBOTTENS LÄN</t>
        </is>
      </c>
      <c r="E5053" t="inlineStr">
        <is>
          <t>ÖVERTORNEÅ</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38058-2025</t>
        </is>
      </c>
      <c r="B5054" s="1" t="n">
        <v>45882.42769675926</v>
      </c>
      <c r="C5054" s="1" t="n">
        <v>45895</v>
      </c>
      <c r="D5054" t="inlineStr">
        <is>
          <t>NORRBOTTENS LÄN</t>
        </is>
      </c>
      <c r="E5054" t="inlineStr">
        <is>
          <t>ÖVERKALIX</t>
        </is>
      </c>
      <c r="F5054" t="inlineStr">
        <is>
          <t>SCA</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33241-2025</t>
        </is>
      </c>
      <c r="B5055" s="1" t="n">
        <v>45840</v>
      </c>
      <c r="C5055" s="1" t="n">
        <v>45895</v>
      </c>
      <c r="D5055" t="inlineStr">
        <is>
          <t>NORRBOTTENS LÄN</t>
        </is>
      </c>
      <c r="E5055" t="inlineStr">
        <is>
          <t>PAJALA</t>
        </is>
      </c>
      <c r="F5055" t="inlineStr">
        <is>
          <t>Allmännings- och besparingsskogar</t>
        </is>
      </c>
      <c r="G5055" t="n">
        <v>22.8</v>
      </c>
      <c r="H5055" t="n">
        <v>0</v>
      </c>
      <c r="I5055" t="n">
        <v>0</v>
      </c>
      <c r="J5055" t="n">
        <v>0</v>
      </c>
      <c r="K5055" t="n">
        <v>0</v>
      </c>
      <c r="L5055" t="n">
        <v>0</v>
      </c>
      <c r="M5055" t="n">
        <v>0</v>
      </c>
      <c r="N5055" t="n">
        <v>0</v>
      </c>
      <c r="O5055" t="n">
        <v>0</v>
      </c>
      <c r="P5055" t="n">
        <v>0</v>
      </c>
      <c r="Q5055" t="n">
        <v>0</v>
      </c>
      <c r="R5055" s="2" t="inlineStr"/>
    </row>
    <row r="5056" ht="15" customHeight="1">
      <c r="A5056" t="inlineStr">
        <is>
          <t>A 33266-2025</t>
        </is>
      </c>
      <c r="B5056" s="1" t="n">
        <v>45840.67837962963</v>
      </c>
      <c r="C5056" s="1" t="n">
        <v>45895</v>
      </c>
      <c r="D5056" t="inlineStr">
        <is>
          <t>NORRBOTTENS LÄN</t>
        </is>
      </c>
      <c r="E5056" t="inlineStr">
        <is>
          <t>ÖVERKALIX</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32462-2025</t>
        </is>
      </c>
      <c r="B5057" s="1" t="n">
        <v>45838.41660879629</v>
      </c>
      <c r="C5057" s="1" t="n">
        <v>45895</v>
      </c>
      <c r="D5057" t="inlineStr">
        <is>
          <t>NORRBOTTENS LÄN</t>
        </is>
      </c>
      <c r="E5057" t="inlineStr">
        <is>
          <t>LULEÅ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37913-2025</t>
        </is>
      </c>
      <c r="B5058" s="1" t="n">
        <v>45881.5740162037</v>
      </c>
      <c r="C5058" s="1" t="n">
        <v>45895</v>
      </c>
      <c r="D5058" t="inlineStr">
        <is>
          <t>NORRBOTTENS LÄN</t>
        </is>
      </c>
      <c r="E5058" t="inlineStr">
        <is>
          <t>KALIX</t>
        </is>
      </c>
      <c r="F5058" t="inlineStr">
        <is>
          <t>SCA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37765-2021</t>
        </is>
      </c>
      <c r="B5059" s="1" t="n">
        <v>44400</v>
      </c>
      <c r="C5059" s="1" t="n">
        <v>45895</v>
      </c>
      <c r="D5059" t="inlineStr">
        <is>
          <t>NORRBOTTENS LÄN</t>
        </is>
      </c>
      <c r="E5059" t="inlineStr">
        <is>
          <t>LULEÅ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34512-2021</t>
        </is>
      </c>
      <c r="B5060" s="1" t="n">
        <v>44379</v>
      </c>
      <c r="C5060" s="1" t="n">
        <v>45895</v>
      </c>
      <c r="D5060" t="inlineStr">
        <is>
          <t>NORRBOTTENS LÄN</t>
        </is>
      </c>
      <c r="E5060" t="inlineStr">
        <is>
          <t>HAPARANDA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43298-2021</t>
        </is>
      </c>
      <c r="B5061" s="1" t="n">
        <v>44432</v>
      </c>
      <c r="C5061" s="1" t="n">
        <v>45895</v>
      </c>
      <c r="D5061" t="inlineStr">
        <is>
          <t>NORRBOTTENS LÄN</t>
        </is>
      </c>
      <c r="E5061" t="inlineStr">
        <is>
          <t>PITEÅ</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49620-2024</t>
        </is>
      </c>
      <c r="B5062" s="1" t="n">
        <v>45596</v>
      </c>
      <c r="C5062" s="1" t="n">
        <v>45895</v>
      </c>
      <c r="D5062" t="inlineStr">
        <is>
          <t>NORRBOTTENS LÄN</t>
        </is>
      </c>
      <c r="E5062" t="inlineStr">
        <is>
          <t>ARVIDSJAUR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49648-2024</t>
        </is>
      </c>
      <c r="B5063" s="1" t="n">
        <v>45596</v>
      </c>
      <c r="C5063" s="1" t="n">
        <v>45895</v>
      </c>
      <c r="D5063" t="inlineStr">
        <is>
          <t>NORRBOTTENS LÄN</t>
        </is>
      </c>
      <c r="E5063" t="inlineStr">
        <is>
          <t>LULEÅ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39619-2022</t>
        </is>
      </c>
      <c r="B5064" s="1" t="n">
        <v>44818</v>
      </c>
      <c r="C5064" s="1" t="n">
        <v>45895</v>
      </c>
      <c r="D5064" t="inlineStr">
        <is>
          <t>NORRBOTTENS LÄN</t>
        </is>
      </c>
      <c r="E5064" t="inlineStr">
        <is>
          <t>ARVIDSJAUR</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50253-2024</t>
        </is>
      </c>
      <c r="B5065" s="1" t="n">
        <v>45600</v>
      </c>
      <c r="C5065" s="1" t="n">
        <v>45895</v>
      </c>
      <c r="D5065" t="inlineStr">
        <is>
          <t>NORRBOTTENS LÄN</t>
        </is>
      </c>
      <c r="E5065" t="inlineStr">
        <is>
          <t>BODEN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38059-2025</t>
        </is>
      </c>
      <c r="B5066" s="1" t="n">
        <v>45882.42778935185</v>
      </c>
      <c r="C5066" s="1" t="n">
        <v>45895</v>
      </c>
      <c r="D5066" t="inlineStr">
        <is>
          <t>NORRBOTTENS LÄN</t>
        </is>
      </c>
      <c r="E5066" t="inlineStr">
        <is>
          <t>ÖVERKALIX</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37948-2025</t>
        </is>
      </c>
      <c r="B5067" s="1" t="n">
        <v>45881.61543981481</v>
      </c>
      <c r="C5067" s="1" t="n">
        <v>45895</v>
      </c>
      <c r="D5067" t="inlineStr">
        <is>
          <t>NORRBOTTENS LÄN</t>
        </is>
      </c>
      <c r="E5067" t="inlineStr">
        <is>
          <t>LULEÅ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33028-2025</t>
        </is>
      </c>
      <c r="B5068" s="1" t="n">
        <v>45840.38418981482</v>
      </c>
      <c r="C5068" s="1" t="n">
        <v>45895</v>
      </c>
      <c r="D5068" t="inlineStr">
        <is>
          <t>NORRBOTTENS LÄN</t>
        </is>
      </c>
      <c r="E5068" t="inlineStr">
        <is>
          <t>BODEN</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37789-2025</t>
        </is>
      </c>
      <c r="B5069" s="1" t="n">
        <v>45881.30875</v>
      </c>
      <c r="C5069" s="1" t="n">
        <v>45895</v>
      </c>
      <c r="D5069" t="inlineStr">
        <is>
          <t>NORRBOTTENS LÄN</t>
        </is>
      </c>
      <c r="E5069" t="inlineStr">
        <is>
          <t>ARVIDSJAUR</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18698-2025</t>
        </is>
      </c>
      <c r="B5070" s="1" t="n">
        <v>45763</v>
      </c>
      <c r="C5070" s="1" t="n">
        <v>45895</v>
      </c>
      <c r="D5070" t="inlineStr">
        <is>
          <t>NORRBOTTENS LÄN</t>
        </is>
      </c>
      <c r="E5070" t="inlineStr">
        <is>
          <t>KIRUNA</t>
        </is>
      </c>
      <c r="G5070" t="n">
        <v>29.7</v>
      </c>
      <c r="H5070" t="n">
        <v>0</v>
      </c>
      <c r="I5070" t="n">
        <v>0</v>
      </c>
      <c r="J5070" t="n">
        <v>0</v>
      </c>
      <c r="K5070" t="n">
        <v>0</v>
      </c>
      <c r="L5070" t="n">
        <v>0</v>
      </c>
      <c r="M5070" t="n">
        <v>0</v>
      </c>
      <c r="N5070" t="n">
        <v>0</v>
      </c>
      <c r="O5070" t="n">
        <v>0</v>
      </c>
      <c r="P5070" t="n">
        <v>0</v>
      </c>
      <c r="Q5070" t="n">
        <v>0</v>
      </c>
      <c r="R5070" s="2" t="inlineStr"/>
    </row>
    <row r="5071" ht="15" customHeight="1">
      <c r="A5071" t="inlineStr">
        <is>
          <t>A 38094-2025</t>
        </is>
      </c>
      <c r="B5071" s="1" t="n">
        <v>45882.4903587963</v>
      </c>
      <c r="C5071" s="1" t="n">
        <v>45895</v>
      </c>
      <c r="D5071" t="inlineStr">
        <is>
          <t>NORRBOTTENS LÄN</t>
        </is>
      </c>
      <c r="E5071" t="inlineStr">
        <is>
          <t>PAJALA</t>
        </is>
      </c>
      <c r="F5071" t="inlineStr">
        <is>
          <t>SCA</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36607-2021</t>
        </is>
      </c>
      <c r="B5072" s="1" t="n">
        <v>44391</v>
      </c>
      <c r="C5072" s="1" t="n">
        <v>45895</v>
      </c>
      <c r="D5072" t="inlineStr">
        <is>
          <t>NORRBOTTENS LÄN</t>
        </is>
      </c>
      <c r="E5072" t="inlineStr">
        <is>
          <t>JOKKMOKK</t>
        </is>
      </c>
      <c r="F5072" t="inlineStr">
        <is>
          <t>Allmännings- och besparingsskogar</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37910-2025</t>
        </is>
      </c>
      <c r="B5073" s="1" t="n">
        <v>45881.57375</v>
      </c>
      <c r="C5073" s="1" t="n">
        <v>45895</v>
      </c>
      <c r="D5073" t="inlineStr">
        <is>
          <t>NORRBOTTENS LÄN</t>
        </is>
      </c>
      <c r="E5073" t="inlineStr">
        <is>
          <t>KALIX</t>
        </is>
      </c>
      <c r="F5073" t="inlineStr">
        <is>
          <t>SCA</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38660-2023</t>
        </is>
      </c>
      <c r="B5074" s="1" t="n">
        <v>45162.85289351852</v>
      </c>
      <c r="C5074" s="1" t="n">
        <v>45895</v>
      </c>
      <c r="D5074" t="inlineStr">
        <is>
          <t>NORRBOTTENS LÄN</t>
        </is>
      </c>
      <c r="E5074" t="inlineStr">
        <is>
          <t>PAJALA</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37206-2025</t>
        </is>
      </c>
      <c r="B5075" s="1" t="n">
        <v>45875.69855324074</v>
      </c>
      <c r="C5075" s="1" t="n">
        <v>45895</v>
      </c>
      <c r="D5075" t="inlineStr">
        <is>
          <t>NORRBOTTENS LÄN</t>
        </is>
      </c>
      <c r="E5075" t="inlineStr">
        <is>
          <t>JOKKMOKK</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1821-2025</t>
        </is>
      </c>
      <c r="B5076" s="1" t="n">
        <v>45671.52428240741</v>
      </c>
      <c r="C5076" s="1" t="n">
        <v>45895</v>
      </c>
      <c r="D5076" t="inlineStr">
        <is>
          <t>NORRBOTTENS LÄN</t>
        </is>
      </c>
      <c r="E5076" t="inlineStr">
        <is>
          <t>ÖVERKALIX</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15080-2021</t>
        </is>
      </c>
      <c r="B5077" s="1" t="n">
        <v>44281</v>
      </c>
      <c r="C5077" s="1" t="n">
        <v>45895</v>
      </c>
      <c r="D5077" t="inlineStr">
        <is>
          <t>NORRBOTTENS LÄN</t>
        </is>
      </c>
      <c r="E5077" t="inlineStr">
        <is>
          <t>PITEÅ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33114-2025</t>
        </is>
      </c>
      <c r="B5078" s="1" t="n">
        <v>45840</v>
      </c>
      <c r="C5078" s="1" t="n">
        <v>45895</v>
      </c>
      <c r="D5078" t="inlineStr">
        <is>
          <t>NORRBOTTENS LÄN</t>
        </is>
      </c>
      <c r="E5078" t="inlineStr">
        <is>
          <t>PITEÅ</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36365-2025</t>
        </is>
      </c>
      <c r="B5079" s="1" t="n">
        <v>45868.53259259259</v>
      </c>
      <c r="C5079" s="1" t="n">
        <v>45895</v>
      </c>
      <c r="D5079" t="inlineStr">
        <is>
          <t>NORRBOTTENS LÄN</t>
        </is>
      </c>
      <c r="E5079" t="inlineStr">
        <is>
          <t>PAJALA</t>
        </is>
      </c>
      <c r="F5079" t="inlineStr">
        <is>
          <t>Sveaskog</t>
        </is>
      </c>
      <c r="G5079" t="n">
        <v>30.2</v>
      </c>
      <c r="H5079" t="n">
        <v>0</v>
      </c>
      <c r="I5079" t="n">
        <v>0</v>
      </c>
      <c r="J5079" t="n">
        <v>0</v>
      </c>
      <c r="K5079" t="n">
        <v>0</v>
      </c>
      <c r="L5079" t="n">
        <v>0</v>
      </c>
      <c r="M5079" t="n">
        <v>0</v>
      </c>
      <c r="N5079" t="n">
        <v>0</v>
      </c>
      <c r="O5079" t="n">
        <v>0</v>
      </c>
      <c r="P5079" t="n">
        <v>0</v>
      </c>
      <c r="Q5079" t="n">
        <v>0</v>
      </c>
      <c r="R5079" s="2" t="inlineStr"/>
    </row>
    <row r="5080" ht="15" customHeight="1">
      <c r="A5080" t="inlineStr">
        <is>
          <t>A 36397-2025</t>
        </is>
      </c>
      <c r="B5080" s="1" t="n">
        <v>45868</v>
      </c>
      <c r="C5080" s="1" t="n">
        <v>45895</v>
      </c>
      <c r="D5080" t="inlineStr">
        <is>
          <t>NORRBOTTENS LÄN</t>
        </is>
      </c>
      <c r="E5080" t="inlineStr">
        <is>
          <t>GÄLLIVARE</t>
        </is>
      </c>
      <c r="F5080" t="inlineStr">
        <is>
          <t>SCA</t>
        </is>
      </c>
      <c r="G5080" t="n">
        <v>18.2</v>
      </c>
      <c r="H5080" t="n">
        <v>0</v>
      </c>
      <c r="I5080" t="n">
        <v>0</v>
      </c>
      <c r="J5080" t="n">
        <v>0</v>
      </c>
      <c r="K5080" t="n">
        <v>0</v>
      </c>
      <c r="L5080" t="n">
        <v>0</v>
      </c>
      <c r="M5080" t="n">
        <v>0</v>
      </c>
      <c r="N5080" t="n">
        <v>0</v>
      </c>
      <c r="O5080" t="n">
        <v>0</v>
      </c>
      <c r="P5080" t="n">
        <v>0</v>
      </c>
      <c r="Q5080" t="n">
        <v>0</v>
      </c>
      <c r="R5080" s="2" t="inlineStr"/>
    </row>
    <row r="5081" ht="15" customHeight="1">
      <c r="A5081" t="inlineStr">
        <is>
          <t>A 37726-2025</t>
        </is>
      </c>
      <c r="B5081" s="1" t="n">
        <v>45880.62</v>
      </c>
      <c r="C5081" s="1" t="n">
        <v>45895</v>
      </c>
      <c r="D5081" t="inlineStr">
        <is>
          <t>NORRBOTTENS LÄN</t>
        </is>
      </c>
      <c r="E5081" t="inlineStr">
        <is>
          <t>PAJALA</t>
        </is>
      </c>
      <c r="F5081" t="inlineStr">
        <is>
          <t>Sveaskog</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8549-2025</t>
        </is>
      </c>
      <c r="B5082" s="1" t="n">
        <v>45709</v>
      </c>
      <c r="C5082" s="1" t="n">
        <v>45895</v>
      </c>
      <c r="D5082" t="inlineStr">
        <is>
          <t>NORRBOTTENS LÄN</t>
        </is>
      </c>
      <c r="E5082" t="inlineStr">
        <is>
          <t>ÄLVSBYN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8552-2025</t>
        </is>
      </c>
      <c r="B5083" s="1" t="n">
        <v>45709</v>
      </c>
      <c r="C5083" s="1" t="n">
        <v>45895</v>
      </c>
      <c r="D5083" t="inlineStr">
        <is>
          <t>NORRBOTTENS LÄN</t>
        </is>
      </c>
      <c r="E5083" t="inlineStr">
        <is>
          <t>ÄLVSBYN</t>
        </is>
      </c>
      <c r="G5083" t="n">
        <v>10.7</v>
      </c>
      <c r="H5083" t="n">
        <v>0</v>
      </c>
      <c r="I5083" t="n">
        <v>0</v>
      </c>
      <c r="J5083" t="n">
        <v>0</v>
      </c>
      <c r="K5083" t="n">
        <v>0</v>
      </c>
      <c r="L5083" t="n">
        <v>0</v>
      </c>
      <c r="M5083" t="n">
        <v>0</v>
      </c>
      <c r="N5083" t="n">
        <v>0</v>
      </c>
      <c r="O5083" t="n">
        <v>0</v>
      </c>
      <c r="P5083" t="n">
        <v>0</v>
      </c>
      <c r="Q5083" t="n">
        <v>0</v>
      </c>
      <c r="R5083" s="2" t="inlineStr"/>
    </row>
    <row r="5084" ht="15" customHeight="1">
      <c r="A5084" t="inlineStr">
        <is>
          <t>A 8553-2025</t>
        </is>
      </c>
      <c r="B5084" s="1" t="n">
        <v>45709</v>
      </c>
      <c r="C5084" s="1" t="n">
        <v>45895</v>
      </c>
      <c r="D5084" t="inlineStr">
        <is>
          <t>NORRBOTTENS LÄN</t>
        </is>
      </c>
      <c r="E5084" t="inlineStr">
        <is>
          <t>ÄLVSBYN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48464-2024</t>
        </is>
      </c>
      <c r="B5085" s="1" t="n">
        <v>45590</v>
      </c>
      <c r="C5085" s="1" t="n">
        <v>45895</v>
      </c>
      <c r="D5085" t="inlineStr">
        <is>
          <t>NORRBOTTENS LÄN</t>
        </is>
      </c>
      <c r="E5085" t="inlineStr">
        <is>
          <t>ARVIDSJAUR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48471-2024</t>
        </is>
      </c>
      <c r="B5086" s="1" t="n">
        <v>45591</v>
      </c>
      <c r="C5086" s="1" t="n">
        <v>45895</v>
      </c>
      <c r="D5086" t="inlineStr">
        <is>
          <t>NORRBOTTENS LÄN</t>
        </is>
      </c>
      <c r="E5086" t="inlineStr">
        <is>
          <t>BODEN</t>
        </is>
      </c>
      <c r="F5086" t="inlineStr">
        <is>
          <t>SCA</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55413-2024</t>
        </is>
      </c>
      <c r="B5087" s="1" t="n">
        <v>45622</v>
      </c>
      <c r="C5087" s="1" t="n">
        <v>45895</v>
      </c>
      <c r="D5087" t="inlineStr">
        <is>
          <t>NORRBOTTENS LÄN</t>
        </is>
      </c>
      <c r="E5087" t="inlineStr">
        <is>
          <t>GÄLLIVARE</t>
        </is>
      </c>
      <c r="F5087" t="inlineStr">
        <is>
          <t>Sveaskog</t>
        </is>
      </c>
      <c r="G5087" t="n">
        <v>40.9</v>
      </c>
      <c r="H5087" t="n">
        <v>0</v>
      </c>
      <c r="I5087" t="n">
        <v>0</v>
      </c>
      <c r="J5087" t="n">
        <v>0</v>
      </c>
      <c r="K5087" t="n">
        <v>0</v>
      </c>
      <c r="L5087" t="n">
        <v>0</v>
      </c>
      <c r="M5087" t="n">
        <v>0</v>
      </c>
      <c r="N5087" t="n">
        <v>0</v>
      </c>
      <c r="O5087" t="n">
        <v>0</v>
      </c>
      <c r="P5087" t="n">
        <v>0</v>
      </c>
      <c r="Q5087" t="n">
        <v>0</v>
      </c>
      <c r="R5087" s="2" t="inlineStr"/>
    </row>
    <row r="5088" ht="15" customHeight="1">
      <c r="A5088" t="inlineStr">
        <is>
          <t>A 9502-2025</t>
        </is>
      </c>
      <c r="B5088" s="1" t="n">
        <v>45714</v>
      </c>
      <c r="C5088" s="1" t="n">
        <v>45895</v>
      </c>
      <c r="D5088" t="inlineStr">
        <is>
          <t>NORRBOTTENS LÄN</t>
        </is>
      </c>
      <c r="E5088" t="inlineStr">
        <is>
          <t>LULEÅ</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41653-2023</t>
        </is>
      </c>
      <c r="B5089" s="1" t="n">
        <v>45175.95738425926</v>
      </c>
      <c r="C5089" s="1" t="n">
        <v>45895</v>
      </c>
      <c r="D5089" t="inlineStr">
        <is>
          <t>NORRBOTTENS LÄN</t>
        </is>
      </c>
      <c r="E5089" t="inlineStr">
        <is>
          <t>GÄLLIVARE</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20259-2025</t>
        </is>
      </c>
      <c r="B5090" s="1" t="n">
        <v>45773.344375</v>
      </c>
      <c r="C5090" s="1" t="n">
        <v>45895</v>
      </c>
      <c r="D5090" t="inlineStr">
        <is>
          <t>NORRBOTTENS LÄN</t>
        </is>
      </c>
      <c r="E5090" t="inlineStr">
        <is>
          <t>GÄLLIVARE</t>
        </is>
      </c>
      <c r="F5090" t="inlineStr">
        <is>
          <t>SCA</t>
        </is>
      </c>
      <c r="G5090" t="n">
        <v>25.2</v>
      </c>
      <c r="H5090" t="n">
        <v>0</v>
      </c>
      <c r="I5090" t="n">
        <v>0</v>
      </c>
      <c r="J5090" t="n">
        <v>0</v>
      </c>
      <c r="K5090" t="n">
        <v>0</v>
      </c>
      <c r="L5090" t="n">
        <v>0</v>
      </c>
      <c r="M5090" t="n">
        <v>0</v>
      </c>
      <c r="N5090" t="n">
        <v>0</v>
      </c>
      <c r="O5090" t="n">
        <v>0</v>
      </c>
      <c r="P5090" t="n">
        <v>0</v>
      </c>
      <c r="Q5090" t="n">
        <v>0</v>
      </c>
      <c r="R5090" s="2" t="inlineStr"/>
    </row>
    <row r="5091" ht="15" customHeight="1">
      <c r="A5091" t="inlineStr">
        <is>
          <t>A 44531-2023</t>
        </is>
      </c>
      <c r="B5091" s="1" t="n">
        <v>45183</v>
      </c>
      <c r="C5091" s="1" t="n">
        <v>45895</v>
      </c>
      <c r="D5091" t="inlineStr">
        <is>
          <t>NORRBOTTENS LÄN</t>
        </is>
      </c>
      <c r="E5091" t="inlineStr">
        <is>
          <t>LULEÅ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38116-2025</t>
        </is>
      </c>
      <c r="B5092" s="1" t="n">
        <v>45882.53196759259</v>
      </c>
      <c r="C5092" s="1" t="n">
        <v>45895</v>
      </c>
      <c r="D5092" t="inlineStr">
        <is>
          <t>NORRBOTTENS LÄN</t>
        </is>
      </c>
      <c r="E5092" t="inlineStr">
        <is>
          <t>PAJALA</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4636-2025</t>
        </is>
      </c>
      <c r="B5093" s="1" t="n">
        <v>45687.64724537037</v>
      </c>
      <c r="C5093" s="1" t="n">
        <v>45895</v>
      </c>
      <c r="D5093" t="inlineStr">
        <is>
          <t>NORRBOTTENS LÄN</t>
        </is>
      </c>
      <c r="E5093" t="inlineStr">
        <is>
          <t>GÄLLIVARE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4693-2025</t>
        </is>
      </c>
      <c r="B5094" s="1" t="n">
        <v>45688.35549768519</v>
      </c>
      <c r="C5094" s="1" t="n">
        <v>45895</v>
      </c>
      <c r="D5094" t="inlineStr">
        <is>
          <t>NORRBOTTENS LÄN</t>
        </is>
      </c>
      <c r="E5094" t="inlineStr">
        <is>
          <t>PITEÅ</t>
        </is>
      </c>
      <c r="F5094" t="inlineStr">
        <is>
          <t>Övriga Aktiebolag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15486-2025</t>
        </is>
      </c>
      <c r="B5095" s="1" t="n">
        <v>45747.57071759259</v>
      </c>
      <c r="C5095" s="1" t="n">
        <v>45895</v>
      </c>
      <c r="D5095" t="inlineStr">
        <is>
          <t>NORRBOTTENS LÄN</t>
        </is>
      </c>
      <c r="E5095" t="inlineStr">
        <is>
          <t>BODEN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665-2023</t>
        </is>
      </c>
      <c r="B5096" s="1" t="n">
        <v>44925</v>
      </c>
      <c r="C5096" s="1" t="n">
        <v>45895</v>
      </c>
      <c r="D5096" t="inlineStr">
        <is>
          <t>NORRBOTTENS LÄN</t>
        </is>
      </c>
      <c r="E5096" t="inlineStr">
        <is>
          <t>BODEN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37784-2025</t>
        </is>
      </c>
      <c r="B5097" s="1" t="n">
        <v>45880.95241898148</v>
      </c>
      <c r="C5097" s="1" t="n">
        <v>45895</v>
      </c>
      <c r="D5097" t="inlineStr">
        <is>
          <t>NORRBOTTENS LÄN</t>
        </is>
      </c>
      <c r="E5097" t="inlineStr">
        <is>
          <t>LULEÅ</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25159-2024</t>
        </is>
      </c>
      <c r="B5098" s="1" t="n">
        <v>45462.52538194445</v>
      </c>
      <c r="C5098" s="1" t="n">
        <v>45895</v>
      </c>
      <c r="D5098" t="inlineStr">
        <is>
          <t>NORRBOTTENS LÄN</t>
        </is>
      </c>
      <c r="E5098" t="inlineStr">
        <is>
          <t>HAPARANDA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33224-2025</t>
        </is>
      </c>
      <c r="B5099" s="1" t="n">
        <v>45840.63581018519</v>
      </c>
      <c r="C5099" s="1" t="n">
        <v>45895</v>
      </c>
      <c r="D5099" t="inlineStr">
        <is>
          <t>NORRBOTTENS LÄN</t>
        </is>
      </c>
      <c r="E5099" t="inlineStr">
        <is>
          <t>ÖVERKALIX</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37783-2025</t>
        </is>
      </c>
      <c r="B5100" s="1" t="n">
        <v>45880.94430555555</v>
      </c>
      <c r="C5100" s="1" t="n">
        <v>45895</v>
      </c>
      <c r="D5100" t="inlineStr">
        <is>
          <t>NORRBOTTENS LÄN</t>
        </is>
      </c>
      <c r="E5100" t="inlineStr">
        <is>
          <t>LULEÅ</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64333-2023</t>
        </is>
      </c>
      <c r="B5101" s="1" t="n">
        <v>45280</v>
      </c>
      <c r="C5101" s="1" t="n">
        <v>45895</v>
      </c>
      <c r="D5101" t="inlineStr">
        <is>
          <t>NORRBOTTENS LÄN</t>
        </is>
      </c>
      <c r="E5101" t="inlineStr">
        <is>
          <t>KALIX</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9314-2025</t>
        </is>
      </c>
      <c r="B5102" s="1" t="n">
        <v>45714.69826388889</v>
      </c>
      <c r="C5102" s="1" t="n">
        <v>45895</v>
      </c>
      <c r="D5102" t="inlineStr">
        <is>
          <t>NORRBOTTENS LÄN</t>
        </is>
      </c>
      <c r="E5102" t="inlineStr">
        <is>
          <t>BODEN</t>
        </is>
      </c>
      <c r="F5102" t="inlineStr">
        <is>
          <t>SCA</t>
        </is>
      </c>
      <c r="G5102" t="n">
        <v>30</v>
      </c>
      <c r="H5102" t="n">
        <v>0</v>
      </c>
      <c r="I5102" t="n">
        <v>0</v>
      </c>
      <c r="J5102" t="n">
        <v>0</v>
      </c>
      <c r="K5102" t="n">
        <v>0</v>
      </c>
      <c r="L5102" t="n">
        <v>0</v>
      </c>
      <c r="M5102" t="n">
        <v>0</v>
      </c>
      <c r="N5102" t="n">
        <v>0</v>
      </c>
      <c r="O5102" t="n">
        <v>0</v>
      </c>
      <c r="P5102" t="n">
        <v>0</v>
      </c>
      <c r="Q5102" t="n">
        <v>0</v>
      </c>
      <c r="R5102" s="2" t="inlineStr"/>
    </row>
    <row r="5103" ht="15" customHeight="1">
      <c r="A5103" t="inlineStr">
        <is>
          <t>A 2003-2024</t>
        </is>
      </c>
      <c r="B5103" s="1" t="n">
        <v>45308.65068287037</v>
      </c>
      <c r="C5103" s="1" t="n">
        <v>45895</v>
      </c>
      <c r="D5103" t="inlineStr">
        <is>
          <t>NORRBOTTENS LÄN</t>
        </is>
      </c>
      <c r="E5103" t="inlineStr">
        <is>
          <t>ÖVERKALIX</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7390-2023</t>
        </is>
      </c>
      <c r="B5104" s="1" t="n">
        <v>44966</v>
      </c>
      <c r="C5104" s="1" t="n">
        <v>45895</v>
      </c>
      <c r="D5104" t="inlineStr">
        <is>
          <t>NORRBOTTENS LÄN</t>
        </is>
      </c>
      <c r="E5104" t="inlineStr">
        <is>
          <t>LULEÅ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51987-2023</t>
        </is>
      </c>
      <c r="B5105" s="1" t="n">
        <v>45216</v>
      </c>
      <c r="C5105" s="1" t="n">
        <v>45895</v>
      </c>
      <c r="D5105" t="inlineStr">
        <is>
          <t>NORRBOTTENS LÄN</t>
        </is>
      </c>
      <c r="E5105" t="inlineStr">
        <is>
          <t>PAJALA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25559-2022</t>
        </is>
      </c>
      <c r="B5106" s="1" t="n">
        <v>44732</v>
      </c>
      <c r="C5106" s="1" t="n">
        <v>45895</v>
      </c>
      <c r="D5106" t="inlineStr">
        <is>
          <t>NORRBOTTENS LÄN</t>
        </is>
      </c>
      <c r="E5106" t="inlineStr">
        <is>
          <t>ARJEPLOG</t>
        </is>
      </c>
      <c r="F5106" t="inlineStr">
        <is>
          <t>Övriga statliga verk och myndigheter</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58476-2023</t>
        </is>
      </c>
      <c r="B5107" s="1" t="n">
        <v>45246</v>
      </c>
      <c r="C5107" s="1" t="n">
        <v>45895</v>
      </c>
      <c r="D5107" t="inlineStr">
        <is>
          <t>NORRBOTTENS LÄN</t>
        </is>
      </c>
      <c r="E5107" t="inlineStr">
        <is>
          <t>ÄLVSBYN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3792-2025</t>
        </is>
      </c>
      <c r="B5108" s="1" t="n">
        <v>45681.6428125</v>
      </c>
      <c r="C5108" s="1" t="n">
        <v>45895</v>
      </c>
      <c r="D5108" t="inlineStr">
        <is>
          <t>NORRBOTTENS LÄN</t>
        </is>
      </c>
      <c r="E5108" t="inlineStr">
        <is>
          <t>KALIX</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3797-2025</t>
        </is>
      </c>
      <c r="B5109" s="1" t="n">
        <v>45681.65133101852</v>
      </c>
      <c r="C5109" s="1" t="n">
        <v>45895</v>
      </c>
      <c r="D5109" t="inlineStr">
        <is>
          <t>NORRBOTTENS LÄN</t>
        </is>
      </c>
      <c r="E5109" t="inlineStr">
        <is>
          <t>KALIX</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3801-2025</t>
        </is>
      </c>
      <c r="B5110" s="1" t="n">
        <v>45681.66283564815</v>
      </c>
      <c r="C5110" s="1" t="n">
        <v>45895</v>
      </c>
      <c r="D5110" t="inlineStr">
        <is>
          <t>NORRBOTTENS LÄN</t>
        </is>
      </c>
      <c r="E5110" t="inlineStr">
        <is>
          <t>KALIX</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38191-2025</t>
        </is>
      </c>
      <c r="B5111" s="1" t="n">
        <v>45882.65697916667</v>
      </c>
      <c r="C5111" s="1" t="n">
        <v>45895</v>
      </c>
      <c r="D5111" t="inlineStr">
        <is>
          <t>NORRBOTTENS LÄN</t>
        </is>
      </c>
      <c r="E5111" t="inlineStr">
        <is>
          <t>ÖVERKALIX</t>
        </is>
      </c>
      <c r="F5111" t="inlineStr">
        <is>
          <t>SCA</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58536-2024</t>
        </is>
      </c>
      <c r="B5112" s="1" t="n">
        <v>45635.45011574074</v>
      </c>
      <c r="C5112" s="1" t="n">
        <v>45895</v>
      </c>
      <c r="D5112" t="inlineStr">
        <is>
          <t>NORRBOTTENS LÄN</t>
        </is>
      </c>
      <c r="E5112" t="inlineStr">
        <is>
          <t>ÖVERTORNEÅ</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33130-2025</t>
        </is>
      </c>
      <c r="B5113" s="1" t="n">
        <v>45840.50157407407</v>
      </c>
      <c r="C5113" s="1" t="n">
        <v>45895</v>
      </c>
      <c r="D5113" t="inlineStr">
        <is>
          <t>NORRBOTTENS LÄN</t>
        </is>
      </c>
      <c r="E5113" t="inlineStr">
        <is>
          <t>BODEN</t>
        </is>
      </c>
      <c r="F5113" t="inlineStr">
        <is>
          <t>Sveaskog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38093-2025</t>
        </is>
      </c>
      <c r="B5114" s="1" t="n">
        <v>45882.49021990741</v>
      </c>
      <c r="C5114" s="1" t="n">
        <v>45895</v>
      </c>
      <c r="D5114" t="inlineStr">
        <is>
          <t>NORRBOTTENS LÄN</t>
        </is>
      </c>
      <c r="E5114" t="inlineStr">
        <is>
          <t>PAJALA</t>
        </is>
      </c>
      <c r="F5114" t="inlineStr">
        <is>
          <t>SCA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10815-2024</t>
        </is>
      </c>
      <c r="B5115" s="1" t="n">
        <v>45369</v>
      </c>
      <c r="C5115" s="1" t="n">
        <v>45895</v>
      </c>
      <c r="D5115" t="inlineStr">
        <is>
          <t>NORRBOTTENS LÄN</t>
        </is>
      </c>
      <c r="E5115" t="inlineStr">
        <is>
          <t>LULEÅ</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37918-2025</t>
        </is>
      </c>
      <c r="B5116" s="1" t="n">
        <v>45881.57458333333</v>
      </c>
      <c r="C5116" s="1" t="n">
        <v>45895</v>
      </c>
      <c r="D5116" t="inlineStr">
        <is>
          <t>NORRBOTTENS LÄN</t>
        </is>
      </c>
      <c r="E5116" t="inlineStr">
        <is>
          <t>KALIX</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33183-2025</t>
        </is>
      </c>
      <c r="B5117" s="1" t="n">
        <v>45840.59206018518</v>
      </c>
      <c r="C5117" s="1" t="n">
        <v>45895</v>
      </c>
      <c r="D5117" t="inlineStr">
        <is>
          <t>NORRBOTTENS LÄN</t>
        </is>
      </c>
      <c r="E5117" t="inlineStr">
        <is>
          <t>KIRUNA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37722-2025</t>
        </is>
      </c>
      <c r="B5118" s="1" t="n">
        <v>45880.61525462963</v>
      </c>
      <c r="C5118" s="1" t="n">
        <v>45895</v>
      </c>
      <c r="D5118" t="inlineStr">
        <is>
          <t>NORRBOTTENS LÄN</t>
        </is>
      </c>
      <c r="E5118" t="inlineStr">
        <is>
          <t>PITEÅ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35974-2025</t>
        </is>
      </c>
      <c r="B5119" s="1" t="n">
        <v>45863.42761574074</v>
      </c>
      <c r="C5119" s="1" t="n">
        <v>45895</v>
      </c>
      <c r="D5119" t="inlineStr">
        <is>
          <t>NORRBOTTENS LÄN</t>
        </is>
      </c>
      <c r="E5119" t="inlineStr">
        <is>
          <t>PITEÅ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17531-2025</t>
        </is>
      </c>
      <c r="B5120" s="1" t="n">
        <v>45757</v>
      </c>
      <c r="C5120" s="1" t="n">
        <v>45895</v>
      </c>
      <c r="D5120" t="inlineStr">
        <is>
          <t>NORRBOTTENS LÄN</t>
        </is>
      </c>
      <c r="E5120" t="inlineStr">
        <is>
          <t>ÖVERKALIX</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21589-2023</t>
        </is>
      </c>
      <c r="B5121" s="1" t="n">
        <v>45063</v>
      </c>
      <c r="C5121" s="1" t="n">
        <v>45895</v>
      </c>
      <c r="D5121" t="inlineStr">
        <is>
          <t>NORRBOTTENS LÄN</t>
        </is>
      </c>
      <c r="E5121" t="inlineStr">
        <is>
          <t>KALIX</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7649-2025</t>
        </is>
      </c>
      <c r="B5122" s="1" t="n">
        <v>45705</v>
      </c>
      <c r="C5122" s="1" t="n">
        <v>45895</v>
      </c>
      <c r="D5122" t="inlineStr">
        <is>
          <t>NORRBOTTENS LÄN</t>
        </is>
      </c>
      <c r="E5122" t="inlineStr">
        <is>
          <t>GÄLLIVARE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7689-2025</t>
        </is>
      </c>
      <c r="B5123" s="1" t="n">
        <v>45706</v>
      </c>
      <c r="C5123" s="1" t="n">
        <v>45895</v>
      </c>
      <c r="D5123" t="inlineStr">
        <is>
          <t>NORRBOTTENS LÄN</t>
        </is>
      </c>
      <c r="E5123" t="inlineStr">
        <is>
          <t>LULEÅ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3387-2023</t>
        </is>
      </c>
      <c r="B5124" s="1" t="n">
        <v>44945</v>
      </c>
      <c r="C5124" s="1" t="n">
        <v>45895</v>
      </c>
      <c r="D5124" t="inlineStr">
        <is>
          <t>NORRBOTTENS LÄN</t>
        </is>
      </c>
      <c r="E5124" t="inlineStr">
        <is>
          <t>KALIX</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9706-2022</t>
        </is>
      </c>
      <c r="B5125" s="1" t="n">
        <v>44617</v>
      </c>
      <c r="C5125" s="1" t="n">
        <v>45895</v>
      </c>
      <c r="D5125" t="inlineStr">
        <is>
          <t>NORRBOTTENS LÄN</t>
        </is>
      </c>
      <c r="E5125" t="inlineStr">
        <is>
          <t>LULEÅ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34210-2021</t>
        </is>
      </c>
      <c r="B5126" s="1" t="n">
        <v>44379</v>
      </c>
      <c r="C5126" s="1" t="n">
        <v>45895</v>
      </c>
      <c r="D5126" t="inlineStr">
        <is>
          <t>NORRBOTTENS LÄN</t>
        </is>
      </c>
      <c r="E5126" t="inlineStr">
        <is>
          <t>KALIX</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33908-2021</t>
        </is>
      </c>
      <c r="B5127" s="1" t="n">
        <v>44378</v>
      </c>
      <c r="C5127" s="1" t="n">
        <v>45895</v>
      </c>
      <c r="D5127" t="inlineStr">
        <is>
          <t>NORRBOTTENS LÄN</t>
        </is>
      </c>
      <c r="E5127" t="inlineStr">
        <is>
          <t>BODEN</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50472-2022</t>
        </is>
      </c>
      <c r="B5128" s="1" t="n">
        <v>44861</v>
      </c>
      <c r="C5128" s="1" t="n">
        <v>45895</v>
      </c>
      <c r="D5128" t="inlineStr">
        <is>
          <t>NORRBOTTENS LÄN</t>
        </is>
      </c>
      <c r="E5128" t="inlineStr">
        <is>
          <t>ARVIDSJAUR</t>
        </is>
      </c>
      <c r="F5128" t="inlineStr">
        <is>
          <t>Allmännings- och besparingsskogar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38305-2025</t>
        </is>
      </c>
      <c r="B5129" s="1" t="n">
        <v>45883.46922453704</v>
      </c>
      <c r="C5129" s="1" t="n">
        <v>45895</v>
      </c>
      <c r="D5129" t="inlineStr">
        <is>
          <t>NORRBOTTENS LÄN</t>
        </is>
      </c>
      <c r="E5129" t="inlineStr">
        <is>
          <t>PITEÅ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38114-2025</t>
        </is>
      </c>
      <c r="B5130" s="1" t="n">
        <v>45882.53162037037</v>
      </c>
      <c r="C5130" s="1" t="n">
        <v>45895</v>
      </c>
      <c r="D5130" t="inlineStr">
        <is>
          <t>NORRBOTTENS LÄN</t>
        </is>
      </c>
      <c r="E5130" t="inlineStr">
        <is>
          <t>PAJALA</t>
        </is>
      </c>
      <c r="F5130" t="inlineStr">
        <is>
          <t>SCA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38124-2025</t>
        </is>
      </c>
      <c r="B5131" s="1" t="n">
        <v>45882.55276620371</v>
      </c>
      <c r="C5131" s="1" t="n">
        <v>45895</v>
      </c>
      <c r="D5131" t="inlineStr">
        <is>
          <t>NORRBOTTENS LÄN</t>
        </is>
      </c>
      <c r="E5131" t="inlineStr">
        <is>
          <t>PAJALA</t>
        </is>
      </c>
      <c r="F5131" t="inlineStr">
        <is>
          <t>SCA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60030-2021</t>
        </is>
      </c>
      <c r="B5132" s="1" t="n">
        <v>44494</v>
      </c>
      <c r="C5132" s="1" t="n">
        <v>45895</v>
      </c>
      <c r="D5132" t="inlineStr">
        <is>
          <t>NORRBOTTENS LÄN</t>
        </is>
      </c>
      <c r="E5132" t="inlineStr">
        <is>
          <t>ÄLVSBYN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51350-2024</t>
        </is>
      </c>
      <c r="B5133" s="1" t="n">
        <v>45604.35761574074</v>
      </c>
      <c r="C5133" s="1" t="n">
        <v>45895</v>
      </c>
      <c r="D5133" t="inlineStr">
        <is>
          <t>NORRBOTTENS LÄN</t>
        </is>
      </c>
      <c r="E5133" t="inlineStr">
        <is>
          <t>PITEÅ</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4136-2024</t>
        </is>
      </c>
      <c r="B5134" s="1" t="n">
        <v>45323</v>
      </c>
      <c r="C5134" s="1" t="n">
        <v>45895</v>
      </c>
      <c r="D5134" t="inlineStr">
        <is>
          <t>NORRBOTTENS LÄN</t>
        </is>
      </c>
      <c r="E5134" t="inlineStr">
        <is>
          <t>JOKKMOKK</t>
        </is>
      </c>
      <c r="G5134" t="n">
        <v>27.3</v>
      </c>
      <c r="H5134" t="n">
        <v>0</v>
      </c>
      <c r="I5134" t="n">
        <v>0</v>
      </c>
      <c r="J5134" t="n">
        <v>0</v>
      </c>
      <c r="K5134" t="n">
        <v>0</v>
      </c>
      <c r="L5134" t="n">
        <v>0</v>
      </c>
      <c r="M5134" t="n">
        <v>0</v>
      </c>
      <c r="N5134" t="n">
        <v>0</v>
      </c>
      <c r="O5134" t="n">
        <v>0</v>
      </c>
      <c r="P5134" t="n">
        <v>0</v>
      </c>
      <c r="Q5134" t="n">
        <v>0</v>
      </c>
      <c r="R5134" s="2" t="inlineStr"/>
    </row>
    <row r="5135" ht="15" customHeight="1">
      <c r="A5135" t="inlineStr">
        <is>
          <t>A 5771-2023</t>
        </is>
      </c>
      <c r="B5135" s="1" t="n">
        <v>44958</v>
      </c>
      <c r="C5135" s="1" t="n">
        <v>45895</v>
      </c>
      <c r="D5135" t="inlineStr">
        <is>
          <t>NORRBOTTENS LÄN</t>
        </is>
      </c>
      <c r="E5135" t="inlineStr">
        <is>
          <t>PAJALA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55917-2024</t>
        </is>
      </c>
      <c r="B5136" s="1" t="n">
        <v>45622</v>
      </c>
      <c r="C5136" s="1" t="n">
        <v>45895</v>
      </c>
      <c r="D5136" t="inlineStr">
        <is>
          <t>NORRBOTTENS LÄN</t>
        </is>
      </c>
      <c r="E5136" t="inlineStr">
        <is>
          <t>ARVIDSJAUR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45072-2023</t>
        </is>
      </c>
      <c r="B5137" s="1" t="n">
        <v>45187</v>
      </c>
      <c r="C5137" s="1" t="n">
        <v>45895</v>
      </c>
      <c r="D5137" t="inlineStr">
        <is>
          <t>NORRBOTTENS LÄN</t>
        </is>
      </c>
      <c r="E5137" t="inlineStr">
        <is>
          <t>ARJEPLOG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3220-2024</t>
        </is>
      </c>
      <c r="B5138" s="1" t="n">
        <v>45316</v>
      </c>
      <c r="C5138" s="1" t="n">
        <v>45895</v>
      </c>
      <c r="D5138" t="inlineStr">
        <is>
          <t>NORRBOTTENS LÄN</t>
        </is>
      </c>
      <c r="E5138" t="inlineStr">
        <is>
          <t>PITEÅ</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26035-2023</t>
        </is>
      </c>
      <c r="B5139" s="1" t="n">
        <v>45091</v>
      </c>
      <c r="C5139" s="1" t="n">
        <v>45895</v>
      </c>
      <c r="D5139" t="inlineStr">
        <is>
          <t>NORRBOTTENS LÄN</t>
        </is>
      </c>
      <c r="E5139" t="inlineStr">
        <is>
          <t>BODEN</t>
        </is>
      </c>
      <c r="G5139" t="n">
        <v>14.1</v>
      </c>
      <c r="H5139" t="n">
        <v>0</v>
      </c>
      <c r="I5139" t="n">
        <v>0</v>
      </c>
      <c r="J5139" t="n">
        <v>0</v>
      </c>
      <c r="K5139" t="n">
        <v>0</v>
      </c>
      <c r="L5139" t="n">
        <v>0</v>
      </c>
      <c r="M5139" t="n">
        <v>0</v>
      </c>
      <c r="N5139" t="n">
        <v>0</v>
      </c>
      <c r="O5139" t="n">
        <v>0</v>
      </c>
      <c r="P5139" t="n">
        <v>0</v>
      </c>
      <c r="Q5139" t="n">
        <v>0</v>
      </c>
      <c r="R5139" s="2" t="inlineStr"/>
    </row>
    <row r="5140" ht="15" customHeight="1">
      <c r="A5140" t="inlineStr">
        <is>
          <t>A 18208-2023</t>
        </is>
      </c>
      <c r="B5140" s="1" t="n">
        <v>45040</v>
      </c>
      <c r="C5140" s="1" t="n">
        <v>45895</v>
      </c>
      <c r="D5140" t="inlineStr">
        <is>
          <t>NORRBOTTENS LÄN</t>
        </is>
      </c>
      <c r="E5140" t="inlineStr">
        <is>
          <t>LULEÅ</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14803-2023</t>
        </is>
      </c>
      <c r="B5141" s="1" t="n">
        <v>45013</v>
      </c>
      <c r="C5141" s="1" t="n">
        <v>45895</v>
      </c>
      <c r="D5141" t="inlineStr">
        <is>
          <t>NORRBOTTENS LÄN</t>
        </is>
      </c>
      <c r="E5141" t="inlineStr">
        <is>
          <t>LULEÅ</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39775-2022</t>
        </is>
      </c>
      <c r="B5142" s="1" t="n">
        <v>44819</v>
      </c>
      <c r="C5142" s="1" t="n">
        <v>45895</v>
      </c>
      <c r="D5142" t="inlineStr">
        <is>
          <t>NORRBOTTENS LÄN</t>
        </is>
      </c>
      <c r="E5142" t="inlineStr">
        <is>
          <t>ARVIDSJAUR</t>
        </is>
      </c>
      <c r="F5142" t="inlineStr">
        <is>
          <t>Sveaskog</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52323-2024</t>
        </is>
      </c>
      <c r="B5143" s="1" t="n">
        <v>45608</v>
      </c>
      <c r="C5143" s="1" t="n">
        <v>45895</v>
      </c>
      <c r="D5143" t="inlineStr">
        <is>
          <t>NORRBOTTENS LÄN</t>
        </is>
      </c>
      <c r="E5143" t="inlineStr">
        <is>
          <t>ÖVERTORNEÅ</t>
        </is>
      </c>
      <c r="G5143" t="n">
        <v>18.1</v>
      </c>
      <c r="H5143" t="n">
        <v>0</v>
      </c>
      <c r="I5143" t="n">
        <v>0</v>
      </c>
      <c r="J5143" t="n">
        <v>0</v>
      </c>
      <c r="K5143" t="n">
        <v>0</v>
      </c>
      <c r="L5143" t="n">
        <v>0</v>
      </c>
      <c r="M5143" t="n">
        <v>0</v>
      </c>
      <c r="N5143" t="n">
        <v>0</v>
      </c>
      <c r="O5143" t="n">
        <v>0</v>
      </c>
      <c r="P5143" t="n">
        <v>0</v>
      </c>
      <c r="Q5143" t="n">
        <v>0</v>
      </c>
      <c r="R5143" s="2" t="inlineStr"/>
    </row>
    <row r="5144" ht="15" customHeight="1">
      <c r="A5144" t="inlineStr">
        <is>
          <t>A 41927-2024</t>
        </is>
      </c>
      <c r="B5144" s="1" t="n">
        <v>45561.55981481481</v>
      </c>
      <c r="C5144" s="1" t="n">
        <v>45895</v>
      </c>
      <c r="D5144" t="inlineStr">
        <is>
          <t>NORRBOTTENS LÄN</t>
        </is>
      </c>
      <c r="E5144" t="inlineStr">
        <is>
          <t>GÄLLIVARE</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42024-2024</t>
        </is>
      </c>
      <c r="B5145" s="1" t="n">
        <v>45561.72005787037</v>
      </c>
      <c r="C5145" s="1" t="n">
        <v>45895</v>
      </c>
      <c r="D5145" t="inlineStr">
        <is>
          <t>NORRBOTTENS LÄN</t>
        </is>
      </c>
      <c r="E5145" t="inlineStr">
        <is>
          <t>LULEÅ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14216-2025</t>
        </is>
      </c>
      <c r="B5146" s="1" t="n">
        <v>45740.58505787037</v>
      </c>
      <c r="C5146" s="1" t="n">
        <v>45895</v>
      </c>
      <c r="D5146" t="inlineStr">
        <is>
          <t>NORRBOTTENS LÄN</t>
        </is>
      </c>
      <c r="E5146" t="inlineStr">
        <is>
          <t>LULEÅ</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33551-2025</t>
        </is>
      </c>
      <c r="B5147" s="1" t="n">
        <v>45841.57357638889</v>
      </c>
      <c r="C5147" s="1" t="n">
        <v>45895</v>
      </c>
      <c r="D5147" t="inlineStr">
        <is>
          <t>NORRBOTTENS LÄN</t>
        </is>
      </c>
      <c r="E5147" t="inlineStr">
        <is>
          <t>JOKKMOKK</t>
        </is>
      </c>
      <c r="F5147" t="inlineStr">
        <is>
          <t>SCA</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37448-2025</t>
        </is>
      </c>
      <c r="B5148" s="1" t="n">
        <v>45877</v>
      </c>
      <c r="C5148" s="1" t="n">
        <v>45895</v>
      </c>
      <c r="D5148" t="inlineStr">
        <is>
          <t>NORRBOTTENS LÄN</t>
        </is>
      </c>
      <c r="E5148" t="inlineStr">
        <is>
          <t>ARVIDSJAUR</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14757-2023</t>
        </is>
      </c>
      <c r="B5149" s="1" t="n">
        <v>45014.54700231482</v>
      </c>
      <c r="C5149" s="1" t="n">
        <v>45895</v>
      </c>
      <c r="D5149" t="inlineStr">
        <is>
          <t>NORRBOTTENS LÄN</t>
        </is>
      </c>
      <c r="E5149" t="inlineStr">
        <is>
          <t>BODEN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46196-2023</t>
        </is>
      </c>
      <c r="B5150" s="1" t="n">
        <v>45190</v>
      </c>
      <c r="C5150" s="1" t="n">
        <v>45895</v>
      </c>
      <c r="D5150" t="inlineStr">
        <is>
          <t>NORRBOTTENS LÄN</t>
        </is>
      </c>
      <c r="E5150" t="inlineStr">
        <is>
          <t>KALIX</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46271-2023</t>
        </is>
      </c>
      <c r="B5151" s="1" t="n">
        <v>45196</v>
      </c>
      <c r="C5151" s="1" t="n">
        <v>45895</v>
      </c>
      <c r="D5151" t="inlineStr">
        <is>
          <t>NORRBOTTENS LÄN</t>
        </is>
      </c>
      <c r="E5151" t="inlineStr">
        <is>
          <t>GÄLLIVARE</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2538-2021</t>
        </is>
      </c>
      <c r="B5152" s="1" t="n">
        <v>44214</v>
      </c>
      <c r="C5152" s="1" t="n">
        <v>45895</v>
      </c>
      <c r="D5152" t="inlineStr">
        <is>
          <t>NORRBOTTENS LÄN</t>
        </is>
      </c>
      <c r="E5152" t="inlineStr">
        <is>
          <t>GÄLLIVARE</t>
        </is>
      </c>
      <c r="F5152" t="inlineStr">
        <is>
          <t>Kommuner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46301-2023</t>
        </is>
      </c>
      <c r="B5153" s="1" t="n">
        <v>45197</v>
      </c>
      <c r="C5153" s="1" t="n">
        <v>45895</v>
      </c>
      <c r="D5153" t="inlineStr">
        <is>
          <t>NORRBOTTENS LÄN</t>
        </is>
      </c>
      <c r="E5153" t="inlineStr">
        <is>
          <t>HAPARANDA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63285-2023</t>
        </is>
      </c>
      <c r="B5154" s="1" t="n">
        <v>45273.92435185185</v>
      </c>
      <c r="C5154" s="1" t="n">
        <v>45895</v>
      </c>
      <c r="D5154" t="inlineStr">
        <is>
          <t>NORRBOTTENS LÄN</t>
        </is>
      </c>
      <c r="E5154" t="inlineStr">
        <is>
          <t>ÖVERTORNEÅ</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30291-2023</t>
        </is>
      </c>
      <c r="B5155" s="1" t="n">
        <v>45110.92523148148</v>
      </c>
      <c r="C5155" s="1" t="n">
        <v>45895</v>
      </c>
      <c r="D5155" t="inlineStr">
        <is>
          <t>NORRBOTTENS LÄN</t>
        </is>
      </c>
      <c r="E5155" t="inlineStr">
        <is>
          <t>JOKKMOKK</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12865-2023</t>
        </is>
      </c>
      <c r="B5156" s="1" t="n">
        <v>45001</v>
      </c>
      <c r="C5156" s="1" t="n">
        <v>45895</v>
      </c>
      <c r="D5156" t="inlineStr">
        <is>
          <t>NORRBOTTENS LÄN</t>
        </is>
      </c>
      <c r="E5156" t="inlineStr">
        <is>
          <t>LULEÅ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19237-2025</t>
        </is>
      </c>
      <c r="B5157" s="1" t="n">
        <v>45769</v>
      </c>
      <c r="C5157" s="1" t="n">
        <v>45895</v>
      </c>
      <c r="D5157" t="inlineStr">
        <is>
          <t>NORRBOTTENS LÄN</t>
        </is>
      </c>
      <c r="E5157" t="inlineStr">
        <is>
          <t>ARVIDSJAUR</t>
        </is>
      </c>
      <c r="F5157" t="inlineStr">
        <is>
          <t>Sveaskog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30358-2023</t>
        </is>
      </c>
      <c r="B5158" s="1" t="n">
        <v>45111</v>
      </c>
      <c r="C5158" s="1" t="n">
        <v>45895</v>
      </c>
      <c r="D5158" t="inlineStr">
        <is>
          <t>NORRBOTTENS LÄN</t>
        </is>
      </c>
      <c r="E5158" t="inlineStr">
        <is>
          <t>LULEÅ</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19238-2025</t>
        </is>
      </c>
      <c r="B5159" s="1" t="n">
        <v>45769.47217592593</v>
      </c>
      <c r="C5159" s="1" t="n">
        <v>45895</v>
      </c>
      <c r="D5159" t="inlineStr">
        <is>
          <t>NORRBOTTENS LÄN</t>
        </is>
      </c>
      <c r="E5159" t="inlineStr">
        <is>
          <t>LULEÅ</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38027-2025</t>
        </is>
      </c>
      <c r="B5160" s="1" t="n">
        <v>45882.34554398148</v>
      </c>
      <c r="C5160" s="1" t="n">
        <v>45895</v>
      </c>
      <c r="D5160" t="inlineStr">
        <is>
          <t>NORRBOTTENS LÄN</t>
        </is>
      </c>
      <c r="E5160" t="inlineStr">
        <is>
          <t>ARVIDSJAUR</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33605-2025</t>
        </is>
      </c>
      <c r="B5161" s="1" t="n">
        <v>45841.61493055556</v>
      </c>
      <c r="C5161" s="1" t="n">
        <v>45895</v>
      </c>
      <c r="D5161" t="inlineStr">
        <is>
          <t>NORRBOTTENS LÄN</t>
        </is>
      </c>
      <c r="E5161" t="inlineStr">
        <is>
          <t>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33740-2025</t>
        </is>
      </c>
      <c r="B5162" s="1" t="n">
        <v>45842.34456018519</v>
      </c>
      <c r="C5162" s="1" t="n">
        <v>45895</v>
      </c>
      <c r="D5162" t="inlineStr">
        <is>
          <t>NORRBOTTENS LÄN</t>
        </is>
      </c>
      <c r="E5162" t="inlineStr">
        <is>
          <t>JOKKMOKK</t>
        </is>
      </c>
      <c r="F5162" t="inlineStr">
        <is>
          <t>SCA</t>
        </is>
      </c>
      <c r="G5162" t="n">
        <v>23.3</v>
      </c>
      <c r="H5162" t="n">
        <v>0</v>
      </c>
      <c r="I5162" t="n">
        <v>0</v>
      </c>
      <c r="J5162" t="n">
        <v>0</v>
      </c>
      <c r="K5162" t="n">
        <v>0</v>
      </c>
      <c r="L5162" t="n">
        <v>0</v>
      </c>
      <c r="M5162" t="n">
        <v>0</v>
      </c>
      <c r="N5162" t="n">
        <v>0</v>
      </c>
      <c r="O5162" t="n">
        <v>0</v>
      </c>
      <c r="P5162" t="n">
        <v>0</v>
      </c>
      <c r="Q5162" t="n">
        <v>0</v>
      </c>
      <c r="R5162" s="2" t="inlineStr"/>
    </row>
    <row r="5163" ht="15" customHeight="1">
      <c r="A5163" t="inlineStr">
        <is>
          <t>A 33742-2025</t>
        </is>
      </c>
      <c r="B5163" s="1" t="n">
        <v>45842.34484953704</v>
      </c>
      <c r="C5163" s="1" t="n">
        <v>45895</v>
      </c>
      <c r="D5163" t="inlineStr">
        <is>
          <t>NORRBOTTENS LÄN</t>
        </is>
      </c>
      <c r="E5163" t="inlineStr">
        <is>
          <t>GÄLLIVARE</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33689-2025</t>
        </is>
      </c>
      <c r="B5164" s="1" t="n">
        <v>45841.69265046297</v>
      </c>
      <c r="C5164" s="1" t="n">
        <v>45895</v>
      </c>
      <c r="D5164" t="inlineStr">
        <is>
          <t>NORRBOTTENS LÄN</t>
        </is>
      </c>
      <c r="E5164" t="inlineStr">
        <is>
          <t>PAJALA</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33307-2025</t>
        </is>
      </c>
      <c r="B5165" s="1" t="n">
        <v>45841.31274305555</v>
      </c>
      <c r="C5165" s="1" t="n">
        <v>45895</v>
      </c>
      <c r="D5165" t="inlineStr">
        <is>
          <t>NORRBOTTENS LÄN</t>
        </is>
      </c>
      <c r="E5165" t="inlineStr">
        <is>
          <t>GÄLLIVARE</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47557-2023</t>
        </is>
      </c>
      <c r="B5166" s="1" t="n">
        <v>45197</v>
      </c>
      <c r="C5166" s="1" t="n">
        <v>45895</v>
      </c>
      <c r="D5166" t="inlineStr">
        <is>
          <t>NORRBOTTENS LÄN</t>
        </is>
      </c>
      <c r="E5166" t="inlineStr">
        <is>
          <t>PITEÅ</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33349-2025</t>
        </is>
      </c>
      <c r="B5167" s="1" t="n">
        <v>45841.3704050926</v>
      </c>
      <c r="C5167" s="1" t="n">
        <v>45895</v>
      </c>
      <c r="D5167" t="inlineStr">
        <is>
          <t>NORRBOTTENS LÄN</t>
        </is>
      </c>
      <c r="E5167" t="inlineStr">
        <is>
          <t>JOKKMOKK</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33668-2025</t>
        </is>
      </c>
      <c r="B5168" s="1" t="n">
        <v>45841.67427083333</v>
      </c>
      <c r="C5168" s="1" t="n">
        <v>45895</v>
      </c>
      <c r="D5168" t="inlineStr">
        <is>
          <t>NORRBOTTENS LÄN</t>
        </is>
      </c>
      <c r="E5168" t="inlineStr">
        <is>
          <t>GÄLLIVARE</t>
        </is>
      </c>
      <c r="F5168" t="inlineStr">
        <is>
          <t>Sveaskog</t>
        </is>
      </c>
      <c r="G5168" t="n">
        <v>11.7</v>
      </c>
      <c r="H5168" t="n">
        <v>0</v>
      </c>
      <c r="I5168" t="n">
        <v>0</v>
      </c>
      <c r="J5168" t="n">
        <v>0</v>
      </c>
      <c r="K5168" t="n">
        <v>0</v>
      </c>
      <c r="L5168" t="n">
        <v>0</v>
      </c>
      <c r="M5168" t="n">
        <v>0</v>
      </c>
      <c r="N5168" t="n">
        <v>0</v>
      </c>
      <c r="O5168" t="n">
        <v>0</v>
      </c>
      <c r="P5168" t="n">
        <v>0</v>
      </c>
      <c r="Q5168" t="n">
        <v>0</v>
      </c>
      <c r="R5168" s="2" t="inlineStr"/>
    </row>
    <row r="5169" ht="15" customHeight="1">
      <c r="A5169" t="inlineStr">
        <is>
          <t>A 33692-2025</t>
        </is>
      </c>
      <c r="B5169" s="1" t="n">
        <v>45841.69819444444</v>
      </c>
      <c r="C5169" s="1" t="n">
        <v>45895</v>
      </c>
      <c r="D5169" t="inlineStr">
        <is>
          <t>NORRBOTTENS LÄN</t>
        </is>
      </c>
      <c r="E5169" t="inlineStr">
        <is>
          <t>LULEÅ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15906-2025</t>
        </is>
      </c>
      <c r="B5170" s="1" t="n">
        <v>45749</v>
      </c>
      <c r="C5170" s="1" t="n">
        <v>45895</v>
      </c>
      <c r="D5170" t="inlineStr">
        <is>
          <t>NORRBOTTENS LÄN</t>
        </is>
      </c>
      <c r="E5170" t="inlineStr">
        <is>
          <t>PITEÅ</t>
        </is>
      </c>
      <c r="G5170" t="n">
        <v>11.1</v>
      </c>
      <c r="H5170" t="n">
        <v>0</v>
      </c>
      <c r="I5170" t="n">
        <v>0</v>
      </c>
      <c r="J5170" t="n">
        <v>0</v>
      </c>
      <c r="K5170" t="n">
        <v>0</v>
      </c>
      <c r="L5170" t="n">
        <v>0</v>
      </c>
      <c r="M5170" t="n">
        <v>0</v>
      </c>
      <c r="N5170" t="n">
        <v>0</v>
      </c>
      <c r="O5170" t="n">
        <v>0</v>
      </c>
      <c r="P5170" t="n">
        <v>0</v>
      </c>
      <c r="Q5170" t="n">
        <v>0</v>
      </c>
      <c r="R5170" s="2" t="inlineStr"/>
    </row>
    <row r="5171" ht="15" customHeight="1">
      <c r="A5171" t="inlineStr">
        <is>
          <t>A 19642-2025</t>
        </is>
      </c>
      <c r="B5171" s="1" t="n">
        <v>45770.65853009259</v>
      </c>
      <c r="C5171" s="1" t="n">
        <v>45895</v>
      </c>
      <c r="D5171" t="inlineStr">
        <is>
          <t>NORRBOTTENS LÄN</t>
        </is>
      </c>
      <c r="E5171" t="inlineStr">
        <is>
          <t>KALIX</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33523-2025</t>
        </is>
      </c>
      <c r="B5172" s="1" t="n">
        <v>45841.54601851852</v>
      </c>
      <c r="C5172" s="1" t="n">
        <v>45895</v>
      </c>
      <c r="D5172" t="inlineStr">
        <is>
          <t>NORRBOTTENS LÄN</t>
        </is>
      </c>
      <c r="E5172" t="inlineStr">
        <is>
          <t>JOKKMOKK</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38226-2025</t>
        </is>
      </c>
      <c r="B5173" s="1" t="n">
        <v>45883.34521990741</v>
      </c>
      <c r="C5173" s="1" t="n">
        <v>45895</v>
      </c>
      <c r="D5173" t="inlineStr">
        <is>
          <t>NORRBOTTENS LÄN</t>
        </is>
      </c>
      <c r="E5173" t="inlineStr">
        <is>
          <t>JOKKMOKK</t>
        </is>
      </c>
      <c r="F5173" t="inlineStr">
        <is>
          <t>SCA</t>
        </is>
      </c>
      <c r="G5173" t="n">
        <v>14.5</v>
      </c>
      <c r="H5173" t="n">
        <v>0</v>
      </c>
      <c r="I5173" t="n">
        <v>0</v>
      </c>
      <c r="J5173" t="n">
        <v>0</v>
      </c>
      <c r="K5173" t="n">
        <v>0</v>
      </c>
      <c r="L5173" t="n">
        <v>0</v>
      </c>
      <c r="M5173" t="n">
        <v>0</v>
      </c>
      <c r="N5173" t="n">
        <v>0</v>
      </c>
      <c r="O5173" t="n">
        <v>0</v>
      </c>
      <c r="P5173" t="n">
        <v>0</v>
      </c>
      <c r="Q5173" t="n">
        <v>0</v>
      </c>
      <c r="R5173" s="2" t="inlineStr"/>
    </row>
    <row r="5174" ht="15" customHeight="1">
      <c r="A5174" t="inlineStr">
        <is>
          <t>A 14666-2025</t>
        </is>
      </c>
      <c r="B5174" s="1" t="n">
        <v>45742</v>
      </c>
      <c r="C5174" s="1" t="n">
        <v>45895</v>
      </c>
      <c r="D5174" t="inlineStr">
        <is>
          <t>NORRBOTTENS LÄN</t>
        </is>
      </c>
      <c r="E5174" t="inlineStr">
        <is>
          <t>GÄLLIVARE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37984-2024</t>
        </is>
      </c>
      <c r="B5175" s="1" t="n">
        <v>45544.58453703704</v>
      </c>
      <c r="C5175" s="1" t="n">
        <v>45895</v>
      </c>
      <c r="D5175" t="inlineStr">
        <is>
          <t>NORRBOTTENS LÄN</t>
        </is>
      </c>
      <c r="E5175" t="inlineStr">
        <is>
          <t>BODEN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38244-2025</t>
        </is>
      </c>
      <c r="B5176" s="1" t="n">
        <v>45883.36557870371</v>
      </c>
      <c r="C5176" s="1" t="n">
        <v>45895</v>
      </c>
      <c r="D5176" t="inlineStr">
        <is>
          <t>NORRBOTTENS LÄN</t>
        </is>
      </c>
      <c r="E5176" t="inlineStr">
        <is>
          <t>PITEÅ</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12801-2023</t>
        </is>
      </c>
      <c r="B5177" s="1" t="n">
        <v>45001</v>
      </c>
      <c r="C5177" s="1" t="n">
        <v>45895</v>
      </c>
      <c r="D5177" t="inlineStr">
        <is>
          <t>NORRBOTTENS LÄN</t>
        </is>
      </c>
      <c r="E5177" t="inlineStr">
        <is>
          <t>BODEN</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47099-2023</t>
        </is>
      </c>
      <c r="B5178" s="1" t="n">
        <v>45201.65041666666</v>
      </c>
      <c r="C5178" s="1" t="n">
        <v>45895</v>
      </c>
      <c r="D5178" t="inlineStr">
        <is>
          <t>NORRBOTTENS LÄN</t>
        </is>
      </c>
      <c r="E5178" t="inlineStr">
        <is>
          <t>KALIX</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20038-2025</t>
        </is>
      </c>
      <c r="B5179" s="1" t="n">
        <v>45772.3677662037</v>
      </c>
      <c r="C5179" s="1" t="n">
        <v>45895</v>
      </c>
      <c r="D5179" t="inlineStr">
        <is>
          <t>NORRBOTTENS LÄN</t>
        </is>
      </c>
      <c r="E5179" t="inlineStr">
        <is>
          <t>BODEN</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49830-2023</t>
        </is>
      </c>
      <c r="B5180" s="1" t="n">
        <v>45212.71053240741</v>
      </c>
      <c r="C5180" s="1" t="n">
        <v>45895</v>
      </c>
      <c r="D5180" t="inlineStr">
        <is>
          <t>NORRBOTTENS LÄN</t>
        </is>
      </c>
      <c r="E5180" t="inlineStr">
        <is>
          <t>PAJALA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23249-2024</t>
        </is>
      </c>
      <c r="B5181" s="1" t="n">
        <v>45453.35445601852</v>
      </c>
      <c r="C5181" s="1" t="n">
        <v>45895</v>
      </c>
      <c r="D5181" t="inlineStr">
        <is>
          <t>NORRBOTTENS LÄN</t>
        </is>
      </c>
      <c r="E5181" t="inlineStr">
        <is>
          <t>ÖVERKALIX</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33511-2025</t>
        </is>
      </c>
      <c r="B5182" s="1" t="n">
        <v>45841.5196875</v>
      </c>
      <c r="C5182" s="1" t="n">
        <v>45895</v>
      </c>
      <c r="D5182" t="inlineStr">
        <is>
          <t>NORRBOTTENS LÄN</t>
        </is>
      </c>
      <c r="E5182" t="inlineStr">
        <is>
          <t>BODEN</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19142-2023</t>
        </is>
      </c>
      <c r="B5183" s="1" t="n">
        <v>45044</v>
      </c>
      <c r="C5183" s="1" t="n">
        <v>45895</v>
      </c>
      <c r="D5183" t="inlineStr">
        <is>
          <t>NORRBOTTENS LÄN</t>
        </is>
      </c>
      <c r="E5183" t="inlineStr">
        <is>
          <t>ÄLVSBYN</t>
        </is>
      </c>
      <c r="G5183" t="n">
        <v>11.4</v>
      </c>
      <c r="H5183" t="n">
        <v>0</v>
      </c>
      <c r="I5183" t="n">
        <v>0</v>
      </c>
      <c r="J5183" t="n">
        <v>0</v>
      </c>
      <c r="K5183" t="n">
        <v>0</v>
      </c>
      <c r="L5183" t="n">
        <v>0</v>
      </c>
      <c r="M5183" t="n">
        <v>0</v>
      </c>
      <c r="N5183" t="n">
        <v>0</v>
      </c>
      <c r="O5183" t="n">
        <v>0</v>
      </c>
      <c r="P5183" t="n">
        <v>0</v>
      </c>
      <c r="Q5183" t="n">
        <v>0</v>
      </c>
      <c r="R5183" s="2" t="inlineStr"/>
    </row>
    <row r="5184" ht="15" customHeight="1">
      <c r="A5184" t="inlineStr">
        <is>
          <t>A 6241-2023</t>
        </is>
      </c>
      <c r="B5184" s="1" t="n">
        <v>44964.9440625</v>
      </c>
      <c r="C5184" s="1" t="n">
        <v>45895</v>
      </c>
      <c r="D5184" t="inlineStr">
        <is>
          <t>NORRBOTTENS LÄN</t>
        </is>
      </c>
      <c r="E5184" t="inlineStr">
        <is>
          <t>KALIX</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6244-2023</t>
        </is>
      </c>
      <c r="B5185" s="1" t="n">
        <v>44964.94435185185</v>
      </c>
      <c r="C5185" s="1" t="n">
        <v>45895</v>
      </c>
      <c r="D5185" t="inlineStr">
        <is>
          <t>NORRBOTTENS LÄN</t>
        </is>
      </c>
      <c r="E5185" t="inlineStr">
        <is>
          <t>BODEN</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6004-2023</t>
        </is>
      </c>
      <c r="B5186" s="1" t="n">
        <v>44959</v>
      </c>
      <c r="C5186" s="1" t="n">
        <v>45895</v>
      </c>
      <c r="D5186" t="inlineStr">
        <is>
          <t>NORRBOTTENS LÄN</t>
        </is>
      </c>
      <c r="E5186" t="inlineStr">
        <is>
          <t>ÄLVSBYN</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31067-2024</t>
        </is>
      </c>
      <c r="B5187" s="1" t="n">
        <v>45502</v>
      </c>
      <c r="C5187" s="1" t="n">
        <v>45895</v>
      </c>
      <c r="D5187" t="inlineStr">
        <is>
          <t>NORRBOTTENS LÄN</t>
        </is>
      </c>
      <c r="E5187" t="inlineStr">
        <is>
          <t>HAPARANDA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55407-2023</t>
        </is>
      </c>
      <c r="B5188" s="1" t="n">
        <v>45231</v>
      </c>
      <c r="C5188" s="1" t="n">
        <v>45895</v>
      </c>
      <c r="D5188" t="inlineStr">
        <is>
          <t>NORRBOTTENS LÄN</t>
        </is>
      </c>
      <c r="E5188" t="inlineStr">
        <is>
          <t>GÄLLIVARE</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2548-2021</t>
        </is>
      </c>
      <c r="B5189" s="1" t="n">
        <v>44214</v>
      </c>
      <c r="C5189" s="1" t="n">
        <v>45895</v>
      </c>
      <c r="D5189" t="inlineStr">
        <is>
          <t>NORRBOTTENS LÄN</t>
        </is>
      </c>
      <c r="E5189" t="inlineStr">
        <is>
          <t>GÄLLIVARE</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38334-2025</t>
        </is>
      </c>
      <c r="B5190" s="1" t="n">
        <v>45883.49172453704</v>
      </c>
      <c r="C5190" s="1" t="n">
        <v>45895</v>
      </c>
      <c r="D5190" t="inlineStr">
        <is>
          <t>NORRBOTTENS LÄN</t>
        </is>
      </c>
      <c r="E5190" t="inlineStr">
        <is>
          <t>PITEÅ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38382-2025</t>
        </is>
      </c>
      <c r="B5191" s="1" t="n">
        <v>45883</v>
      </c>
      <c r="C5191" s="1" t="n">
        <v>45895</v>
      </c>
      <c r="D5191" t="inlineStr">
        <is>
          <t>NORRBOTTENS LÄN</t>
        </is>
      </c>
      <c r="E5191" t="inlineStr">
        <is>
          <t>ÖVERTORNEÅ</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19146-2023</t>
        </is>
      </c>
      <c r="B5192" s="1" t="n">
        <v>45044</v>
      </c>
      <c r="C5192" s="1" t="n">
        <v>45895</v>
      </c>
      <c r="D5192" t="inlineStr">
        <is>
          <t>NORRBOTTENS LÄN</t>
        </is>
      </c>
      <c r="E5192" t="inlineStr">
        <is>
          <t>KALIX</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46512-2021</t>
        </is>
      </c>
      <c r="B5193" s="1" t="n">
        <v>44445</v>
      </c>
      <c r="C5193" s="1" t="n">
        <v>45895</v>
      </c>
      <c r="D5193" t="inlineStr">
        <is>
          <t>NORRBOTTENS LÄN</t>
        </is>
      </c>
      <c r="E5193" t="inlineStr">
        <is>
          <t>BODEN</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60064-2022</t>
        </is>
      </c>
      <c r="B5194" s="1" t="n">
        <v>44902</v>
      </c>
      <c r="C5194" s="1" t="n">
        <v>45895</v>
      </c>
      <c r="D5194" t="inlineStr">
        <is>
          <t>NORRBOTTENS LÄN</t>
        </is>
      </c>
      <c r="E5194" t="inlineStr">
        <is>
          <t>HAPARANDA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36929-2025</t>
        </is>
      </c>
      <c r="B5195" s="1" t="n">
        <v>45874</v>
      </c>
      <c r="C5195" s="1" t="n">
        <v>45895</v>
      </c>
      <c r="D5195" t="inlineStr">
        <is>
          <t>NORRBOTTENS LÄN</t>
        </is>
      </c>
      <c r="E5195" t="inlineStr">
        <is>
          <t>ÄLVSBYN</t>
        </is>
      </c>
      <c r="F5195" t="inlineStr">
        <is>
          <t>SCA</t>
        </is>
      </c>
      <c r="G5195" t="n">
        <v>21.8</v>
      </c>
      <c r="H5195" t="n">
        <v>0</v>
      </c>
      <c r="I5195" t="n">
        <v>0</v>
      </c>
      <c r="J5195" t="n">
        <v>0</v>
      </c>
      <c r="K5195" t="n">
        <v>0</v>
      </c>
      <c r="L5195" t="n">
        <v>0</v>
      </c>
      <c r="M5195" t="n">
        <v>0</v>
      </c>
      <c r="N5195" t="n">
        <v>0</v>
      </c>
      <c r="O5195" t="n">
        <v>0</v>
      </c>
      <c r="P5195" t="n">
        <v>0</v>
      </c>
      <c r="Q5195" t="n">
        <v>0</v>
      </c>
      <c r="R5195" s="2" t="inlineStr"/>
    </row>
    <row r="5196" ht="15" customHeight="1">
      <c r="A5196" t="inlineStr">
        <is>
          <t>A 37021-2025</t>
        </is>
      </c>
      <c r="B5196" s="1" t="n">
        <v>45874</v>
      </c>
      <c r="C5196" s="1" t="n">
        <v>45895</v>
      </c>
      <c r="D5196" t="inlineStr">
        <is>
          <t>NORRBOTTENS LÄN</t>
        </is>
      </c>
      <c r="E5196" t="inlineStr">
        <is>
          <t>GÄLLIVARE</t>
        </is>
      </c>
      <c r="F5196" t="inlineStr">
        <is>
          <t>Allmännings- och besparingsskogar</t>
        </is>
      </c>
      <c r="G5196" t="n">
        <v>40.5</v>
      </c>
      <c r="H5196" t="n">
        <v>0</v>
      </c>
      <c r="I5196" t="n">
        <v>0</v>
      </c>
      <c r="J5196" t="n">
        <v>0</v>
      </c>
      <c r="K5196" t="n">
        <v>0</v>
      </c>
      <c r="L5196" t="n">
        <v>0</v>
      </c>
      <c r="M5196" t="n">
        <v>0</v>
      </c>
      <c r="N5196" t="n">
        <v>0</v>
      </c>
      <c r="O5196" t="n">
        <v>0</v>
      </c>
      <c r="P5196" t="n">
        <v>0</v>
      </c>
      <c r="Q5196" t="n">
        <v>0</v>
      </c>
      <c r="R5196" s="2" t="inlineStr"/>
    </row>
    <row r="5197" ht="15" customHeight="1">
      <c r="A5197" t="inlineStr">
        <is>
          <t>A 43673-2021</t>
        </is>
      </c>
      <c r="B5197" s="1" t="n">
        <v>44433.58289351852</v>
      </c>
      <c r="C5197" s="1" t="n">
        <v>45895</v>
      </c>
      <c r="D5197" t="inlineStr">
        <is>
          <t>NORRBOTTENS LÄN</t>
        </is>
      </c>
      <c r="E5197" t="inlineStr">
        <is>
          <t>ÖVERKALIX</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4199-2025</t>
        </is>
      </c>
      <c r="B5198" s="1" t="n">
        <v>45685</v>
      </c>
      <c r="C5198" s="1" t="n">
        <v>45895</v>
      </c>
      <c r="D5198" t="inlineStr">
        <is>
          <t>NORRBOTTENS LÄN</t>
        </is>
      </c>
      <c r="E5198" t="inlineStr">
        <is>
          <t>KALIX</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22364-2021</t>
        </is>
      </c>
      <c r="B5199" s="1" t="n">
        <v>44322</v>
      </c>
      <c r="C5199" s="1" t="n">
        <v>45895</v>
      </c>
      <c r="D5199" t="inlineStr">
        <is>
          <t>NORRBOTTENS LÄN</t>
        </is>
      </c>
      <c r="E5199" t="inlineStr">
        <is>
          <t>LULEÅ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41760-2023</t>
        </is>
      </c>
      <c r="B5200" s="1" t="n">
        <v>45176</v>
      </c>
      <c r="C5200" s="1" t="n">
        <v>45895</v>
      </c>
      <c r="D5200" t="inlineStr">
        <is>
          <t>NORRBOTTENS LÄN</t>
        </is>
      </c>
      <c r="E5200" t="inlineStr">
        <is>
          <t>PITEÅ</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1962-2025</t>
        </is>
      </c>
      <c r="B5201" s="1" t="n">
        <v>45672</v>
      </c>
      <c r="C5201" s="1" t="n">
        <v>45895</v>
      </c>
      <c r="D5201" t="inlineStr">
        <is>
          <t>NORRBOTTENS LÄN</t>
        </is>
      </c>
      <c r="E5201" t="inlineStr">
        <is>
          <t>BODEN</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36438-2025</t>
        </is>
      </c>
      <c r="B5202" s="1" t="n">
        <v>45869.37787037037</v>
      </c>
      <c r="C5202" s="1" t="n">
        <v>45895</v>
      </c>
      <c r="D5202" t="inlineStr">
        <is>
          <t>NORRBOTTENS LÄN</t>
        </is>
      </c>
      <c r="E5202" t="inlineStr">
        <is>
          <t>PITEÅ</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2031-2025</t>
        </is>
      </c>
      <c r="B5203" s="1" t="n">
        <v>45672</v>
      </c>
      <c r="C5203" s="1" t="n">
        <v>45895</v>
      </c>
      <c r="D5203" t="inlineStr">
        <is>
          <t>NORRBOTTENS LÄN</t>
        </is>
      </c>
      <c r="E5203" t="inlineStr">
        <is>
          <t>JOKKMOKK</t>
        </is>
      </c>
      <c r="F5203" t="inlineStr">
        <is>
          <t>Övriga statliga verk och myndigheter</t>
        </is>
      </c>
      <c r="G5203" t="n">
        <v>7.5</v>
      </c>
      <c r="H5203" t="n">
        <v>0</v>
      </c>
      <c r="I5203" t="n">
        <v>0</v>
      </c>
      <c r="J5203" t="n">
        <v>0</v>
      </c>
      <c r="K5203" t="n">
        <v>0</v>
      </c>
      <c r="L5203" t="n">
        <v>0</v>
      </c>
      <c r="M5203" t="n">
        <v>0</v>
      </c>
      <c r="N5203" t="n">
        <v>0</v>
      </c>
      <c r="O5203" t="n">
        <v>0</v>
      </c>
      <c r="P5203" t="n">
        <v>0</v>
      </c>
      <c r="Q5203" t="n">
        <v>0</v>
      </c>
      <c r="R5203" s="2" t="inlineStr"/>
    </row>
    <row r="5204" ht="15" customHeight="1">
      <c r="A5204" t="inlineStr">
        <is>
          <t>A 4398-2025</t>
        </is>
      </c>
      <c r="B5204" s="1" t="n">
        <v>45686.42900462963</v>
      </c>
      <c r="C5204" s="1" t="n">
        <v>45895</v>
      </c>
      <c r="D5204" t="inlineStr">
        <is>
          <t>NORRBOTTENS LÄN</t>
        </is>
      </c>
      <c r="E5204" t="inlineStr">
        <is>
          <t>ÖVERTORNEÅ</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4400-2025</t>
        </is>
      </c>
      <c r="B5205" s="1" t="n">
        <v>45686</v>
      </c>
      <c r="C5205" s="1" t="n">
        <v>45895</v>
      </c>
      <c r="D5205" t="inlineStr">
        <is>
          <t>NORRBOTTENS LÄN</t>
        </is>
      </c>
      <c r="E5205" t="inlineStr">
        <is>
          <t>ÖVERTORNEÅ</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13842-2024</t>
        </is>
      </c>
      <c r="B5206" s="1" t="n">
        <v>45390</v>
      </c>
      <c r="C5206" s="1" t="n">
        <v>45895</v>
      </c>
      <c r="D5206" t="inlineStr">
        <is>
          <t>NORRBOTTENS LÄN</t>
        </is>
      </c>
      <c r="E5206" t="inlineStr">
        <is>
          <t>ÖVERTORNEÅ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18537-2023</t>
        </is>
      </c>
      <c r="B5207" s="1" t="n">
        <v>45028</v>
      </c>
      <c r="C5207" s="1" t="n">
        <v>45895</v>
      </c>
      <c r="D5207" t="inlineStr">
        <is>
          <t>NORRBOTTENS LÄN</t>
        </is>
      </c>
      <c r="E5207" t="inlineStr">
        <is>
          <t>JOKKMOKK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30753-2025</t>
        </is>
      </c>
      <c r="B5208" s="1" t="n">
        <v>45831</v>
      </c>
      <c r="C5208" s="1" t="n">
        <v>45895</v>
      </c>
      <c r="D5208" t="inlineStr">
        <is>
          <t>NORRBOTTENS LÄN</t>
        </is>
      </c>
      <c r="E5208" t="inlineStr">
        <is>
          <t>ÄLVSBYN</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18530-2024</t>
        </is>
      </c>
      <c r="B5209" s="1" t="n">
        <v>45425</v>
      </c>
      <c r="C5209" s="1" t="n">
        <v>45895</v>
      </c>
      <c r="D5209" t="inlineStr">
        <is>
          <t>NORRBOTTENS LÄN</t>
        </is>
      </c>
      <c r="E5209" t="inlineStr">
        <is>
          <t>PITEÅ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57264-2022</t>
        </is>
      </c>
      <c r="B5210" s="1" t="n">
        <v>44895</v>
      </c>
      <c r="C5210" s="1" t="n">
        <v>45895</v>
      </c>
      <c r="D5210" t="inlineStr">
        <is>
          <t>NORRBOTTENS LÄN</t>
        </is>
      </c>
      <c r="E5210" t="inlineStr">
        <is>
          <t>LULEÅ</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57180-2022</t>
        </is>
      </c>
      <c r="B5211" s="1" t="n">
        <v>44895.61856481482</v>
      </c>
      <c r="C5211" s="1" t="n">
        <v>45895</v>
      </c>
      <c r="D5211" t="inlineStr">
        <is>
          <t>NORRBOTTENS LÄN</t>
        </is>
      </c>
      <c r="E5211" t="inlineStr">
        <is>
          <t>PITEÅ</t>
        </is>
      </c>
      <c r="F5211" t="inlineStr">
        <is>
          <t>Sveaskog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33515-2025</t>
        </is>
      </c>
      <c r="B5212" s="1" t="n">
        <v>45841.53164351852</v>
      </c>
      <c r="C5212" s="1" t="n">
        <v>45895</v>
      </c>
      <c r="D5212" t="inlineStr">
        <is>
          <t>NORRBOTTENS LÄN</t>
        </is>
      </c>
      <c r="E5212" t="inlineStr">
        <is>
          <t>JOKKMOKK</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14196-2025</t>
        </is>
      </c>
      <c r="B5213" s="1" t="n">
        <v>45740.56502314815</v>
      </c>
      <c r="C5213" s="1" t="n">
        <v>45895</v>
      </c>
      <c r="D5213" t="inlineStr">
        <is>
          <t>NORRBOTTENS LÄN</t>
        </is>
      </c>
      <c r="E5213" t="inlineStr">
        <is>
          <t>LULEÅ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51171-2023</t>
        </is>
      </c>
      <c r="B5214" s="1" t="n">
        <v>45219.3849537037</v>
      </c>
      <c r="C5214" s="1" t="n">
        <v>45895</v>
      </c>
      <c r="D5214" t="inlineStr">
        <is>
          <t>NORRBOTTENS LÄN</t>
        </is>
      </c>
      <c r="E5214" t="inlineStr">
        <is>
          <t>PITEÅ</t>
        </is>
      </c>
      <c r="F5214" t="inlineStr">
        <is>
          <t>Sveaskog</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9838-2024</t>
        </is>
      </c>
      <c r="B5215" s="1" t="n">
        <v>45362</v>
      </c>
      <c r="C5215" s="1" t="n">
        <v>45895</v>
      </c>
      <c r="D5215" t="inlineStr">
        <is>
          <t>NORRBOTTENS LÄN</t>
        </is>
      </c>
      <c r="E5215" t="inlineStr">
        <is>
          <t>PAJALA</t>
        </is>
      </c>
      <c r="F5215" t="inlineStr">
        <is>
          <t>Allmännings- och besparingsskogar</t>
        </is>
      </c>
      <c r="G5215" t="n">
        <v>22.5</v>
      </c>
      <c r="H5215" t="n">
        <v>0</v>
      </c>
      <c r="I5215" t="n">
        <v>0</v>
      </c>
      <c r="J5215" t="n">
        <v>0</v>
      </c>
      <c r="K5215" t="n">
        <v>0</v>
      </c>
      <c r="L5215" t="n">
        <v>0</v>
      </c>
      <c r="M5215" t="n">
        <v>0</v>
      </c>
      <c r="N5215" t="n">
        <v>0</v>
      </c>
      <c r="O5215" t="n">
        <v>0</v>
      </c>
      <c r="P5215" t="n">
        <v>0</v>
      </c>
      <c r="Q5215" t="n">
        <v>0</v>
      </c>
      <c r="R5215" s="2" t="inlineStr"/>
    </row>
    <row r="5216" ht="15" customHeight="1">
      <c r="A5216" t="inlineStr">
        <is>
          <t>A 9849-2024</t>
        </is>
      </c>
      <c r="B5216" s="1" t="n">
        <v>45363</v>
      </c>
      <c r="C5216" s="1" t="n">
        <v>45895</v>
      </c>
      <c r="D5216" t="inlineStr">
        <is>
          <t>NORRBOTTENS LÄN</t>
        </is>
      </c>
      <c r="E5216" t="inlineStr">
        <is>
          <t>ÖVERKALIX</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1501-2025</t>
        </is>
      </c>
      <c r="B5217" s="1" t="n">
        <v>45670</v>
      </c>
      <c r="C5217" s="1" t="n">
        <v>45895</v>
      </c>
      <c r="D5217" t="inlineStr">
        <is>
          <t>NORRBOTTENS LÄN</t>
        </is>
      </c>
      <c r="E5217" t="inlineStr">
        <is>
          <t>PITEÅ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50977-2024</t>
        </is>
      </c>
      <c r="B5218" s="1" t="n">
        <v>45603.35820601852</v>
      </c>
      <c r="C5218" s="1" t="n">
        <v>45895</v>
      </c>
      <c r="D5218" t="inlineStr">
        <is>
          <t>NORRBOTTENS LÄN</t>
        </is>
      </c>
      <c r="E5218" t="inlineStr">
        <is>
          <t>PITEÅ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51051-2024</t>
        </is>
      </c>
      <c r="B5219" s="1" t="n">
        <v>45603</v>
      </c>
      <c r="C5219" s="1" t="n">
        <v>45895</v>
      </c>
      <c r="D5219" t="inlineStr">
        <is>
          <t>NORRBOTTENS LÄN</t>
        </is>
      </c>
      <c r="E5219" t="inlineStr">
        <is>
          <t>ÄLVSBYN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51057-2024</t>
        </is>
      </c>
      <c r="B5220" s="1" t="n">
        <v>45603.44780092593</v>
      </c>
      <c r="C5220" s="1" t="n">
        <v>45895</v>
      </c>
      <c r="D5220" t="inlineStr">
        <is>
          <t>NORRBOTTENS LÄN</t>
        </is>
      </c>
      <c r="E5220" t="inlineStr">
        <is>
          <t>ÖVERKALIX</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51058-2024</t>
        </is>
      </c>
      <c r="B5221" s="1" t="n">
        <v>45603</v>
      </c>
      <c r="C5221" s="1" t="n">
        <v>45895</v>
      </c>
      <c r="D5221" t="inlineStr">
        <is>
          <t>NORRBOTTENS LÄN</t>
        </is>
      </c>
      <c r="E5221" t="inlineStr">
        <is>
          <t>ÖVERKALIX</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6329-2025</t>
        </is>
      </c>
      <c r="B5222" s="1" t="n">
        <v>45698</v>
      </c>
      <c r="C5222" s="1" t="n">
        <v>45895</v>
      </c>
      <c r="D5222" t="inlineStr">
        <is>
          <t>NORRBOTTENS LÄN</t>
        </is>
      </c>
      <c r="E5222" t="inlineStr">
        <is>
          <t>PAJALA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51063-2024</t>
        </is>
      </c>
      <c r="B5223" s="1" t="n">
        <v>45603.44855324074</v>
      </c>
      <c r="C5223" s="1" t="n">
        <v>45895</v>
      </c>
      <c r="D5223" t="inlineStr">
        <is>
          <t>NORRBOTTENS LÄN</t>
        </is>
      </c>
      <c r="E5223" t="inlineStr">
        <is>
          <t>ÖVERKALIX</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38291-2025</t>
        </is>
      </c>
      <c r="B5224" s="1" t="n">
        <v>45882</v>
      </c>
      <c r="C5224" s="1" t="n">
        <v>45895</v>
      </c>
      <c r="D5224" t="inlineStr">
        <is>
          <t>NORRBOTTENS LÄN</t>
        </is>
      </c>
      <c r="E5224" t="inlineStr">
        <is>
          <t>BODEN</t>
        </is>
      </c>
      <c r="G5224" t="n">
        <v>11.4</v>
      </c>
      <c r="H5224" t="n">
        <v>0</v>
      </c>
      <c r="I5224" t="n">
        <v>0</v>
      </c>
      <c r="J5224" t="n">
        <v>0</v>
      </c>
      <c r="K5224" t="n">
        <v>0</v>
      </c>
      <c r="L5224" t="n">
        <v>0</v>
      </c>
      <c r="M5224" t="n">
        <v>0</v>
      </c>
      <c r="N5224" t="n">
        <v>0</v>
      </c>
      <c r="O5224" t="n">
        <v>0</v>
      </c>
      <c r="P5224" t="n">
        <v>0</v>
      </c>
      <c r="Q5224" t="n">
        <v>0</v>
      </c>
      <c r="R5224" s="2" t="inlineStr"/>
    </row>
    <row r="5225" ht="15" customHeight="1">
      <c r="A5225" t="inlineStr">
        <is>
          <t>A 38225-2025</t>
        </is>
      </c>
      <c r="B5225" s="1" t="n">
        <v>45883.34501157407</v>
      </c>
      <c r="C5225" s="1" t="n">
        <v>45895</v>
      </c>
      <c r="D5225" t="inlineStr">
        <is>
          <t>NORRBOTTENS LÄN</t>
        </is>
      </c>
      <c r="E5225" t="inlineStr">
        <is>
          <t>GÄLLIVARE</t>
        </is>
      </c>
      <c r="F5225" t="inlineStr">
        <is>
          <t>SCA</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38228-2025</t>
        </is>
      </c>
      <c r="B5226" s="1" t="n">
        <v>45883.34554398148</v>
      </c>
      <c r="C5226" s="1" t="n">
        <v>45895</v>
      </c>
      <c r="D5226" t="inlineStr">
        <is>
          <t>NORRBOTTENS LÄN</t>
        </is>
      </c>
      <c r="E5226" t="inlineStr">
        <is>
          <t>JOKKMOKK</t>
        </is>
      </c>
      <c r="F5226" t="inlineStr">
        <is>
          <t>SCA</t>
        </is>
      </c>
      <c r="G5226" t="n">
        <v>14.5</v>
      </c>
      <c r="H5226" t="n">
        <v>0</v>
      </c>
      <c r="I5226" t="n">
        <v>0</v>
      </c>
      <c r="J5226" t="n">
        <v>0</v>
      </c>
      <c r="K5226" t="n">
        <v>0</v>
      </c>
      <c r="L5226" t="n">
        <v>0</v>
      </c>
      <c r="M5226" t="n">
        <v>0</v>
      </c>
      <c r="N5226" t="n">
        <v>0</v>
      </c>
      <c r="O5226" t="n">
        <v>0</v>
      </c>
      <c r="P5226" t="n">
        <v>0</v>
      </c>
      <c r="Q5226" t="n">
        <v>0</v>
      </c>
      <c r="R5226" s="2" t="inlineStr"/>
    </row>
    <row r="5227" ht="15" customHeight="1">
      <c r="A5227" t="inlineStr">
        <is>
          <t>A 38341-2025</t>
        </is>
      </c>
      <c r="B5227" s="1" t="n">
        <v>45883</v>
      </c>
      <c r="C5227" s="1" t="n">
        <v>45895</v>
      </c>
      <c r="D5227" t="inlineStr">
        <is>
          <t>NORRBOTTENS LÄN</t>
        </is>
      </c>
      <c r="E5227" t="inlineStr">
        <is>
          <t>ÖVERTORNEÅ</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33619-2025</t>
        </is>
      </c>
      <c r="B5228" s="1" t="n">
        <v>45841</v>
      </c>
      <c r="C5228" s="1" t="n">
        <v>45895</v>
      </c>
      <c r="D5228" t="inlineStr">
        <is>
          <t>NORRBOTTENS LÄN</t>
        </is>
      </c>
      <c r="E5228" t="inlineStr">
        <is>
          <t>KALIX</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55080-2021</t>
        </is>
      </c>
      <c r="B5229" s="1" t="n">
        <v>44474.65423611111</v>
      </c>
      <c r="C5229" s="1" t="n">
        <v>45895</v>
      </c>
      <c r="D5229" t="inlineStr">
        <is>
          <t>NORRBOTTENS LÄN</t>
        </is>
      </c>
      <c r="E5229" t="inlineStr">
        <is>
          <t>BODEN</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38434-2025</t>
        </is>
      </c>
      <c r="B5230" s="1" t="n">
        <v>45883.64178240741</v>
      </c>
      <c r="C5230" s="1" t="n">
        <v>45895</v>
      </c>
      <c r="D5230" t="inlineStr">
        <is>
          <t>NORRBOTTENS LÄN</t>
        </is>
      </c>
      <c r="E5230" t="inlineStr">
        <is>
          <t>LULEÅ</t>
        </is>
      </c>
      <c r="G5230" t="n">
        <v>11.4</v>
      </c>
      <c r="H5230" t="n">
        <v>0</v>
      </c>
      <c r="I5230" t="n">
        <v>0</v>
      </c>
      <c r="J5230" t="n">
        <v>0</v>
      </c>
      <c r="K5230" t="n">
        <v>0</v>
      </c>
      <c r="L5230" t="n">
        <v>0</v>
      </c>
      <c r="M5230" t="n">
        <v>0</v>
      </c>
      <c r="N5230" t="n">
        <v>0</v>
      </c>
      <c r="O5230" t="n">
        <v>0</v>
      </c>
      <c r="P5230" t="n">
        <v>0</v>
      </c>
      <c r="Q5230" t="n">
        <v>0</v>
      </c>
      <c r="R5230" s="2" t="inlineStr"/>
    </row>
    <row r="5231" ht="15" customHeight="1">
      <c r="A5231" t="inlineStr">
        <is>
          <t>A 43005-2021</t>
        </is>
      </c>
      <c r="B5231" s="1" t="n">
        <v>44431</v>
      </c>
      <c r="C5231" s="1" t="n">
        <v>45895</v>
      </c>
      <c r="D5231" t="inlineStr">
        <is>
          <t>NORRBOTTENS LÄN</t>
        </is>
      </c>
      <c r="E5231" t="inlineStr">
        <is>
          <t>ÄLVSBYN</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7382-2024</t>
        </is>
      </c>
      <c r="B5232" s="1" t="n">
        <v>45345</v>
      </c>
      <c r="C5232" s="1" t="n">
        <v>45895</v>
      </c>
      <c r="D5232" t="inlineStr">
        <is>
          <t>NORRBOTTENS LÄN</t>
        </is>
      </c>
      <c r="E5232" t="inlineStr">
        <is>
          <t>LULEÅ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38081-2025</t>
        </is>
      </c>
      <c r="B5233" s="1" t="n">
        <v>45882.4696412037</v>
      </c>
      <c r="C5233" s="1" t="n">
        <v>45895</v>
      </c>
      <c r="D5233" t="inlineStr">
        <is>
          <t>NORRBOTTENS LÄN</t>
        </is>
      </c>
      <c r="E5233" t="inlineStr">
        <is>
          <t>ÖVERKALIX</t>
        </is>
      </c>
      <c r="F5233" t="inlineStr">
        <is>
          <t>SCA</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38489-2025</t>
        </is>
      </c>
      <c r="B5234" s="1" t="n">
        <v>45884.34461805555</v>
      </c>
      <c r="C5234" s="1" t="n">
        <v>45895</v>
      </c>
      <c r="D5234" t="inlineStr">
        <is>
          <t>NORRBOTTENS LÄN</t>
        </is>
      </c>
      <c r="E5234" t="inlineStr">
        <is>
          <t>PITEÅ</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20232-2025</t>
        </is>
      </c>
      <c r="B5235" s="1" t="n">
        <v>45772</v>
      </c>
      <c r="C5235" s="1" t="n">
        <v>45895</v>
      </c>
      <c r="D5235" t="inlineStr">
        <is>
          <t>NORRBOTTENS LÄN</t>
        </is>
      </c>
      <c r="E5235" t="inlineStr">
        <is>
          <t>KALIX</t>
        </is>
      </c>
      <c r="F5235" t="inlineStr">
        <is>
          <t>Sveaskog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43314-2022</t>
        </is>
      </c>
      <c r="B5236" s="1" t="n">
        <v>44834</v>
      </c>
      <c r="C5236" s="1" t="n">
        <v>45895</v>
      </c>
      <c r="D5236" t="inlineStr">
        <is>
          <t>NORRBOTTENS LÄN</t>
        </is>
      </c>
      <c r="E5236" t="inlineStr">
        <is>
          <t>ÖVERKALIX</t>
        </is>
      </c>
      <c r="G5236" t="n">
        <v>13.1</v>
      </c>
      <c r="H5236" t="n">
        <v>0</v>
      </c>
      <c r="I5236" t="n">
        <v>0</v>
      </c>
      <c r="J5236" t="n">
        <v>0</v>
      </c>
      <c r="K5236" t="n">
        <v>0</v>
      </c>
      <c r="L5236" t="n">
        <v>0</v>
      </c>
      <c r="M5236" t="n">
        <v>0</v>
      </c>
      <c r="N5236" t="n">
        <v>0</v>
      </c>
      <c r="O5236" t="n">
        <v>0</v>
      </c>
      <c r="P5236" t="n">
        <v>0</v>
      </c>
      <c r="Q5236" t="n">
        <v>0</v>
      </c>
      <c r="R5236" s="2" t="inlineStr"/>
    </row>
    <row r="5237" ht="15" customHeight="1">
      <c r="A5237" t="inlineStr">
        <is>
          <t>A 33863-2025</t>
        </is>
      </c>
      <c r="B5237" s="1" t="n">
        <v>45842</v>
      </c>
      <c r="C5237" s="1" t="n">
        <v>45895</v>
      </c>
      <c r="D5237" t="inlineStr">
        <is>
          <t>NORRBOTTENS LÄN</t>
        </is>
      </c>
      <c r="E5237" t="inlineStr">
        <is>
          <t>PITEÅ</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38335-2025</t>
        </is>
      </c>
      <c r="B5238" s="1" t="n">
        <v>45883.49179398148</v>
      </c>
      <c r="C5238" s="1" t="n">
        <v>45895</v>
      </c>
      <c r="D5238" t="inlineStr">
        <is>
          <t>NORRBOTTENS LÄN</t>
        </is>
      </c>
      <c r="E5238" t="inlineStr">
        <is>
          <t>PITEÅ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38026-2025</t>
        </is>
      </c>
      <c r="B5239" s="1" t="n">
        <v>45882</v>
      </c>
      <c r="C5239" s="1" t="n">
        <v>45895</v>
      </c>
      <c r="D5239" t="inlineStr">
        <is>
          <t>NORRBOTTENS LÄN</t>
        </is>
      </c>
      <c r="E5239" t="inlineStr">
        <is>
          <t>ÖVERKALIX</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37212-2025</t>
        </is>
      </c>
      <c r="B5240" s="1" t="n">
        <v>45875</v>
      </c>
      <c r="C5240" s="1" t="n">
        <v>45895</v>
      </c>
      <c r="D5240" t="inlineStr">
        <is>
          <t>NORRBOTTENS LÄN</t>
        </is>
      </c>
      <c r="E5240" t="inlineStr">
        <is>
          <t>BODEN</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49902-2024</t>
        </is>
      </c>
      <c r="B5241" s="1" t="n">
        <v>45597.54476851852</v>
      </c>
      <c r="C5241" s="1" t="n">
        <v>45895</v>
      </c>
      <c r="D5241" t="inlineStr">
        <is>
          <t>NORRBOTTENS LÄN</t>
        </is>
      </c>
      <c r="E5241" t="inlineStr">
        <is>
          <t>HAPARANDA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33939-2025</t>
        </is>
      </c>
      <c r="B5242" s="1" t="n">
        <v>45842.63900462963</v>
      </c>
      <c r="C5242" s="1" t="n">
        <v>45895</v>
      </c>
      <c r="D5242" t="inlineStr">
        <is>
          <t>NORRBOTTENS LÄN</t>
        </is>
      </c>
      <c r="E5242" t="inlineStr">
        <is>
          <t>ÖVERKALIX</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33175-2025</t>
        </is>
      </c>
      <c r="B5243" s="1" t="n">
        <v>45840</v>
      </c>
      <c r="C5243" s="1" t="n">
        <v>45895</v>
      </c>
      <c r="D5243" t="inlineStr">
        <is>
          <t>NORRBOTTENS LÄN</t>
        </is>
      </c>
      <c r="E5243" t="inlineStr">
        <is>
          <t>BODEN</t>
        </is>
      </c>
      <c r="F5243" t="inlineStr">
        <is>
          <t>Sveaskog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37180-2025</t>
        </is>
      </c>
      <c r="B5244" s="1" t="n">
        <v>45875</v>
      </c>
      <c r="C5244" s="1" t="n">
        <v>45895</v>
      </c>
      <c r="D5244" t="inlineStr">
        <is>
          <t>NORRBOTTENS LÄN</t>
        </is>
      </c>
      <c r="E5244" t="inlineStr">
        <is>
          <t>ARVIDSJAUR</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38062-2025</t>
        </is>
      </c>
      <c r="B5245" s="1" t="n">
        <v>45882.42844907408</v>
      </c>
      <c r="C5245" s="1" t="n">
        <v>45895</v>
      </c>
      <c r="D5245" t="inlineStr">
        <is>
          <t>NORRBOTTENS LÄN</t>
        </is>
      </c>
      <c r="E5245" t="inlineStr">
        <is>
          <t>GÄLLIVARE</t>
        </is>
      </c>
      <c r="F5245" t="inlineStr">
        <is>
          <t>SCA</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45041-2020</t>
        </is>
      </c>
      <c r="B5246" s="1" t="n">
        <v>44083</v>
      </c>
      <c r="C5246" s="1" t="n">
        <v>45895</v>
      </c>
      <c r="D5246" t="inlineStr">
        <is>
          <t>NORRBOTTENS LÄN</t>
        </is>
      </c>
      <c r="E5246" t="inlineStr">
        <is>
          <t>PITEÅ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15043-2025</t>
        </is>
      </c>
      <c r="B5247" s="1" t="n">
        <v>45743</v>
      </c>
      <c r="C5247" s="1" t="n">
        <v>45895</v>
      </c>
      <c r="D5247" t="inlineStr">
        <is>
          <t>NORRBOTTENS LÄN</t>
        </is>
      </c>
      <c r="E5247" t="inlineStr">
        <is>
          <t>ÖVERTORNEÅ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49462-2024</t>
        </is>
      </c>
      <c r="B5248" s="1" t="n">
        <v>45596.31337962963</v>
      </c>
      <c r="C5248" s="1" t="n">
        <v>45895</v>
      </c>
      <c r="D5248" t="inlineStr">
        <is>
          <t>NORRBOTTENS LÄN</t>
        </is>
      </c>
      <c r="E5248" t="inlineStr">
        <is>
          <t>PITEÅ</t>
        </is>
      </c>
      <c r="F5248" t="inlineStr">
        <is>
          <t>Sveaskog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49474-2024</t>
        </is>
      </c>
      <c r="B5249" s="1" t="n">
        <v>45596.34523148148</v>
      </c>
      <c r="C5249" s="1" t="n">
        <v>45895</v>
      </c>
      <c r="D5249" t="inlineStr">
        <is>
          <t>NORRBOTTENS LÄN</t>
        </is>
      </c>
      <c r="E5249" t="inlineStr">
        <is>
          <t>JOKKMOKK</t>
        </is>
      </c>
      <c r="F5249" t="inlineStr">
        <is>
          <t>SCA</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34724-2024</t>
        </is>
      </c>
      <c r="B5250" s="1" t="n">
        <v>45526.5687962963</v>
      </c>
      <c r="C5250" s="1" t="n">
        <v>45895</v>
      </c>
      <c r="D5250" t="inlineStr">
        <is>
          <t>NORRBOTTENS LÄN</t>
        </is>
      </c>
      <c r="E5250" t="inlineStr">
        <is>
          <t>PITEÅ</t>
        </is>
      </c>
      <c r="F5250" t="inlineStr">
        <is>
          <t>SCA</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33507-2025</t>
        </is>
      </c>
      <c r="B5251" s="1" t="n">
        <v>45841.51340277777</v>
      </c>
      <c r="C5251" s="1" t="n">
        <v>45895</v>
      </c>
      <c r="D5251" t="inlineStr">
        <is>
          <t>NORRBOTTENS LÄN</t>
        </is>
      </c>
      <c r="E5251" t="inlineStr">
        <is>
          <t>HAPARANDA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42911-2020</t>
        </is>
      </c>
      <c r="B5252" s="1" t="n">
        <v>44078</v>
      </c>
      <c r="C5252" s="1" t="n">
        <v>45895</v>
      </c>
      <c r="D5252" t="inlineStr">
        <is>
          <t>NORRBOTTENS LÄN</t>
        </is>
      </c>
      <c r="E5252" t="inlineStr">
        <is>
          <t>PITEÅ</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33554-2025</t>
        </is>
      </c>
      <c r="B5253" s="1" t="n">
        <v>45841.57400462963</v>
      </c>
      <c r="C5253" s="1" t="n">
        <v>45895</v>
      </c>
      <c r="D5253" t="inlineStr">
        <is>
          <t>NORRBOTTENS LÄN</t>
        </is>
      </c>
      <c r="E5253" t="inlineStr">
        <is>
          <t>JOKKMOKK</t>
        </is>
      </c>
      <c r="F5253" t="inlineStr">
        <is>
          <t>SCA</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15365-2025</t>
        </is>
      </c>
      <c r="B5254" s="1" t="n">
        <v>45747.39802083333</v>
      </c>
      <c r="C5254" s="1" t="n">
        <v>45895</v>
      </c>
      <c r="D5254" t="inlineStr">
        <is>
          <t>NORRBOTTENS LÄN</t>
        </is>
      </c>
      <c r="E5254" t="inlineStr">
        <is>
          <t>ÖVERKALIX</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11834-2025</t>
        </is>
      </c>
      <c r="B5255" s="1" t="n">
        <v>45727</v>
      </c>
      <c r="C5255" s="1" t="n">
        <v>45895</v>
      </c>
      <c r="D5255" t="inlineStr">
        <is>
          <t>NORRBOTTENS LÄN</t>
        </is>
      </c>
      <c r="E5255" t="inlineStr">
        <is>
          <t>LULEÅ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13234-2025</t>
        </is>
      </c>
      <c r="B5256" s="1" t="n">
        <v>45735</v>
      </c>
      <c r="C5256" s="1" t="n">
        <v>45895</v>
      </c>
      <c r="D5256" t="inlineStr">
        <is>
          <t>NORRBOTTENS LÄN</t>
        </is>
      </c>
      <c r="E5256" t="inlineStr">
        <is>
          <t>KALIX</t>
        </is>
      </c>
      <c r="G5256" t="n">
        <v>12.4</v>
      </c>
      <c r="H5256" t="n">
        <v>0</v>
      </c>
      <c r="I5256" t="n">
        <v>0</v>
      </c>
      <c r="J5256" t="n">
        <v>0</v>
      </c>
      <c r="K5256" t="n">
        <v>0</v>
      </c>
      <c r="L5256" t="n">
        <v>0</v>
      </c>
      <c r="M5256" t="n">
        <v>0</v>
      </c>
      <c r="N5256" t="n">
        <v>0</v>
      </c>
      <c r="O5256" t="n">
        <v>0</v>
      </c>
      <c r="P5256" t="n">
        <v>0</v>
      </c>
      <c r="Q5256" t="n">
        <v>0</v>
      </c>
      <c r="R5256" s="2" t="inlineStr"/>
    </row>
    <row r="5257" ht="15" customHeight="1">
      <c r="A5257" t="inlineStr">
        <is>
          <t>A 47025-2024</t>
        </is>
      </c>
      <c r="B5257" s="1" t="n">
        <v>45586.41365740741</v>
      </c>
      <c r="C5257" s="1" t="n">
        <v>45895</v>
      </c>
      <c r="D5257" t="inlineStr">
        <is>
          <t>NORRBOTTENS LÄN</t>
        </is>
      </c>
      <c r="E5257" t="inlineStr">
        <is>
          <t>PITEÅ</t>
        </is>
      </c>
      <c r="F5257" t="inlineStr">
        <is>
          <t>Övriga Aktiebolag</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47042-2024</t>
        </is>
      </c>
      <c r="B5258" s="1" t="n">
        <v>45586.44344907408</v>
      </c>
      <c r="C5258" s="1" t="n">
        <v>45895</v>
      </c>
      <c r="D5258" t="inlineStr">
        <is>
          <t>NORRBOTTENS LÄN</t>
        </is>
      </c>
      <c r="E5258" t="inlineStr">
        <is>
          <t>BODEN</t>
        </is>
      </c>
      <c r="G5258" t="n">
        <v>27.9</v>
      </c>
      <c r="H5258" t="n">
        <v>0</v>
      </c>
      <c r="I5258" t="n">
        <v>0</v>
      </c>
      <c r="J5258" t="n">
        <v>0</v>
      </c>
      <c r="K5258" t="n">
        <v>0</v>
      </c>
      <c r="L5258" t="n">
        <v>0</v>
      </c>
      <c r="M5258" t="n">
        <v>0</v>
      </c>
      <c r="N5258" t="n">
        <v>0</v>
      </c>
      <c r="O5258" t="n">
        <v>0</v>
      </c>
      <c r="P5258" t="n">
        <v>0</v>
      </c>
      <c r="Q5258" t="n">
        <v>0</v>
      </c>
      <c r="R5258" s="2" t="inlineStr"/>
    </row>
    <row r="5259" ht="15" customHeight="1">
      <c r="A5259" t="inlineStr">
        <is>
          <t>A 33791-2025</t>
        </is>
      </c>
      <c r="B5259" s="1" t="n">
        <v>45842.42744212963</v>
      </c>
      <c r="C5259" s="1" t="n">
        <v>45895</v>
      </c>
      <c r="D5259" t="inlineStr">
        <is>
          <t>NORRBOTTENS LÄN</t>
        </is>
      </c>
      <c r="E5259" t="inlineStr">
        <is>
          <t>KALIX</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33792-2025</t>
        </is>
      </c>
      <c r="B5260" s="1" t="n">
        <v>45842.42745370371</v>
      </c>
      <c r="C5260" s="1" t="n">
        <v>45895</v>
      </c>
      <c r="D5260" t="inlineStr">
        <is>
          <t>NORRBOTTENS LÄN</t>
        </is>
      </c>
      <c r="E5260" t="inlineStr">
        <is>
          <t>KALIX</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12639-2024</t>
        </is>
      </c>
      <c r="B5261" s="1" t="n">
        <v>45379</v>
      </c>
      <c r="C5261" s="1" t="n">
        <v>45895</v>
      </c>
      <c r="D5261" t="inlineStr">
        <is>
          <t>NORRBOTTENS LÄN</t>
        </is>
      </c>
      <c r="E5261" t="inlineStr">
        <is>
          <t>PAJALA</t>
        </is>
      </c>
      <c r="F5261" t="inlineStr">
        <is>
          <t>Allmännings- och besparingsskogar</t>
        </is>
      </c>
      <c r="G5261" t="n">
        <v>92</v>
      </c>
      <c r="H5261" t="n">
        <v>0</v>
      </c>
      <c r="I5261" t="n">
        <v>0</v>
      </c>
      <c r="J5261" t="n">
        <v>0</v>
      </c>
      <c r="K5261" t="n">
        <v>0</v>
      </c>
      <c r="L5261" t="n">
        <v>0</v>
      </c>
      <c r="M5261" t="n">
        <v>0</v>
      </c>
      <c r="N5261" t="n">
        <v>0</v>
      </c>
      <c r="O5261" t="n">
        <v>0</v>
      </c>
      <c r="P5261" t="n">
        <v>0</v>
      </c>
      <c r="Q5261" t="n">
        <v>0</v>
      </c>
      <c r="R5261" s="2" t="inlineStr"/>
    </row>
    <row r="5262" ht="15" customHeight="1">
      <c r="A5262" t="inlineStr">
        <is>
          <t>A 49679-2024</t>
        </is>
      </c>
      <c r="B5262" s="1" t="n">
        <v>45596.6649537037</v>
      </c>
      <c r="C5262" s="1" t="n">
        <v>45895</v>
      </c>
      <c r="D5262" t="inlineStr">
        <is>
          <t>NORRBOTTENS LÄN</t>
        </is>
      </c>
      <c r="E5262" t="inlineStr">
        <is>
          <t>JOKKMOKK</t>
        </is>
      </c>
      <c r="F5262" t="inlineStr">
        <is>
          <t>Allmännings- och besparingsskogar</t>
        </is>
      </c>
      <c r="G5262" t="n">
        <v>14.1</v>
      </c>
      <c r="H5262" t="n">
        <v>0</v>
      </c>
      <c r="I5262" t="n">
        <v>0</v>
      </c>
      <c r="J5262" t="n">
        <v>0</v>
      </c>
      <c r="K5262" t="n">
        <v>0</v>
      </c>
      <c r="L5262" t="n">
        <v>0</v>
      </c>
      <c r="M5262" t="n">
        <v>0</v>
      </c>
      <c r="N5262" t="n">
        <v>0</v>
      </c>
      <c r="O5262" t="n">
        <v>0</v>
      </c>
      <c r="P5262" t="n">
        <v>0</v>
      </c>
      <c r="Q5262" t="n">
        <v>0</v>
      </c>
      <c r="R5262" s="2" t="inlineStr"/>
    </row>
    <row r="5263" ht="15" customHeight="1">
      <c r="A5263" t="inlineStr">
        <is>
          <t>A 42505-2024</t>
        </is>
      </c>
      <c r="B5263" s="1" t="n">
        <v>45565</v>
      </c>
      <c r="C5263" s="1" t="n">
        <v>45895</v>
      </c>
      <c r="D5263" t="inlineStr">
        <is>
          <t>NORRBOTTENS LÄN</t>
        </is>
      </c>
      <c r="E5263" t="inlineStr">
        <is>
          <t>ÄLVSBYN</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42506-2024</t>
        </is>
      </c>
      <c r="B5264" s="1" t="n">
        <v>45565.523125</v>
      </c>
      <c r="C5264" s="1" t="n">
        <v>45895</v>
      </c>
      <c r="D5264" t="inlineStr">
        <is>
          <t>NORRBOTTENS LÄN</t>
        </is>
      </c>
      <c r="E5264" t="inlineStr">
        <is>
          <t>ÄLVSBYN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58025-2023</t>
        </is>
      </c>
      <c r="B5265" s="1" t="n">
        <v>45244</v>
      </c>
      <c r="C5265" s="1" t="n">
        <v>45895</v>
      </c>
      <c r="D5265" t="inlineStr">
        <is>
          <t>NORRBOTTENS LÄN</t>
        </is>
      </c>
      <c r="E5265" t="inlineStr">
        <is>
          <t>ARVIDSJAUR</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37436-2025</t>
        </is>
      </c>
      <c r="B5266" s="1" t="n">
        <v>45877.53163194445</v>
      </c>
      <c r="C5266" s="1" t="n">
        <v>45895</v>
      </c>
      <c r="D5266" t="inlineStr">
        <is>
          <t>NORRBOTTENS LÄN</t>
        </is>
      </c>
      <c r="E5266" t="inlineStr">
        <is>
          <t>PITEÅ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57631-2023</t>
        </is>
      </c>
      <c r="B5267" s="1" t="n">
        <v>45246.58479166667</v>
      </c>
      <c r="C5267" s="1" t="n">
        <v>45895</v>
      </c>
      <c r="D5267" t="inlineStr">
        <is>
          <t>NORRBOTTENS LÄN</t>
        </is>
      </c>
      <c r="E5267" t="inlineStr">
        <is>
          <t>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37483-2024</t>
        </is>
      </c>
      <c r="B5268" s="1" t="n">
        <v>45541.33534722222</v>
      </c>
      <c r="C5268" s="1" t="n">
        <v>45895</v>
      </c>
      <c r="D5268" t="inlineStr">
        <is>
          <t>NORRBOTTENS LÄN</t>
        </is>
      </c>
      <c r="E5268" t="inlineStr">
        <is>
          <t>ARVIDSJAUR</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37527-2024</t>
        </is>
      </c>
      <c r="B5269" s="1" t="n">
        <v>45541.40069444444</v>
      </c>
      <c r="C5269" s="1" t="n">
        <v>45895</v>
      </c>
      <c r="D5269" t="inlineStr">
        <is>
          <t>NORRBOTTENS LÄN</t>
        </is>
      </c>
      <c r="E5269" t="inlineStr">
        <is>
          <t>PAJALA</t>
        </is>
      </c>
      <c r="G5269" t="n">
        <v>21.3</v>
      </c>
      <c r="H5269" t="n">
        <v>0</v>
      </c>
      <c r="I5269" t="n">
        <v>0</v>
      </c>
      <c r="J5269" t="n">
        <v>0</v>
      </c>
      <c r="K5269" t="n">
        <v>0</v>
      </c>
      <c r="L5269" t="n">
        <v>0</v>
      </c>
      <c r="M5269" t="n">
        <v>0</v>
      </c>
      <c r="N5269" t="n">
        <v>0</v>
      </c>
      <c r="O5269" t="n">
        <v>0</v>
      </c>
      <c r="P5269" t="n">
        <v>0</v>
      </c>
      <c r="Q5269" t="n">
        <v>0</v>
      </c>
      <c r="R5269" s="2" t="inlineStr"/>
    </row>
    <row r="5270" ht="15" customHeight="1">
      <c r="A5270" t="inlineStr">
        <is>
          <t>A 17020-2024</t>
        </is>
      </c>
      <c r="B5270" s="1" t="n">
        <v>45411</v>
      </c>
      <c r="C5270" s="1" t="n">
        <v>45895</v>
      </c>
      <c r="D5270" t="inlineStr">
        <is>
          <t>NORRBOTTENS LÄN</t>
        </is>
      </c>
      <c r="E5270" t="inlineStr">
        <is>
          <t>LULEÅ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17031-2024</t>
        </is>
      </c>
      <c r="B5271" s="1" t="n">
        <v>45411</v>
      </c>
      <c r="C5271" s="1" t="n">
        <v>45895</v>
      </c>
      <c r="D5271" t="inlineStr">
        <is>
          <t>NORRBOTTENS LÄN</t>
        </is>
      </c>
      <c r="E5271" t="inlineStr">
        <is>
          <t>LULEÅ</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33608-2025</t>
        </is>
      </c>
      <c r="B5272" s="1" t="n">
        <v>45841.61747685185</v>
      </c>
      <c r="C5272" s="1" t="n">
        <v>45895</v>
      </c>
      <c r="D5272" t="inlineStr">
        <is>
          <t>NORRBOTTENS LÄN</t>
        </is>
      </c>
      <c r="E5272" t="inlineStr">
        <is>
          <t>LULEÅ</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38584-2025</t>
        </is>
      </c>
      <c r="B5273" s="1" t="n">
        <v>45884.46996527778</v>
      </c>
      <c r="C5273" s="1" t="n">
        <v>45895</v>
      </c>
      <c r="D5273" t="inlineStr">
        <is>
          <t>NORRBOTTENS LÄN</t>
        </is>
      </c>
      <c r="E5273" t="inlineStr">
        <is>
          <t>BODEN</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38595-2025</t>
        </is>
      </c>
      <c r="B5274" s="1" t="n">
        <v>45884.49027777778</v>
      </c>
      <c r="C5274" s="1" t="n">
        <v>45895</v>
      </c>
      <c r="D5274" t="inlineStr">
        <is>
          <t>NORRBOTTENS LÄN</t>
        </is>
      </c>
      <c r="E5274" t="inlineStr">
        <is>
          <t>JOKKMOKK</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36776-2025</t>
        </is>
      </c>
      <c r="B5275" s="1" t="n">
        <v>45873.59333333333</v>
      </c>
      <c r="C5275" s="1" t="n">
        <v>45895</v>
      </c>
      <c r="D5275" t="inlineStr">
        <is>
          <t>NORRBOTTENS LÄN</t>
        </is>
      </c>
      <c r="E5275" t="inlineStr">
        <is>
          <t>PITEÅ</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8869-2024</t>
        </is>
      </c>
      <c r="B5276" s="1" t="n">
        <v>45356.96387731482</v>
      </c>
      <c r="C5276" s="1" t="n">
        <v>45895</v>
      </c>
      <c r="D5276" t="inlineStr">
        <is>
          <t>NORRBOTTENS LÄN</t>
        </is>
      </c>
      <c r="E5276" t="inlineStr">
        <is>
          <t>BODEN</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60954-2021</t>
        </is>
      </c>
      <c r="B5277" s="1" t="n">
        <v>44496</v>
      </c>
      <c r="C5277" s="1" t="n">
        <v>45895</v>
      </c>
      <c r="D5277" t="inlineStr">
        <is>
          <t>NORRBOTTENS LÄN</t>
        </is>
      </c>
      <c r="E5277" t="inlineStr">
        <is>
          <t>LULEÅ</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33693-2025</t>
        </is>
      </c>
      <c r="B5278" s="1" t="n">
        <v>45841.69828703703</v>
      </c>
      <c r="C5278" s="1" t="n">
        <v>45895</v>
      </c>
      <c r="D5278" t="inlineStr">
        <is>
          <t>NORRBOTTENS LÄN</t>
        </is>
      </c>
      <c r="E5278" t="inlineStr">
        <is>
          <t>BODEN</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54824-2022</t>
        </is>
      </c>
      <c r="B5279" s="1" t="n">
        <v>44883.92393518519</v>
      </c>
      <c r="C5279" s="1" t="n">
        <v>45895</v>
      </c>
      <c r="D5279" t="inlineStr">
        <is>
          <t>NORRBOTTENS LÄN</t>
        </is>
      </c>
      <c r="E5279" t="inlineStr">
        <is>
          <t>LULEÅ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51570-2024</t>
        </is>
      </c>
      <c r="B5280" s="1" t="n">
        <v>45604</v>
      </c>
      <c r="C5280" s="1" t="n">
        <v>45895</v>
      </c>
      <c r="D5280" t="inlineStr">
        <is>
          <t>NORRBOTTENS LÄN</t>
        </is>
      </c>
      <c r="E5280" t="inlineStr">
        <is>
          <t>GÄLLIVARE</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33504-2025</t>
        </is>
      </c>
      <c r="B5281" s="1" t="n">
        <v>45841.5124537037</v>
      </c>
      <c r="C5281" s="1" t="n">
        <v>45895</v>
      </c>
      <c r="D5281" t="inlineStr">
        <is>
          <t>NORRBOTTENS LÄN</t>
        </is>
      </c>
      <c r="E5281" t="inlineStr">
        <is>
          <t>BODEN</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37021-2025</t>
        </is>
      </c>
      <c r="B5282" s="1" t="n">
        <v>45874</v>
      </c>
      <c r="C5282" s="1" t="n">
        <v>45895</v>
      </c>
      <c r="D5282" t="inlineStr">
        <is>
          <t>NORRBOTTENS LÄN</t>
        </is>
      </c>
      <c r="E5282" t="inlineStr">
        <is>
          <t>GÄLLIVARE</t>
        </is>
      </c>
      <c r="F5282" t="inlineStr">
        <is>
          <t>Allmännings- och besparingsskogar</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33741-2025</t>
        </is>
      </c>
      <c r="B5283" s="1" t="n">
        <v>45842.3446875</v>
      </c>
      <c r="C5283" s="1" t="n">
        <v>45895</v>
      </c>
      <c r="D5283" t="inlineStr">
        <is>
          <t>NORRBOTTENS LÄN</t>
        </is>
      </c>
      <c r="E5283" t="inlineStr">
        <is>
          <t>JOKKMOKK</t>
        </is>
      </c>
      <c r="F5283" t="inlineStr">
        <is>
          <t>SCA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33807-2025</t>
        </is>
      </c>
      <c r="B5284" s="1" t="n">
        <v>45842.44878472222</v>
      </c>
      <c r="C5284" s="1" t="n">
        <v>45895</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33651-2025</t>
        </is>
      </c>
      <c r="B5285" s="1" t="n">
        <v>45841.65722222222</v>
      </c>
      <c r="C5285" s="1" t="n">
        <v>45895</v>
      </c>
      <c r="D5285" t="inlineStr">
        <is>
          <t>NORRBOTTENS LÄN</t>
        </is>
      </c>
      <c r="E5285" t="inlineStr">
        <is>
          <t>LULEÅ</t>
        </is>
      </c>
      <c r="G5285" t="n">
        <v>15.5</v>
      </c>
      <c r="H5285" t="n">
        <v>0</v>
      </c>
      <c r="I5285" t="n">
        <v>0</v>
      </c>
      <c r="J5285" t="n">
        <v>0</v>
      </c>
      <c r="K5285" t="n">
        <v>0</v>
      </c>
      <c r="L5285" t="n">
        <v>0</v>
      </c>
      <c r="M5285" t="n">
        <v>0</v>
      </c>
      <c r="N5285" t="n">
        <v>0</v>
      </c>
      <c r="O5285" t="n">
        <v>0</v>
      </c>
      <c r="P5285" t="n">
        <v>0</v>
      </c>
      <c r="Q5285" t="n">
        <v>0</v>
      </c>
      <c r="R5285" s="2" t="inlineStr"/>
    </row>
    <row r="5286" ht="15" customHeight="1">
      <c r="A5286" t="inlineStr">
        <is>
          <t>A 33654-2025</t>
        </is>
      </c>
      <c r="B5286" s="1" t="n">
        <v>45841.65853009259</v>
      </c>
      <c r="C5286" s="1" t="n">
        <v>45895</v>
      </c>
      <c r="D5286" t="inlineStr">
        <is>
          <t>NORRBOTTENS LÄN</t>
        </is>
      </c>
      <c r="E5286" t="inlineStr">
        <is>
          <t>GÄLLIVARE</t>
        </is>
      </c>
      <c r="F5286" t="inlineStr">
        <is>
          <t>Sveaskog</t>
        </is>
      </c>
      <c r="G5286" t="n">
        <v>10.9</v>
      </c>
      <c r="H5286" t="n">
        <v>0</v>
      </c>
      <c r="I5286" t="n">
        <v>0</v>
      </c>
      <c r="J5286" t="n">
        <v>0</v>
      </c>
      <c r="K5286" t="n">
        <v>0</v>
      </c>
      <c r="L5286" t="n">
        <v>0</v>
      </c>
      <c r="M5286" t="n">
        <v>0</v>
      </c>
      <c r="N5286" t="n">
        <v>0</v>
      </c>
      <c r="O5286" t="n">
        <v>0</v>
      </c>
      <c r="P5286" t="n">
        <v>0</v>
      </c>
      <c r="Q5286" t="n">
        <v>0</v>
      </c>
      <c r="R5286" s="2" t="inlineStr"/>
    </row>
    <row r="5287" ht="15" customHeight="1">
      <c r="A5287" t="inlineStr">
        <is>
          <t>A 38336-2025</t>
        </is>
      </c>
      <c r="B5287" s="1" t="n">
        <v>45883.49185185185</v>
      </c>
      <c r="C5287" s="1" t="n">
        <v>45895</v>
      </c>
      <c r="D5287" t="inlineStr">
        <is>
          <t>NORRBOTTENS LÄN</t>
        </is>
      </c>
      <c r="E5287" t="inlineStr">
        <is>
          <t>PITEÅ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33302-2025</t>
        </is>
      </c>
      <c r="B5288" s="1" t="n">
        <v>45841</v>
      </c>
      <c r="C5288" s="1" t="n">
        <v>45895</v>
      </c>
      <c r="D5288" t="inlineStr">
        <is>
          <t>NORRBOTTENS LÄN</t>
        </is>
      </c>
      <c r="E5288" t="inlineStr">
        <is>
          <t>ARVIDSJAUR</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48594-2024</t>
        </is>
      </c>
      <c r="B5289" s="1" t="n">
        <v>45593</v>
      </c>
      <c r="C5289" s="1" t="n">
        <v>45895</v>
      </c>
      <c r="D5289" t="inlineStr">
        <is>
          <t>NORRBOTTENS LÄN</t>
        </is>
      </c>
      <c r="E5289" t="inlineStr">
        <is>
          <t>PITEÅ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48616-2024</t>
        </is>
      </c>
      <c r="B5290" s="1" t="n">
        <v>45593.45395833333</v>
      </c>
      <c r="C5290" s="1" t="n">
        <v>45895</v>
      </c>
      <c r="D5290" t="inlineStr">
        <is>
          <t>NORRBOTTENS LÄN</t>
        </is>
      </c>
      <c r="E5290" t="inlineStr">
        <is>
          <t>ARVIDSJAUR</t>
        </is>
      </c>
      <c r="F5290" t="inlineStr">
        <is>
          <t>Sveaskog</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38579-2025</t>
        </is>
      </c>
      <c r="B5291" s="1" t="n">
        <v>45884.46925925926</v>
      </c>
      <c r="C5291" s="1" t="n">
        <v>45895</v>
      </c>
      <c r="D5291" t="inlineStr">
        <is>
          <t>NORRBOTTENS LÄN</t>
        </is>
      </c>
      <c r="E5291" t="inlineStr">
        <is>
          <t>JOKKMOKK</t>
        </is>
      </c>
      <c r="F5291" t="inlineStr">
        <is>
          <t>SCA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46651-2023</t>
        </is>
      </c>
      <c r="B5292" s="1" t="n">
        <v>45194</v>
      </c>
      <c r="C5292" s="1" t="n">
        <v>45895</v>
      </c>
      <c r="D5292" t="inlineStr">
        <is>
          <t>NORRBOTTENS LÄN</t>
        </is>
      </c>
      <c r="E5292" t="inlineStr">
        <is>
          <t>ÖVERTORNEÅ</t>
        </is>
      </c>
      <c r="G5292" t="n">
        <v>10.1</v>
      </c>
      <c r="H5292" t="n">
        <v>0</v>
      </c>
      <c r="I5292" t="n">
        <v>0</v>
      </c>
      <c r="J5292" t="n">
        <v>0</v>
      </c>
      <c r="K5292" t="n">
        <v>0</v>
      </c>
      <c r="L5292" t="n">
        <v>0</v>
      </c>
      <c r="M5292" t="n">
        <v>0</v>
      </c>
      <c r="N5292" t="n">
        <v>0</v>
      </c>
      <c r="O5292" t="n">
        <v>0</v>
      </c>
      <c r="P5292" t="n">
        <v>0</v>
      </c>
      <c r="Q5292" t="n">
        <v>0</v>
      </c>
      <c r="R5292" s="2" t="inlineStr"/>
    </row>
    <row r="5293" ht="15" customHeight="1">
      <c r="A5293" t="inlineStr">
        <is>
          <t>A 30784-2024</t>
        </is>
      </c>
      <c r="B5293" s="1" t="n">
        <v>45496</v>
      </c>
      <c r="C5293" s="1" t="n">
        <v>45895</v>
      </c>
      <c r="D5293" t="inlineStr">
        <is>
          <t>NORRBOTTENS LÄN</t>
        </is>
      </c>
      <c r="E5293" t="inlineStr">
        <is>
          <t>LULEÅ</t>
        </is>
      </c>
      <c r="F5293" t="inlineStr">
        <is>
          <t>Naturvårdsverket</t>
        </is>
      </c>
      <c r="G5293" t="n">
        <v>13.2</v>
      </c>
      <c r="H5293" t="n">
        <v>0</v>
      </c>
      <c r="I5293" t="n">
        <v>0</v>
      </c>
      <c r="J5293" t="n">
        <v>0</v>
      </c>
      <c r="K5293" t="n">
        <v>0</v>
      </c>
      <c r="L5293" t="n">
        <v>0</v>
      </c>
      <c r="M5293" t="n">
        <v>0</v>
      </c>
      <c r="N5293" t="n">
        <v>0</v>
      </c>
      <c r="O5293" t="n">
        <v>0</v>
      </c>
      <c r="P5293" t="n">
        <v>0</v>
      </c>
      <c r="Q5293" t="n">
        <v>0</v>
      </c>
      <c r="R5293" s="2" t="inlineStr"/>
    </row>
    <row r="5294" ht="15" customHeight="1">
      <c r="A5294" t="inlineStr">
        <is>
          <t>A 30788-2024</t>
        </is>
      </c>
      <c r="B5294" s="1" t="n">
        <v>45496</v>
      </c>
      <c r="C5294" s="1" t="n">
        <v>45895</v>
      </c>
      <c r="D5294" t="inlineStr">
        <is>
          <t>NORRBOTTENS LÄN</t>
        </is>
      </c>
      <c r="E5294" t="inlineStr">
        <is>
          <t>LULEÅ</t>
        </is>
      </c>
      <c r="F5294" t="inlineStr">
        <is>
          <t>Naturvårdsverket</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45940-2021</t>
        </is>
      </c>
      <c r="B5295" s="1" t="n">
        <v>44441</v>
      </c>
      <c r="C5295" s="1" t="n">
        <v>45895</v>
      </c>
      <c r="D5295" t="inlineStr">
        <is>
          <t>NORRBOTTENS LÄN</t>
        </is>
      </c>
      <c r="E5295" t="inlineStr">
        <is>
          <t>LULEÅ</t>
        </is>
      </c>
      <c r="G5295" t="n">
        <v>15.2</v>
      </c>
      <c r="H5295" t="n">
        <v>0</v>
      </c>
      <c r="I5295" t="n">
        <v>0</v>
      </c>
      <c r="J5295" t="n">
        <v>0</v>
      </c>
      <c r="K5295" t="n">
        <v>0</v>
      </c>
      <c r="L5295" t="n">
        <v>0</v>
      </c>
      <c r="M5295" t="n">
        <v>0</v>
      </c>
      <c r="N5295" t="n">
        <v>0</v>
      </c>
      <c r="O5295" t="n">
        <v>0</v>
      </c>
      <c r="P5295" t="n">
        <v>0</v>
      </c>
      <c r="Q5295" t="n">
        <v>0</v>
      </c>
      <c r="R5295" s="2" t="inlineStr"/>
    </row>
    <row r="5296" ht="15" customHeight="1">
      <c r="A5296" t="inlineStr">
        <is>
          <t>A 38583-2025</t>
        </is>
      </c>
      <c r="B5296" s="1" t="n">
        <v>45884.46990740741</v>
      </c>
      <c r="C5296" s="1" t="n">
        <v>45895</v>
      </c>
      <c r="D5296" t="inlineStr">
        <is>
          <t>NORRBOTTENS LÄN</t>
        </is>
      </c>
      <c r="E5296" t="inlineStr">
        <is>
          <t>BODEN</t>
        </is>
      </c>
      <c r="F5296" t="inlineStr">
        <is>
          <t>SCA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55928-2023</t>
        </is>
      </c>
      <c r="B5297" s="1" t="n">
        <v>45239</v>
      </c>
      <c r="C5297" s="1" t="n">
        <v>45895</v>
      </c>
      <c r="D5297" t="inlineStr">
        <is>
          <t>NORRBOTTENS LÄN</t>
        </is>
      </c>
      <c r="E5297" t="inlineStr">
        <is>
          <t>PITEÅ</t>
        </is>
      </c>
      <c r="F5297" t="inlineStr">
        <is>
          <t>SCA</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58353-2022</t>
        </is>
      </c>
      <c r="B5298" s="1" t="n">
        <v>44901</v>
      </c>
      <c r="C5298" s="1" t="n">
        <v>45895</v>
      </c>
      <c r="D5298" t="inlineStr">
        <is>
          <t>NORRBOTTENS LÄN</t>
        </is>
      </c>
      <c r="E5298" t="inlineStr">
        <is>
          <t>KALIX</t>
        </is>
      </c>
      <c r="F5298" t="inlineStr">
        <is>
          <t>Sveaskog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21646-2021</t>
        </is>
      </c>
      <c r="B5299" s="1" t="n">
        <v>44321</v>
      </c>
      <c r="C5299" s="1" t="n">
        <v>45895</v>
      </c>
      <c r="D5299" t="inlineStr">
        <is>
          <t>NORRBOTTENS LÄN</t>
        </is>
      </c>
      <c r="E5299" t="inlineStr">
        <is>
          <t>PITEÅ</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61613-2022</t>
        </is>
      </c>
      <c r="B5300" s="1" t="n">
        <v>44916</v>
      </c>
      <c r="C5300" s="1" t="n">
        <v>45895</v>
      </c>
      <c r="D5300" t="inlineStr">
        <is>
          <t>NORRBOTTENS LÄN</t>
        </is>
      </c>
      <c r="E5300" t="inlineStr">
        <is>
          <t>PAJALA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16581-2025</t>
        </is>
      </c>
      <c r="B5301" s="1" t="n">
        <v>45752</v>
      </c>
      <c r="C5301" s="1" t="n">
        <v>45895</v>
      </c>
      <c r="D5301" t="inlineStr">
        <is>
          <t>NORRBOTTENS LÄN</t>
        </is>
      </c>
      <c r="E5301" t="inlineStr">
        <is>
          <t>BODEN</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30881-2024</t>
        </is>
      </c>
      <c r="B5302" s="1" t="n">
        <v>45498</v>
      </c>
      <c r="C5302" s="1" t="n">
        <v>45895</v>
      </c>
      <c r="D5302" t="inlineStr">
        <is>
          <t>NORRBOTTENS LÄN</t>
        </is>
      </c>
      <c r="E5302" t="inlineStr">
        <is>
          <t>ÖVERKALIX</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73128-2021</t>
        </is>
      </c>
      <c r="B5303" s="1" t="n">
        <v>44547</v>
      </c>
      <c r="C5303" s="1" t="n">
        <v>45895</v>
      </c>
      <c r="D5303" t="inlineStr">
        <is>
          <t>NORRBOTTENS LÄN</t>
        </is>
      </c>
      <c r="E5303" t="inlineStr">
        <is>
          <t>PAJALA</t>
        </is>
      </c>
      <c r="G5303" t="n">
        <v>10.6</v>
      </c>
      <c r="H5303" t="n">
        <v>0</v>
      </c>
      <c r="I5303" t="n">
        <v>0</v>
      </c>
      <c r="J5303" t="n">
        <v>0</v>
      </c>
      <c r="K5303" t="n">
        <v>0</v>
      </c>
      <c r="L5303" t="n">
        <v>0</v>
      </c>
      <c r="M5303" t="n">
        <v>0</v>
      </c>
      <c r="N5303" t="n">
        <v>0</v>
      </c>
      <c r="O5303" t="n">
        <v>0</v>
      </c>
      <c r="P5303" t="n">
        <v>0</v>
      </c>
      <c r="Q5303" t="n">
        <v>0</v>
      </c>
      <c r="R5303" s="2" t="inlineStr"/>
    </row>
    <row r="5304" ht="15" customHeight="1">
      <c r="A5304" t="inlineStr">
        <is>
          <t>A 30647-2023</t>
        </is>
      </c>
      <c r="B5304" s="1" t="n">
        <v>45112.47622685185</v>
      </c>
      <c r="C5304" s="1" t="n">
        <v>45895</v>
      </c>
      <c r="D5304" t="inlineStr">
        <is>
          <t>NORRBOTTENS LÄN</t>
        </is>
      </c>
      <c r="E5304" t="inlineStr">
        <is>
          <t>ÖVERTORNEÅ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30651-2023</t>
        </is>
      </c>
      <c r="B5305" s="1" t="n">
        <v>45112.47864583333</v>
      </c>
      <c r="C5305" s="1" t="n">
        <v>45895</v>
      </c>
      <c r="D5305" t="inlineStr">
        <is>
          <t>NORRBOTTENS LÄN</t>
        </is>
      </c>
      <c r="E5305" t="inlineStr">
        <is>
          <t>ÖVERTORNEÅ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34127-2025</t>
        </is>
      </c>
      <c r="B5306" s="1" t="n">
        <v>45845.53070601852</v>
      </c>
      <c r="C5306" s="1" t="n">
        <v>45895</v>
      </c>
      <c r="D5306" t="inlineStr">
        <is>
          <t>NORRBOTTENS LÄN</t>
        </is>
      </c>
      <c r="E5306" t="inlineStr">
        <is>
          <t>GÄLLIVARE</t>
        </is>
      </c>
      <c r="F5306" t="inlineStr">
        <is>
          <t>Sveaskog</t>
        </is>
      </c>
      <c r="G5306" t="n">
        <v>20.4</v>
      </c>
      <c r="H5306" t="n">
        <v>0</v>
      </c>
      <c r="I5306" t="n">
        <v>0</v>
      </c>
      <c r="J5306" t="n">
        <v>0</v>
      </c>
      <c r="K5306" t="n">
        <v>0</v>
      </c>
      <c r="L5306" t="n">
        <v>0</v>
      </c>
      <c r="M5306" t="n">
        <v>0</v>
      </c>
      <c r="N5306" t="n">
        <v>0</v>
      </c>
      <c r="O5306" t="n">
        <v>0</v>
      </c>
      <c r="P5306" t="n">
        <v>0</v>
      </c>
      <c r="Q5306" t="n">
        <v>0</v>
      </c>
      <c r="R5306" s="2" t="inlineStr"/>
    </row>
    <row r="5307" ht="15" customHeight="1">
      <c r="A5307" t="inlineStr">
        <is>
          <t>A 38712-2025</t>
        </is>
      </c>
      <c r="B5307" s="1" t="n">
        <v>45886.34465277778</v>
      </c>
      <c r="C5307" s="1" t="n">
        <v>45895</v>
      </c>
      <c r="D5307" t="inlineStr">
        <is>
          <t>NORRBOTTENS LÄN</t>
        </is>
      </c>
      <c r="E5307" t="inlineStr">
        <is>
          <t>LULEÅ</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43997-2024</t>
        </is>
      </c>
      <c r="B5308" s="1" t="n">
        <v>45572.54165509259</v>
      </c>
      <c r="C5308" s="1" t="n">
        <v>45895</v>
      </c>
      <c r="D5308" t="inlineStr">
        <is>
          <t>NORRBOTTENS LÄN</t>
        </is>
      </c>
      <c r="E5308" t="inlineStr">
        <is>
          <t>JOKKMOKK</t>
        </is>
      </c>
      <c r="F5308" t="inlineStr">
        <is>
          <t>Sveaskog</t>
        </is>
      </c>
      <c r="G5308" t="n">
        <v>17.4</v>
      </c>
      <c r="H5308" t="n">
        <v>0</v>
      </c>
      <c r="I5308" t="n">
        <v>0</v>
      </c>
      <c r="J5308" t="n">
        <v>0</v>
      </c>
      <c r="K5308" t="n">
        <v>0</v>
      </c>
      <c r="L5308" t="n">
        <v>0</v>
      </c>
      <c r="M5308" t="n">
        <v>0</v>
      </c>
      <c r="N5308" t="n">
        <v>0</v>
      </c>
      <c r="O5308" t="n">
        <v>0</v>
      </c>
      <c r="P5308" t="n">
        <v>0</v>
      </c>
      <c r="Q5308" t="n">
        <v>0</v>
      </c>
      <c r="R5308" s="2" t="inlineStr"/>
    </row>
    <row r="5309" ht="15" customHeight="1">
      <c r="A5309" t="inlineStr">
        <is>
          <t>A 55798-2024</t>
        </is>
      </c>
      <c r="B5309" s="1" t="n">
        <v>45623</v>
      </c>
      <c r="C5309" s="1" t="n">
        <v>45895</v>
      </c>
      <c r="D5309" t="inlineStr">
        <is>
          <t>NORRBOTTENS LÄN</t>
        </is>
      </c>
      <c r="E5309" t="inlineStr">
        <is>
          <t>ÄLVSBYN</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31721-2022</t>
        </is>
      </c>
      <c r="B5310" s="1" t="n">
        <v>44776.46675925926</v>
      </c>
      <c r="C5310" s="1" t="n">
        <v>45895</v>
      </c>
      <c r="D5310" t="inlineStr">
        <is>
          <t>NORRBOTTENS LÄN</t>
        </is>
      </c>
      <c r="E5310" t="inlineStr">
        <is>
          <t>KALIX</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38286-2025</t>
        </is>
      </c>
      <c r="B5311" s="1" t="n">
        <v>45882</v>
      </c>
      <c r="C5311" s="1" t="n">
        <v>45895</v>
      </c>
      <c r="D5311" t="inlineStr">
        <is>
          <t>NORRBOTTENS LÄN</t>
        </is>
      </c>
      <c r="E5311" t="inlineStr">
        <is>
          <t>BODEN</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38288-2025</t>
        </is>
      </c>
      <c r="B5312" s="1" t="n">
        <v>45882</v>
      </c>
      <c r="C5312" s="1" t="n">
        <v>45895</v>
      </c>
      <c r="D5312" t="inlineStr">
        <is>
          <t>NORRBOTTENS LÄN</t>
        </is>
      </c>
      <c r="E5312" t="inlineStr">
        <is>
          <t>BODEN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29309-2023</t>
        </is>
      </c>
      <c r="B5313" s="1" t="n">
        <v>45105.92532407407</v>
      </c>
      <c r="C5313" s="1" t="n">
        <v>45895</v>
      </c>
      <c r="D5313" t="inlineStr">
        <is>
          <t>NORRBOTTENS LÄN</t>
        </is>
      </c>
      <c r="E5313" t="inlineStr">
        <is>
          <t>BODEN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38511-2025</t>
        </is>
      </c>
      <c r="B5314" s="1" t="n">
        <v>45884</v>
      </c>
      <c r="C5314" s="1" t="n">
        <v>45895</v>
      </c>
      <c r="D5314" t="inlineStr">
        <is>
          <t>NORRBOTTENS LÄN</t>
        </is>
      </c>
      <c r="E5314" t="inlineStr">
        <is>
          <t>BODEN</t>
        </is>
      </c>
      <c r="F5314" t="inlineStr">
        <is>
          <t>Sveaskog</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34128-2025</t>
        </is>
      </c>
      <c r="B5315" s="1" t="n">
        <v>45845.53149305555</v>
      </c>
      <c r="C5315" s="1" t="n">
        <v>45895</v>
      </c>
      <c r="D5315" t="inlineStr">
        <is>
          <t>NORRBOTTENS LÄN</t>
        </is>
      </c>
      <c r="E5315" t="inlineStr">
        <is>
          <t>ÖVERKALIX</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38638-2025</t>
        </is>
      </c>
      <c r="B5316" s="1" t="n">
        <v>45884.56866898148</v>
      </c>
      <c r="C5316" s="1" t="n">
        <v>45895</v>
      </c>
      <c r="D5316" t="inlineStr">
        <is>
          <t>NORRBOTTENS LÄN</t>
        </is>
      </c>
      <c r="E5316" t="inlineStr">
        <is>
          <t>PAJALA</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38683-2025</t>
        </is>
      </c>
      <c r="B5317" s="1" t="n">
        <v>45884.65483796296</v>
      </c>
      <c r="C5317" s="1" t="n">
        <v>45895</v>
      </c>
      <c r="D5317" t="inlineStr">
        <is>
          <t>NORRBOTTENS LÄN</t>
        </is>
      </c>
      <c r="E5317" t="inlineStr">
        <is>
          <t>LULEÅ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37731-2022</t>
        </is>
      </c>
      <c r="B5318" s="1" t="n">
        <v>44810.57025462963</v>
      </c>
      <c r="C5318" s="1" t="n">
        <v>45895</v>
      </c>
      <c r="D5318" t="inlineStr">
        <is>
          <t>NORRBOTTENS LÄN</t>
        </is>
      </c>
      <c r="E5318" t="inlineStr">
        <is>
          <t>ÄLVSBYN</t>
        </is>
      </c>
      <c r="F5318" t="inlineStr">
        <is>
          <t>Sveaskog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34320-2025</t>
        </is>
      </c>
      <c r="B5319" s="1" t="n">
        <v>45846.42490740741</v>
      </c>
      <c r="C5319" s="1" t="n">
        <v>45895</v>
      </c>
      <c r="D5319" t="inlineStr">
        <is>
          <t>NORRBOTTENS LÄN</t>
        </is>
      </c>
      <c r="E5319" t="inlineStr">
        <is>
          <t>ÄLVSBYN</t>
        </is>
      </c>
      <c r="F5319" t="inlineStr">
        <is>
          <t>Sveaskog</t>
        </is>
      </c>
      <c r="G5319" t="n">
        <v>15.2</v>
      </c>
      <c r="H5319" t="n">
        <v>0</v>
      </c>
      <c r="I5319" t="n">
        <v>0</v>
      </c>
      <c r="J5319" t="n">
        <v>0</v>
      </c>
      <c r="K5319" t="n">
        <v>0</v>
      </c>
      <c r="L5319" t="n">
        <v>0</v>
      </c>
      <c r="M5319" t="n">
        <v>0</v>
      </c>
      <c r="N5319" t="n">
        <v>0</v>
      </c>
      <c r="O5319" t="n">
        <v>0</v>
      </c>
      <c r="P5319" t="n">
        <v>0</v>
      </c>
      <c r="Q5319" t="n">
        <v>0</v>
      </c>
      <c r="R5319" s="2" t="inlineStr"/>
    </row>
    <row r="5320" ht="15" customHeight="1">
      <c r="A5320" t="inlineStr">
        <is>
          <t>A 11855-2025</t>
        </is>
      </c>
      <c r="B5320" s="1" t="n">
        <v>45727</v>
      </c>
      <c r="C5320" s="1" t="n">
        <v>45895</v>
      </c>
      <c r="D5320" t="inlineStr">
        <is>
          <t>NORRBOTTENS LÄN</t>
        </is>
      </c>
      <c r="E5320" t="inlineStr">
        <is>
          <t>LULEÅ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36310-2025</t>
        </is>
      </c>
      <c r="B5321" s="1" t="n">
        <v>45868</v>
      </c>
      <c r="C5321" s="1" t="n">
        <v>45895</v>
      </c>
      <c r="D5321" t="inlineStr">
        <is>
          <t>NORRBOTTENS LÄN</t>
        </is>
      </c>
      <c r="E5321" t="inlineStr">
        <is>
          <t>BODEN</t>
        </is>
      </c>
      <c r="F5321" t="inlineStr">
        <is>
          <t>SCA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550-2023</t>
        </is>
      </c>
      <c r="B5322" s="1" t="n">
        <v>44930</v>
      </c>
      <c r="C5322" s="1" t="n">
        <v>45895</v>
      </c>
      <c r="D5322" t="inlineStr">
        <is>
          <t>NORRBOTTENS LÄN</t>
        </is>
      </c>
      <c r="E5322" t="inlineStr">
        <is>
          <t>ÖVERKALIX</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4924-2025</t>
        </is>
      </c>
      <c r="B5323" s="1" t="n">
        <v>45688.68434027778</v>
      </c>
      <c r="C5323" s="1" t="n">
        <v>45895</v>
      </c>
      <c r="D5323" t="inlineStr">
        <is>
          <t>NORRBOTTENS LÄN</t>
        </is>
      </c>
      <c r="E5323" t="inlineStr">
        <is>
          <t>PITEÅ</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49720-2024</t>
        </is>
      </c>
      <c r="B5324" s="1" t="n">
        <v>45596.72625</v>
      </c>
      <c r="C5324" s="1" t="n">
        <v>45895</v>
      </c>
      <c r="D5324" t="inlineStr">
        <is>
          <t>NORRBOTTENS LÄN</t>
        </is>
      </c>
      <c r="E5324" t="inlineStr">
        <is>
          <t>LULEÅ</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52000-2021</t>
        </is>
      </c>
      <c r="B5325" s="1" t="n">
        <v>44463.33065972223</v>
      </c>
      <c r="C5325" s="1" t="n">
        <v>45895</v>
      </c>
      <c r="D5325" t="inlineStr">
        <is>
          <t>NORRBOTTENS LÄN</t>
        </is>
      </c>
      <c r="E5325" t="inlineStr">
        <is>
          <t>HAPARANDA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4940-2025</t>
        </is>
      </c>
      <c r="B5326" s="1" t="n">
        <v>45688.69949074074</v>
      </c>
      <c r="C5326" s="1" t="n">
        <v>45895</v>
      </c>
      <c r="D5326" t="inlineStr">
        <is>
          <t>NORRBOTTENS LÄN</t>
        </is>
      </c>
      <c r="E5326" t="inlineStr">
        <is>
          <t>LULEÅ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3462-2022</t>
        </is>
      </c>
      <c r="B5327" s="1" t="n">
        <v>44585</v>
      </c>
      <c r="C5327" s="1" t="n">
        <v>45895</v>
      </c>
      <c r="D5327" t="inlineStr">
        <is>
          <t>NORRBOTTENS LÄN</t>
        </is>
      </c>
      <c r="E5327" t="inlineStr">
        <is>
          <t>BODEN</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16020-2025</t>
        </is>
      </c>
      <c r="B5328" s="1" t="n">
        <v>45748</v>
      </c>
      <c r="C5328" s="1" t="n">
        <v>45895</v>
      </c>
      <c r="D5328" t="inlineStr">
        <is>
          <t>NORRBOTTENS LÄN</t>
        </is>
      </c>
      <c r="E5328" t="inlineStr">
        <is>
          <t>BODEN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36554-2025</t>
        </is>
      </c>
      <c r="B5329" s="1" t="n">
        <v>45870</v>
      </c>
      <c r="C5329" s="1" t="n">
        <v>45895</v>
      </c>
      <c r="D5329" t="inlineStr">
        <is>
          <t>NORRBOTTENS LÄN</t>
        </is>
      </c>
      <c r="E5329" t="inlineStr">
        <is>
          <t>GÄLLIVARE</t>
        </is>
      </c>
      <c r="F5329" t="inlineStr">
        <is>
          <t>SCA</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36568-2025</t>
        </is>
      </c>
      <c r="B5330" s="1" t="n">
        <v>45870</v>
      </c>
      <c r="C5330" s="1" t="n">
        <v>45895</v>
      </c>
      <c r="D5330" t="inlineStr">
        <is>
          <t>NORRBOTTENS LÄN</t>
        </is>
      </c>
      <c r="E5330" t="inlineStr">
        <is>
          <t>GÄLLIVARE</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35249-2021</t>
        </is>
      </c>
      <c r="B5331" s="1" t="n">
        <v>44384</v>
      </c>
      <c r="C5331" s="1" t="n">
        <v>45895</v>
      </c>
      <c r="D5331" t="inlineStr">
        <is>
          <t>NORRBOTTENS LÄN</t>
        </is>
      </c>
      <c r="E5331" t="inlineStr">
        <is>
          <t>LULEÅ</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17427-2023</t>
        </is>
      </c>
      <c r="B5332" s="1" t="n">
        <v>45035</v>
      </c>
      <c r="C5332" s="1" t="n">
        <v>45895</v>
      </c>
      <c r="D5332" t="inlineStr">
        <is>
          <t>NORRBOTTENS LÄN</t>
        </is>
      </c>
      <c r="E5332" t="inlineStr">
        <is>
          <t>LULEÅ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24591-2024</t>
        </is>
      </c>
      <c r="B5333" s="1" t="n">
        <v>45460</v>
      </c>
      <c r="C5333" s="1" t="n">
        <v>45895</v>
      </c>
      <c r="D5333" t="inlineStr">
        <is>
          <t>NORRBOTTENS LÄN</t>
        </is>
      </c>
      <c r="E5333" t="inlineStr">
        <is>
          <t>GÄLLIVARE</t>
        </is>
      </c>
      <c r="F5333" t="inlineStr">
        <is>
          <t>Allmännings- och besparingsskogar</t>
        </is>
      </c>
      <c r="G5333" t="n">
        <v>25.5</v>
      </c>
      <c r="H5333" t="n">
        <v>0</v>
      </c>
      <c r="I5333" t="n">
        <v>0</v>
      </c>
      <c r="J5333" t="n">
        <v>0</v>
      </c>
      <c r="K5333" t="n">
        <v>0</v>
      </c>
      <c r="L5333" t="n">
        <v>0</v>
      </c>
      <c r="M5333" t="n">
        <v>0</v>
      </c>
      <c r="N5333" t="n">
        <v>0</v>
      </c>
      <c r="O5333" t="n">
        <v>0</v>
      </c>
      <c r="P5333" t="n">
        <v>0</v>
      </c>
      <c r="Q5333" t="n">
        <v>0</v>
      </c>
      <c r="R5333" s="2" t="inlineStr"/>
    </row>
    <row r="5334" ht="15" customHeight="1">
      <c r="A5334" t="inlineStr">
        <is>
          <t>A 26673-2023</t>
        </is>
      </c>
      <c r="B5334" s="1" t="n">
        <v>45093</v>
      </c>
      <c r="C5334" s="1" t="n">
        <v>45895</v>
      </c>
      <c r="D5334" t="inlineStr">
        <is>
          <t>NORRBOTTENS LÄN</t>
        </is>
      </c>
      <c r="E5334" t="inlineStr">
        <is>
          <t>ARVIDSJAUR</t>
        </is>
      </c>
      <c r="F5334" t="inlineStr">
        <is>
          <t>Sveaskog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11285-2022</t>
        </is>
      </c>
      <c r="B5335" s="1" t="n">
        <v>44629.92825231481</v>
      </c>
      <c r="C5335" s="1" t="n">
        <v>45895</v>
      </c>
      <c r="D5335" t="inlineStr">
        <is>
          <t>NORRBOTTENS LÄN</t>
        </is>
      </c>
      <c r="E5335" t="inlineStr">
        <is>
          <t>HAPARANDA</t>
        </is>
      </c>
      <c r="G5335" t="n">
        <v>13.3</v>
      </c>
      <c r="H5335" t="n">
        <v>0</v>
      </c>
      <c r="I5335" t="n">
        <v>0</v>
      </c>
      <c r="J5335" t="n">
        <v>0</v>
      </c>
      <c r="K5335" t="n">
        <v>0</v>
      </c>
      <c r="L5335" t="n">
        <v>0</v>
      </c>
      <c r="M5335" t="n">
        <v>0</v>
      </c>
      <c r="N5335" t="n">
        <v>0</v>
      </c>
      <c r="O5335" t="n">
        <v>0</v>
      </c>
      <c r="P5335" t="n">
        <v>0</v>
      </c>
      <c r="Q5335" t="n">
        <v>0</v>
      </c>
      <c r="R5335" s="2" t="inlineStr"/>
    </row>
    <row r="5336" ht="15" customHeight="1">
      <c r="A5336" t="inlineStr">
        <is>
          <t>A 38841-2025</t>
        </is>
      </c>
      <c r="B5336" s="1" t="n">
        <v>45887.53751157408</v>
      </c>
      <c r="C5336" s="1" t="n">
        <v>45895</v>
      </c>
      <c r="D5336" t="inlineStr">
        <is>
          <t>NORRBOTTENS LÄN</t>
        </is>
      </c>
      <c r="E5336" t="inlineStr">
        <is>
          <t>LULEÅ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59553-2021</t>
        </is>
      </c>
      <c r="B5337" s="1" t="n">
        <v>44491</v>
      </c>
      <c r="C5337" s="1" t="n">
        <v>45895</v>
      </c>
      <c r="D5337" t="inlineStr">
        <is>
          <t>NORRBOTTENS LÄN</t>
        </is>
      </c>
      <c r="E5337" t="inlineStr">
        <is>
          <t>ÄLVSBYN</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18855-2023</t>
        </is>
      </c>
      <c r="B5338" s="1" t="n">
        <v>45044</v>
      </c>
      <c r="C5338" s="1" t="n">
        <v>45895</v>
      </c>
      <c r="D5338" t="inlineStr">
        <is>
          <t>NORRBOTTENS LÄN</t>
        </is>
      </c>
      <c r="E5338" t="inlineStr">
        <is>
          <t>HAPARANDA</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67376-2021</t>
        </is>
      </c>
      <c r="B5339" s="1" t="n">
        <v>44523</v>
      </c>
      <c r="C5339" s="1" t="n">
        <v>45895</v>
      </c>
      <c r="D5339" t="inlineStr">
        <is>
          <t>NORRBOTTENS LÄN</t>
        </is>
      </c>
      <c r="E5339" t="inlineStr">
        <is>
          <t>PITEÅ</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67438-2021</t>
        </is>
      </c>
      <c r="B5340" s="1" t="n">
        <v>44524</v>
      </c>
      <c r="C5340" s="1" t="n">
        <v>45895</v>
      </c>
      <c r="D5340" t="inlineStr">
        <is>
          <t>NORRBOTTENS LÄN</t>
        </is>
      </c>
      <c r="E5340" t="inlineStr">
        <is>
          <t>BODEN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10845-2025</t>
        </is>
      </c>
      <c r="B5341" s="1" t="n">
        <v>45722</v>
      </c>
      <c r="C5341" s="1" t="n">
        <v>45895</v>
      </c>
      <c r="D5341" t="inlineStr">
        <is>
          <t>NORRBOTTENS LÄN</t>
        </is>
      </c>
      <c r="E5341" t="inlineStr">
        <is>
          <t>ARVIDSJAUR</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37535-2025</t>
        </is>
      </c>
      <c r="B5342" s="1" t="n">
        <v>45878</v>
      </c>
      <c r="C5342" s="1" t="n">
        <v>45895</v>
      </c>
      <c r="D5342" t="inlineStr">
        <is>
          <t>NORRBOTTENS LÄN</t>
        </is>
      </c>
      <c r="E5342" t="inlineStr">
        <is>
          <t>PAJALA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19317-2025</t>
        </is>
      </c>
      <c r="B5343" s="1" t="n">
        <v>45769</v>
      </c>
      <c r="C5343" s="1" t="n">
        <v>45895</v>
      </c>
      <c r="D5343" t="inlineStr">
        <is>
          <t>NORRBOTTENS LÄN</t>
        </is>
      </c>
      <c r="E5343" t="inlineStr">
        <is>
          <t>PAJALA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61660-2023</t>
        </is>
      </c>
      <c r="B5344" s="1" t="n">
        <v>45265.59436342592</v>
      </c>
      <c r="C5344" s="1" t="n">
        <v>45895</v>
      </c>
      <c r="D5344" t="inlineStr">
        <is>
          <t>NORRBOTTENS LÄN</t>
        </is>
      </c>
      <c r="E5344" t="inlineStr">
        <is>
          <t>PAJALA</t>
        </is>
      </c>
      <c r="G5344" t="n">
        <v>9.6</v>
      </c>
      <c r="H5344" t="n">
        <v>0</v>
      </c>
      <c r="I5344" t="n">
        <v>0</v>
      </c>
      <c r="J5344" t="n">
        <v>0</v>
      </c>
      <c r="K5344" t="n">
        <v>0</v>
      </c>
      <c r="L5344" t="n">
        <v>0</v>
      </c>
      <c r="M5344" t="n">
        <v>0</v>
      </c>
      <c r="N5344" t="n">
        <v>0</v>
      </c>
      <c r="O5344" t="n">
        <v>0</v>
      </c>
      <c r="P5344" t="n">
        <v>0</v>
      </c>
      <c r="Q5344" t="n">
        <v>0</v>
      </c>
      <c r="R5344" s="2" t="inlineStr"/>
    </row>
    <row r="5345" ht="15" customHeight="1">
      <c r="A5345" t="inlineStr">
        <is>
          <t>A 61662-2023</t>
        </is>
      </c>
      <c r="B5345" s="1" t="n">
        <v>45265.59799768519</v>
      </c>
      <c r="C5345" s="1" t="n">
        <v>45895</v>
      </c>
      <c r="D5345" t="inlineStr">
        <is>
          <t>NORRBOTTENS LÄN</t>
        </is>
      </c>
      <c r="E5345" t="inlineStr">
        <is>
          <t>PITEÅ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33862-2025</t>
        </is>
      </c>
      <c r="B5346" s="1" t="n">
        <v>45842</v>
      </c>
      <c r="C5346" s="1" t="n">
        <v>45895</v>
      </c>
      <c r="D5346" t="inlineStr">
        <is>
          <t>NORRBOTTENS LÄN</t>
        </is>
      </c>
      <c r="E5346" t="inlineStr">
        <is>
          <t>PITEÅ</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26209-2024</t>
        </is>
      </c>
      <c r="B5347" s="1" t="n">
        <v>45467</v>
      </c>
      <c r="C5347" s="1" t="n">
        <v>45895</v>
      </c>
      <c r="D5347" t="inlineStr">
        <is>
          <t>NORRBOTTENS LÄN</t>
        </is>
      </c>
      <c r="E5347" t="inlineStr">
        <is>
          <t>ÖVERTORNEÅ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61711-2022</t>
        </is>
      </c>
      <c r="B5348" s="1" t="n">
        <v>44917</v>
      </c>
      <c r="C5348" s="1" t="n">
        <v>45895</v>
      </c>
      <c r="D5348" t="inlineStr">
        <is>
          <t>NORRBOTTENS LÄN</t>
        </is>
      </c>
      <c r="E5348" t="inlineStr">
        <is>
          <t>PITEÅ</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18173-2025</t>
        </is>
      </c>
      <c r="B5349" s="1" t="n">
        <v>45761</v>
      </c>
      <c r="C5349" s="1" t="n">
        <v>45895</v>
      </c>
      <c r="D5349" t="inlineStr">
        <is>
          <t>NORRBOTTENS LÄN</t>
        </is>
      </c>
      <c r="E5349" t="inlineStr">
        <is>
          <t>BODEN</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46564-2022</t>
        </is>
      </c>
      <c r="B5350" s="1" t="n">
        <v>44847</v>
      </c>
      <c r="C5350" s="1" t="n">
        <v>45895</v>
      </c>
      <c r="D5350" t="inlineStr">
        <is>
          <t>NORRBOTTENS LÄN</t>
        </is>
      </c>
      <c r="E5350" t="inlineStr">
        <is>
          <t>BODEN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18737-2023</t>
        </is>
      </c>
      <c r="B5351" s="1" t="n">
        <v>45042</v>
      </c>
      <c r="C5351" s="1" t="n">
        <v>45895</v>
      </c>
      <c r="D5351" t="inlineStr">
        <is>
          <t>NORRBOTTENS LÄN</t>
        </is>
      </c>
      <c r="E5351" t="inlineStr">
        <is>
          <t>KIRUNA</t>
        </is>
      </c>
      <c r="F5351" t="inlineStr">
        <is>
          <t>Sveaskog</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54104-2022</t>
        </is>
      </c>
      <c r="B5352" s="1" t="n">
        <v>44881.55375</v>
      </c>
      <c r="C5352" s="1" t="n">
        <v>45895</v>
      </c>
      <c r="D5352" t="inlineStr">
        <is>
          <t>NORRBOTTENS LÄN</t>
        </is>
      </c>
      <c r="E5352" t="inlineStr">
        <is>
          <t>BODEN</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43445-2024</t>
        </is>
      </c>
      <c r="B5353" s="1" t="n">
        <v>45568</v>
      </c>
      <c r="C5353" s="1" t="n">
        <v>45895</v>
      </c>
      <c r="D5353" t="inlineStr">
        <is>
          <t>NORRBOTTENS LÄN</t>
        </is>
      </c>
      <c r="E5353" t="inlineStr">
        <is>
          <t>PAJALA</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29481-2023</t>
        </is>
      </c>
      <c r="B5354" s="1" t="n">
        <v>45106</v>
      </c>
      <c r="C5354" s="1" t="n">
        <v>45895</v>
      </c>
      <c r="D5354" t="inlineStr">
        <is>
          <t>NORRBOTTENS LÄN</t>
        </is>
      </c>
      <c r="E5354" t="inlineStr">
        <is>
          <t>PITEÅ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57200-2023</t>
        </is>
      </c>
      <c r="B5355" s="1" t="n">
        <v>45245</v>
      </c>
      <c r="C5355" s="1" t="n">
        <v>45895</v>
      </c>
      <c r="D5355" t="inlineStr">
        <is>
          <t>NORRBOTTENS LÄN</t>
        </is>
      </c>
      <c r="E5355" t="inlineStr">
        <is>
          <t>PITEÅ</t>
        </is>
      </c>
      <c r="G5355" t="n">
        <v>11.4</v>
      </c>
      <c r="H5355" t="n">
        <v>0</v>
      </c>
      <c r="I5355" t="n">
        <v>0</v>
      </c>
      <c r="J5355" t="n">
        <v>0</v>
      </c>
      <c r="K5355" t="n">
        <v>0</v>
      </c>
      <c r="L5355" t="n">
        <v>0</v>
      </c>
      <c r="M5355" t="n">
        <v>0</v>
      </c>
      <c r="N5355" t="n">
        <v>0</v>
      </c>
      <c r="O5355" t="n">
        <v>0</v>
      </c>
      <c r="P5355" t="n">
        <v>0</v>
      </c>
      <c r="Q5355" t="n">
        <v>0</v>
      </c>
      <c r="R5355" s="2" t="inlineStr"/>
    </row>
    <row r="5356" ht="15" customHeight="1">
      <c r="A5356" t="inlineStr">
        <is>
          <t>A 63024-2020</t>
        </is>
      </c>
      <c r="B5356" s="1" t="n">
        <v>44162</v>
      </c>
      <c r="C5356" s="1" t="n">
        <v>45895</v>
      </c>
      <c r="D5356" t="inlineStr">
        <is>
          <t>NORRBOTTENS LÄN</t>
        </is>
      </c>
      <c r="E5356" t="inlineStr">
        <is>
          <t>LULEÅ</t>
        </is>
      </c>
      <c r="F5356" t="inlineStr">
        <is>
          <t>Kyrkan</t>
        </is>
      </c>
      <c r="G5356" t="n">
        <v>27.4</v>
      </c>
      <c r="H5356" t="n">
        <v>0</v>
      </c>
      <c r="I5356" t="n">
        <v>0</v>
      </c>
      <c r="J5356" t="n">
        <v>0</v>
      </c>
      <c r="K5356" t="n">
        <v>0</v>
      </c>
      <c r="L5356" t="n">
        <v>0</v>
      </c>
      <c r="M5356" t="n">
        <v>0</v>
      </c>
      <c r="N5356" t="n">
        <v>0</v>
      </c>
      <c r="O5356" t="n">
        <v>0</v>
      </c>
      <c r="P5356" t="n">
        <v>0</v>
      </c>
      <c r="Q5356" t="n">
        <v>0</v>
      </c>
      <c r="R5356" s="2" t="inlineStr"/>
    </row>
    <row r="5357" ht="15" customHeight="1">
      <c r="A5357" t="inlineStr">
        <is>
          <t>A 68764-2021</t>
        </is>
      </c>
      <c r="B5357" s="1" t="n">
        <v>44529</v>
      </c>
      <c r="C5357" s="1" t="n">
        <v>45895</v>
      </c>
      <c r="D5357" t="inlineStr">
        <is>
          <t>NORRBOTTENS LÄN</t>
        </is>
      </c>
      <c r="E5357" t="inlineStr">
        <is>
          <t>ÖVERTORNEÅ</t>
        </is>
      </c>
      <c r="G5357" t="n">
        <v>19.2</v>
      </c>
      <c r="H5357" t="n">
        <v>0</v>
      </c>
      <c r="I5357" t="n">
        <v>0</v>
      </c>
      <c r="J5357" t="n">
        <v>0</v>
      </c>
      <c r="K5357" t="n">
        <v>0</v>
      </c>
      <c r="L5357" t="n">
        <v>0</v>
      </c>
      <c r="M5357" t="n">
        <v>0</v>
      </c>
      <c r="N5357" t="n">
        <v>0</v>
      </c>
      <c r="O5357" t="n">
        <v>0</v>
      </c>
      <c r="P5357" t="n">
        <v>0</v>
      </c>
      <c r="Q5357" t="n">
        <v>0</v>
      </c>
      <c r="R5357" s="2" t="inlineStr"/>
    </row>
    <row r="5358" ht="15" customHeight="1">
      <c r="A5358" t="inlineStr">
        <is>
          <t>A 9219-2025</t>
        </is>
      </c>
      <c r="B5358" s="1" t="n">
        <v>45714.51996527778</v>
      </c>
      <c r="C5358" s="1" t="n">
        <v>45895</v>
      </c>
      <c r="D5358" t="inlineStr">
        <is>
          <t>NORRBOTTENS LÄN</t>
        </is>
      </c>
      <c r="E5358" t="inlineStr">
        <is>
          <t>KALIX</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38714-2025</t>
        </is>
      </c>
      <c r="B5359" s="1" t="n">
        <v>45886.34490740741</v>
      </c>
      <c r="C5359" s="1" t="n">
        <v>45895</v>
      </c>
      <c r="D5359" t="inlineStr">
        <is>
          <t>NORRBOTTENS LÄN</t>
        </is>
      </c>
      <c r="E5359" t="inlineStr">
        <is>
          <t>LULEÅ</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38936-2025</t>
        </is>
      </c>
      <c r="B5360" s="1" t="n">
        <v>45884</v>
      </c>
      <c r="C5360" s="1" t="n">
        <v>45895</v>
      </c>
      <c r="D5360" t="inlineStr">
        <is>
          <t>NORRBOTTENS LÄN</t>
        </is>
      </c>
      <c r="E5360" t="inlineStr">
        <is>
          <t>LULEÅ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38223-2025</t>
        </is>
      </c>
      <c r="B5361" s="1" t="n">
        <v>45883</v>
      </c>
      <c r="C5361" s="1" t="n">
        <v>45895</v>
      </c>
      <c r="D5361" t="inlineStr">
        <is>
          <t>NORRBOTTENS LÄN</t>
        </is>
      </c>
      <c r="E5361" t="inlineStr">
        <is>
          <t>JOKKMOKK</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38666-2025</t>
        </is>
      </c>
      <c r="B5362" s="1" t="n">
        <v>45884.61605324074</v>
      </c>
      <c r="C5362" s="1" t="n">
        <v>45895</v>
      </c>
      <c r="D5362" t="inlineStr">
        <is>
          <t>NORRBOTTENS LÄN</t>
        </is>
      </c>
      <c r="E5362" t="inlineStr">
        <is>
          <t>PAJALA</t>
        </is>
      </c>
      <c r="F5362" t="inlineStr">
        <is>
          <t>Sveaskog</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38696-2025</t>
        </is>
      </c>
      <c r="B5363" s="1" t="n">
        <v>45884.74715277777</v>
      </c>
      <c r="C5363" s="1" t="n">
        <v>45895</v>
      </c>
      <c r="D5363" t="inlineStr">
        <is>
          <t>NORRBOTTENS LÄN</t>
        </is>
      </c>
      <c r="E5363" t="inlineStr">
        <is>
          <t>GÄLLIVARE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24193-2024</t>
        </is>
      </c>
      <c r="B5364" s="1" t="n">
        <v>45456</v>
      </c>
      <c r="C5364" s="1" t="n">
        <v>45895</v>
      </c>
      <c r="D5364" t="inlineStr">
        <is>
          <t>NORRBOTTENS LÄN</t>
        </is>
      </c>
      <c r="E5364" t="inlineStr">
        <is>
          <t>BODEN</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47695-2021</t>
        </is>
      </c>
      <c r="B5365" s="1" t="n">
        <v>44448</v>
      </c>
      <c r="C5365" s="1" t="n">
        <v>45895</v>
      </c>
      <c r="D5365" t="inlineStr">
        <is>
          <t>NORRBOTTENS LÄN</t>
        </is>
      </c>
      <c r="E5365" t="inlineStr">
        <is>
          <t>ÄLVSBYN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39127-2025</t>
        </is>
      </c>
      <c r="B5366" s="1" t="n">
        <v>45887</v>
      </c>
      <c r="C5366" s="1" t="n">
        <v>45895</v>
      </c>
      <c r="D5366" t="inlineStr">
        <is>
          <t>NORRBOTTENS LÄN</t>
        </is>
      </c>
      <c r="E5366" t="inlineStr">
        <is>
          <t>BODEN</t>
        </is>
      </c>
      <c r="F5366" t="inlineStr">
        <is>
          <t>Sveaskog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27651-2024</t>
        </is>
      </c>
      <c r="B5367" s="1" t="n">
        <v>45474</v>
      </c>
      <c r="C5367" s="1" t="n">
        <v>45895</v>
      </c>
      <c r="D5367" t="inlineStr">
        <is>
          <t>NORRBOTTENS LÄN</t>
        </is>
      </c>
      <c r="E5367" t="inlineStr">
        <is>
          <t>JOKKMOKK</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30300-2023</t>
        </is>
      </c>
      <c r="B5368" s="1" t="n">
        <v>45110</v>
      </c>
      <c r="C5368" s="1" t="n">
        <v>45895</v>
      </c>
      <c r="D5368" t="inlineStr">
        <is>
          <t>NORRBOTTENS LÄN</t>
        </is>
      </c>
      <c r="E5368" t="inlineStr">
        <is>
          <t>BODEN</t>
        </is>
      </c>
      <c r="F5368" t="inlineStr">
        <is>
          <t>SCA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33572-2024</t>
        </is>
      </c>
      <c r="B5369" s="1" t="n">
        <v>45520</v>
      </c>
      <c r="C5369" s="1" t="n">
        <v>45895</v>
      </c>
      <c r="D5369" t="inlineStr">
        <is>
          <t>NORRBOTTENS LÄN</t>
        </is>
      </c>
      <c r="E5369" t="inlineStr">
        <is>
          <t>ÖVERTORNEÅ</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17176-2024</t>
        </is>
      </c>
      <c r="B5370" s="1" t="n">
        <v>45412</v>
      </c>
      <c r="C5370" s="1" t="n">
        <v>45895</v>
      </c>
      <c r="D5370" t="inlineStr">
        <is>
          <t>NORRBOTTENS LÄN</t>
        </is>
      </c>
      <c r="E5370" t="inlineStr">
        <is>
          <t>LULEÅ</t>
        </is>
      </c>
      <c r="F5370" t="inlineStr">
        <is>
          <t>SCA</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5708-2023</t>
        </is>
      </c>
      <c r="B5371" s="1" t="n">
        <v>44960</v>
      </c>
      <c r="C5371" s="1" t="n">
        <v>45895</v>
      </c>
      <c r="D5371" t="inlineStr">
        <is>
          <t>NORRBOTTENS LÄN</t>
        </is>
      </c>
      <c r="E5371" t="inlineStr">
        <is>
          <t>GÄLLIVARE</t>
        </is>
      </c>
      <c r="F5371" t="inlineStr">
        <is>
          <t>SCA</t>
        </is>
      </c>
      <c r="G5371" t="n">
        <v>15.3</v>
      </c>
      <c r="H5371" t="n">
        <v>0</v>
      </c>
      <c r="I5371" t="n">
        <v>0</v>
      </c>
      <c r="J5371" t="n">
        <v>0</v>
      </c>
      <c r="K5371" t="n">
        <v>0</v>
      </c>
      <c r="L5371" t="n">
        <v>0</v>
      </c>
      <c r="M5371" t="n">
        <v>0</v>
      </c>
      <c r="N5371" t="n">
        <v>0</v>
      </c>
      <c r="O5371" t="n">
        <v>0</v>
      </c>
      <c r="P5371" t="n">
        <v>0</v>
      </c>
      <c r="Q5371" t="n">
        <v>0</v>
      </c>
      <c r="R5371" s="2" t="inlineStr"/>
    </row>
    <row r="5372" ht="15" customHeight="1">
      <c r="A5372" t="inlineStr">
        <is>
          <t>A 2561-2022</t>
        </is>
      </c>
      <c r="B5372" s="1" t="n">
        <v>44579</v>
      </c>
      <c r="C5372" s="1" t="n">
        <v>45895</v>
      </c>
      <c r="D5372" t="inlineStr">
        <is>
          <t>NORRBOTTENS LÄN</t>
        </is>
      </c>
      <c r="E5372" t="inlineStr">
        <is>
          <t>LULEÅ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12832-2022</t>
        </is>
      </c>
      <c r="B5373" s="1" t="n">
        <v>44642</v>
      </c>
      <c r="C5373" s="1" t="n">
        <v>45895</v>
      </c>
      <c r="D5373" t="inlineStr">
        <is>
          <t>NORRBOTTENS LÄN</t>
        </is>
      </c>
      <c r="E5373" t="inlineStr">
        <is>
          <t>BODEN</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6018-2021</t>
        </is>
      </c>
      <c r="B5374" s="1" t="n">
        <v>44231.9415625</v>
      </c>
      <c r="C5374" s="1" t="n">
        <v>45895</v>
      </c>
      <c r="D5374" t="inlineStr">
        <is>
          <t>NORRBOTTENS LÄN</t>
        </is>
      </c>
      <c r="E5374" t="inlineStr">
        <is>
          <t>LULEÅ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10630-2025</t>
        </is>
      </c>
      <c r="B5375" s="1" t="n">
        <v>45721.63606481482</v>
      </c>
      <c r="C5375" s="1" t="n">
        <v>45895</v>
      </c>
      <c r="D5375" t="inlineStr">
        <is>
          <t>NORRBOTTENS LÄN</t>
        </is>
      </c>
      <c r="E5375" t="inlineStr">
        <is>
          <t>JOKKMOKK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2625-2023</t>
        </is>
      </c>
      <c r="B5376" s="1" t="n">
        <v>44942</v>
      </c>
      <c r="C5376" s="1" t="n">
        <v>45895</v>
      </c>
      <c r="D5376" t="inlineStr">
        <is>
          <t>NORRBOTTENS LÄN</t>
        </is>
      </c>
      <c r="E5376" t="inlineStr">
        <is>
          <t>PITEÅ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18903-2025</t>
        </is>
      </c>
      <c r="B5377" s="1" t="n">
        <v>45764.46019675926</v>
      </c>
      <c r="C5377" s="1" t="n">
        <v>45895</v>
      </c>
      <c r="D5377" t="inlineStr">
        <is>
          <t>NORRBOTTENS LÄN</t>
        </is>
      </c>
      <c r="E5377" t="inlineStr">
        <is>
          <t>JOKKMOKK</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21851-2022</t>
        </is>
      </c>
      <c r="B5378" s="1" t="n">
        <v>44708</v>
      </c>
      <c r="C5378" s="1" t="n">
        <v>45895</v>
      </c>
      <c r="D5378" t="inlineStr">
        <is>
          <t>NORRBOTTENS LÄN</t>
        </is>
      </c>
      <c r="E5378" t="inlineStr">
        <is>
          <t>PITEÅ</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19291-2025</t>
        </is>
      </c>
      <c r="B5379" s="1" t="n">
        <v>45769</v>
      </c>
      <c r="C5379" s="1" t="n">
        <v>45895</v>
      </c>
      <c r="D5379" t="inlineStr">
        <is>
          <t>NORRBOTTENS LÄN</t>
        </is>
      </c>
      <c r="E5379" t="inlineStr">
        <is>
          <t>BODEN</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57826-2022</t>
        </is>
      </c>
      <c r="B5380" s="1" t="n">
        <v>44897</v>
      </c>
      <c r="C5380" s="1" t="n">
        <v>45895</v>
      </c>
      <c r="D5380" t="inlineStr">
        <is>
          <t>NORRBOTTENS LÄN</t>
        </is>
      </c>
      <c r="E5380" t="inlineStr">
        <is>
          <t>LULEÅ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13739-2025</t>
        </is>
      </c>
      <c r="B5381" s="1" t="n">
        <v>45737</v>
      </c>
      <c r="C5381" s="1" t="n">
        <v>45895</v>
      </c>
      <c r="D5381" t="inlineStr">
        <is>
          <t>NORRBOTTENS LÄN</t>
        </is>
      </c>
      <c r="E5381" t="inlineStr">
        <is>
          <t>ÖVERKALIX</t>
        </is>
      </c>
      <c r="G5381" t="n">
        <v>20.1</v>
      </c>
      <c r="H5381" t="n">
        <v>0</v>
      </c>
      <c r="I5381" t="n">
        <v>0</v>
      </c>
      <c r="J5381" t="n">
        <v>0</v>
      </c>
      <c r="K5381" t="n">
        <v>0</v>
      </c>
      <c r="L5381" t="n">
        <v>0</v>
      </c>
      <c r="M5381" t="n">
        <v>0</v>
      </c>
      <c r="N5381" t="n">
        <v>0</v>
      </c>
      <c r="O5381" t="n">
        <v>0</v>
      </c>
      <c r="P5381" t="n">
        <v>0</v>
      </c>
      <c r="Q5381" t="n">
        <v>0</v>
      </c>
      <c r="R5381" s="2" t="inlineStr"/>
    </row>
    <row r="5382" ht="15" customHeight="1">
      <c r="A5382" t="inlineStr">
        <is>
          <t>A 27770-2024</t>
        </is>
      </c>
      <c r="B5382" s="1" t="n">
        <v>45475.52747685185</v>
      </c>
      <c r="C5382" s="1" t="n">
        <v>45895</v>
      </c>
      <c r="D5382" t="inlineStr">
        <is>
          <t>NORRBOTTENS LÄN</t>
        </is>
      </c>
      <c r="E5382" t="inlineStr">
        <is>
          <t>PAJALA</t>
        </is>
      </c>
      <c r="G5382" t="n">
        <v>15.3</v>
      </c>
      <c r="H5382" t="n">
        <v>0</v>
      </c>
      <c r="I5382" t="n">
        <v>0</v>
      </c>
      <c r="J5382" t="n">
        <v>0</v>
      </c>
      <c r="K5382" t="n">
        <v>0</v>
      </c>
      <c r="L5382" t="n">
        <v>0</v>
      </c>
      <c r="M5382" t="n">
        <v>0</v>
      </c>
      <c r="N5382" t="n">
        <v>0</v>
      </c>
      <c r="O5382" t="n">
        <v>0</v>
      </c>
      <c r="P5382" t="n">
        <v>0</v>
      </c>
      <c r="Q5382" t="n">
        <v>0</v>
      </c>
      <c r="R5382" s="2" t="inlineStr"/>
    </row>
    <row r="5383" ht="15" customHeight="1">
      <c r="A5383" t="inlineStr">
        <is>
          <t>A 57897-2022</t>
        </is>
      </c>
      <c r="B5383" s="1" t="n">
        <v>44900</v>
      </c>
      <c r="C5383" s="1" t="n">
        <v>45895</v>
      </c>
      <c r="D5383" t="inlineStr">
        <is>
          <t>NORRBOTTENS LÄN</t>
        </is>
      </c>
      <c r="E5383" t="inlineStr">
        <is>
          <t>BODEN</t>
        </is>
      </c>
      <c r="F5383" t="inlineStr">
        <is>
          <t>Sveaskog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5636-2023</t>
        </is>
      </c>
      <c r="B5384" s="1" t="n">
        <v>44960.59099537037</v>
      </c>
      <c r="C5384" s="1" t="n">
        <v>45895</v>
      </c>
      <c r="D5384" t="inlineStr">
        <is>
          <t>NORRBOTTENS LÄN</t>
        </is>
      </c>
      <c r="E5384" t="inlineStr">
        <is>
          <t>PITEÅ</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44862-2020</t>
        </is>
      </c>
      <c r="B5385" s="1" t="n">
        <v>44087</v>
      </c>
      <c r="C5385" s="1" t="n">
        <v>45895</v>
      </c>
      <c r="D5385" t="inlineStr">
        <is>
          <t>NORRBOTTENS LÄN</t>
        </is>
      </c>
      <c r="E5385" t="inlineStr">
        <is>
          <t>PITEÅ</t>
        </is>
      </c>
      <c r="G5385" t="n">
        <v>19.4</v>
      </c>
      <c r="H5385" t="n">
        <v>0</v>
      </c>
      <c r="I5385" t="n">
        <v>0</v>
      </c>
      <c r="J5385" t="n">
        <v>0</v>
      </c>
      <c r="K5385" t="n">
        <v>0</v>
      </c>
      <c r="L5385" t="n">
        <v>0</v>
      </c>
      <c r="M5385" t="n">
        <v>0</v>
      </c>
      <c r="N5385" t="n">
        <v>0</v>
      </c>
      <c r="O5385" t="n">
        <v>0</v>
      </c>
      <c r="P5385" t="n">
        <v>0</v>
      </c>
      <c r="Q5385" t="n">
        <v>0</v>
      </c>
      <c r="R5385" s="2" t="inlineStr"/>
    </row>
    <row r="5386" ht="15" customHeight="1">
      <c r="A5386" t="inlineStr">
        <is>
          <t>A 53603-2024</t>
        </is>
      </c>
      <c r="B5386" s="1" t="n">
        <v>45614.69736111111</v>
      </c>
      <c r="C5386" s="1" t="n">
        <v>45895</v>
      </c>
      <c r="D5386" t="inlineStr">
        <is>
          <t>NORRBOTTENS LÄN</t>
        </is>
      </c>
      <c r="E5386" t="inlineStr">
        <is>
          <t>LULEÅ</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13368-2025</t>
        </is>
      </c>
      <c r="B5387" s="1" t="n">
        <v>45735</v>
      </c>
      <c r="C5387" s="1" t="n">
        <v>45895</v>
      </c>
      <c r="D5387" t="inlineStr">
        <is>
          <t>NORRBOTTENS LÄN</t>
        </is>
      </c>
      <c r="E5387" t="inlineStr">
        <is>
          <t>ÄLVSBYN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34386-2025</t>
        </is>
      </c>
      <c r="B5388" s="1" t="n">
        <v>45846</v>
      </c>
      <c r="C5388" s="1" t="n">
        <v>45895</v>
      </c>
      <c r="D5388" t="inlineStr">
        <is>
          <t>NORRBOTTENS LÄN</t>
        </is>
      </c>
      <c r="E5388" t="inlineStr">
        <is>
          <t>GÄLLIVARE</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4238-2023</t>
        </is>
      </c>
      <c r="B5389" s="1" t="n">
        <v>44953</v>
      </c>
      <c r="C5389" s="1" t="n">
        <v>45895</v>
      </c>
      <c r="D5389" t="inlineStr">
        <is>
          <t>NORRBOTTENS LÄN</t>
        </is>
      </c>
      <c r="E5389" t="inlineStr">
        <is>
          <t>GÄLLIVARE</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39176-2025</t>
        </is>
      </c>
      <c r="B5390" s="1" t="n">
        <v>45888.65668981482</v>
      </c>
      <c r="C5390" s="1" t="n">
        <v>45895</v>
      </c>
      <c r="D5390" t="inlineStr">
        <is>
          <t>NORRBOTTENS LÄN</t>
        </is>
      </c>
      <c r="E5390" t="inlineStr">
        <is>
          <t>KALIX</t>
        </is>
      </c>
      <c r="F5390" t="inlineStr">
        <is>
          <t>SCA</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38685-2025</t>
        </is>
      </c>
      <c r="B5391" s="1" t="n">
        <v>45884.65607638889</v>
      </c>
      <c r="C5391" s="1" t="n">
        <v>45895</v>
      </c>
      <c r="D5391" t="inlineStr">
        <is>
          <t>NORRBOTTENS LÄN</t>
        </is>
      </c>
      <c r="E5391" t="inlineStr">
        <is>
          <t>LULEÅ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34129-2025</t>
        </is>
      </c>
      <c r="B5392" s="1" t="n">
        <v>45845</v>
      </c>
      <c r="C5392" s="1" t="n">
        <v>45895</v>
      </c>
      <c r="D5392" t="inlineStr">
        <is>
          <t>NORRBOTTENS LÄN</t>
        </is>
      </c>
      <c r="E5392" t="inlineStr">
        <is>
          <t>GÄLLIVARE</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33980-2025</t>
        </is>
      </c>
      <c r="B5393" s="1" t="n">
        <v>45843.34418981482</v>
      </c>
      <c r="C5393" s="1" t="n">
        <v>45895</v>
      </c>
      <c r="D5393" t="inlineStr">
        <is>
          <t>NORRBOTTENS LÄN</t>
        </is>
      </c>
      <c r="E5393" t="inlineStr">
        <is>
          <t>GÄLLIVARE</t>
        </is>
      </c>
      <c r="F5393" t="inlineStr">
        <is>
          <t>SCA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47927-2024</t>
        </is>
      </c>
      <c r="B5394" s="1" t="n">
        <v>45589.34527777778</v>
      </c>
      <c r="C5394" s="1" t="n">
        <v>45895</v>
      </c>
      <c r="D5394" t="inlineStr">
        <is>
          <t>NORRBOTTENS LÄN</t>
        </is>
      </c>
      <c r="E5394" t="inlineStr">
        <is>
          <t>BODEN</t>
        </is>
      </c>
      <c r="F5394" t="inlineStr">
        <is>
          <t>Naturvårdsverket</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47931-2024</t>
        </is>
      </c>
      <c r="B5395" s="1" t="n">
        <v>45589</v>
      </c>
      <c r="C5395" s="1" t="n">
        <v>45895</v>
      </c>
      <c r="D5395" t="inlineStr">
        <is>
          <t>NORRBOTTENS LÄN</t>
        </is>
      </c>
      <c r="E5395" t="inlineStr">
        <is>
          <t>LULEÅ</t>
        </is>
      </c>
      <c r="F5395" t="inlineStr">
        <is>
          <t>Naturvårdsverket</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6593-2022</t>
        </is>
      </c>
      <c r="B5396" s="1" t="n">
        <v>44601</v>
      </c>
      <c r="C5396" s="1" t="n">
        <v>45895</v>
      </c>
      <c r="D5396" t="inlineStr">
        <is>
          <t>NORRBOTTENS LÄN</t>
        </is>
      </c>
      <c r="E5396" t="inlineStr">
        <is>
          <t>ÖVERTORNEÅ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58099-2023</t>
        </is>
      </c>
      <c r="B5397" s="1" t="n">
        <v>45248.94667824074</v>
      </c>
      <c r="C5397" s="1" t="n">
        <v>45895</v>
      </c>
      <c r="D5397" t="inlineStr">
        <is>
          <t>NORRBOTTENS LÄN</t>
        </is>
      </c>
      <c r="E5397" t="inlineStr">
        <is>
          <t>BODEN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46072-2021</t>
        </is>
      </c>
      <c r="B5398" s="1" t="n">
        <v>44442</v>
      </c>
      <c r="C5398" s="1" t="n">
        <v>45895</v>
      </c>
      <c r="D5398" t="inlineStr">
        <is>
          <t>NORRBOTTENS LÄN</t>
        </is>
      </c>
      <c r="E5398" t="inlineStr">
        <is>
          <t>ARVIDSJAUR</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20593-2023</t>
        </is>
      </c>
      <c r="B5399" s="1" t="n">
        <v>45057</v>
      </c>
      <c r="C5399" s="1" t="n">
        <v>45895</v>
      </c>
      <c r="D5399" t="inlineStr">
        <is>
          <t>NORRBOTTENS LÄN</t>
        </is>
      </c>
      <c r="E5399" t="inlineStr">
        <is>
          <t>JOKKMOKK</t>
        </is>
      </c>
      <c r="F5399" t="inlineStr">
        <is>
          <t>SCA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61376-2023</t>
        </is>
      </c>
      <c r="B5400" s="1" t="n">
        <v>45264</v>
      </c>
      <c r="C5400" s="1" t="n">
        <v>45895</v>
      </c>
      <c r="D5400" t="inlineStr">
        <is>
          <t>NORRBOTTENS LÄN</t>
        </is>
      </c>
      <c r="E5400" t="inlineStr">
        <is>
          <t>PITEÅ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37961-2025</t>
        </is>
      </c>
      <c r="B5401" s="1" t="n">
        <v>45881</v>
      </c>
      <c r="C5401" s="1" t="n">
        <v>45895</v>
      </c>
      <c r="D5401" t="inlineStr">
        <is>
          <t>NORRBOTTENS LÄN</t>
        </is>
      </c>
      <c r="E5401" t="inlineStr">
        <is>
          <t>GÄLLIVARE</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38895-2025</t>
        </is>
      </c>
      <c r="B5402" s="1" t="n">
        <v>45887</v>
      </c>
      <c r="C5402" s="1" t="n">
        <v>45895</v>
      </c>
      <c r="D5402" t="inlineStr">
        <is>
          <t>NORRBOTTENS LÄN</t>
        </is>
      </c>
      <c r="E5402" t="inlineStr">
        <is>
          <t>GÄLLIVARE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43836-2020</t>
        </is>
      </c>
      <c r="B5403" s="1" t="n">
        <v>44082</v>
      </c>
      <c r="C5403" s="1" t="n">
        <v>45895</v>
      </c>
      <c r="D5403" t="inlineStr">
        <is>
          <t>NORRBOTTENS LÄN</t>
        </is>
      </c>
      <c r="E5403" t="inlineStr">
        <is>
          <t>ÖVERKALIX</t>
        </is>
      </c>
      <c r="F5403" t="inlineStr">
        <is>
          <t>SCA</t>
        </is>
      </c>
      <c r="G5403" t="n">
        <v>8.5</v>
      </c>
      <c r="H5403" t="n">
        <v>0</v>
      </c>
      <c r="I5403" t="n">
        <v>0</v>
      </c>
      <c r="J5403" t="n">
        <v>0</v>
      </c>
      <c r="K5403" t="n">
        <v>0</v>
      </c>
      <c r="L5403" t="n">
        <v>0</v>
      </c>
      <c r="M5403" t="n">
        <v>0</v>
      </c>
      <c r="N5403" t="n">
        <v>0</v>
      </c>
      <c r="O5403" t="n">
        <v>0</v>
      </c>
      <c r="P5403" t="n">
        <v>0</v>
      </c>
      <c r="Q5403" t="n">
        <v>0</v>
      </c>
      <c r="R5403" s="2" t="inlineStr"/>
    </row>
    <row r="5404" ht="15" customHeight="1">
      <c r="A5404" t="inlineStr">
        <is>
          <t>A 42612-2023</t>
        </is>
      </c>
      <c r="B5404" s="1" t="n">
        <v>45176</v>
      </c>
      <c r="C5404" s="1" t="n">
        <v>45895</v>
      </c>
      <c r="D5404" t="inlineStr">
        <is>
          <t>NORRBOTTENS LÄN</t>
        </is>
      </c>
      <c r="E5404" t="inlineStr">
        <is>
          <t>GÄLLIVARE</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7168-2025</t>
        </is>
      </c>
      <c r="B5405" s="1" t="n">
        <v>45702.40306712963</v>
      </c>
      <c r="C5405" s="1" t="n">
        <v>45895</v>
      </c>
      <c r="D5405" t="inlineStr">
        <is>
          <t>NORRBOTTENS LÄN</t>
        </is>
      </c>
      <c r="E5405" t="inlineStr">
        <is>
          <t>LULEÅ</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21705-2025</t>
        </is>
      </c>
      <c r="B5406" s="1" t="n">
        <v>45783</v>
      </c>
      <c r="C5406" s="1" t="n">
        <v>45895</v>
      </c>
      <c r="D5406" t="inlineStr">
        <is>
          <t>NORRBOTTENS LÄN</t>
        </is>
      </c>
      <c r="E5406" t="inlineStr">
        <is>
          <t>PITEÅ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51912-2021</t>
        </is>
      </c>
      <c r="B5407" s="1" t="n">
        <v>44462</v>
      </c>
      <c r="C5407" s="1" t="n">
        <v>45895</v>
      </c>
      <c r="D5407" t="inlineStr">
        <is>
          <t>NORRBOTTENS LÄN</t>
        </is>
      </c>
      <c r="E5407" t="inlineStr">
        <is>
          <t>ÄLVSBYN</t>
        </is>
      </c>
      <c r="G5407" t="n">
        <v>26.5</v>
      </c>
      <c r="H5407" t="n">
        <v>0</v>
      </c>
      <c r="I5407" t="n">
        <v>0</v>
      </c>
      <c r="J5407" t="n">
        <v>0</v>
      </c>
      <c r="K5407" t="n">
        <v>0</v>
      </c>
      <c r="L5407" t="n">
        <v>0</v>
      </c>
      <c r="M5407" t="n">
        <v>0</v>
      </c>
      <c r="N5407" t="n">
        <v>0</v>
      </c>
      <c r="O5407" t="n">
        <v>0</v>
      </c>
      <c r="P5407" t="n">
        <v>0</v>
      </c>
      <c r="Q5407" t="n">
        <v>0</v>
      </c>
      <c r="R5407" s="2" t="inlineStr"/>
    </row>
    <row r="5408" ht="15" customHeight="1">
      <c r="A5408" t="inlineStr">
        <is>
          <t>A 34019-2024</t>
        </is>
      </c>
      <c r="B5408" s="1" t="n">
        <v>45523.57927083333</v>
      </c>
      <c r="C5408" s="1" t="n">
        <v>45895</v>
      </c>
      <c r="D5408" t="inlineStr">
        <is>
          <t>NORRBOTTENS LÄN</t>
        </is>
      </c>
      <c r="E5408" t="inlineStr">
        <is>
          <t>PITEÅ</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9643-2022</t>
        </is>
      </c>
      <c r="B5409" s="1" t="n">
        <v>44617</v>
      </c>
      <c r="C5409" s="1" t="n">
        <v>45895</v>
      </c>
      <c r="D5409" t="inlineStr">
        <is>
          <t>NORRBOTTENS LÄN</t>
        </is>
      </c>
      <c r="E5409" t="inlineStr">
        <is>
          <t>ÄLVSBYN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12849-2025</t>
        </is>
      </c>
      <c r="B5410" s="1" t="n">
        <v>45733.65648148148</v>
      </c>
      <c r="C5410" s="1" t="n">
        <v>45895</v>
      </c>
      <c r="D5410" t="inlineStr">
        <is>
          <t>NORRBOTTENS LÄN</t>
        </is>
      </c>
      <c r="E5410" t="inlineStr">
        <is>
          <t>PITEÅ</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60130-2024</t>
        </is>
      </c>
      <c r="B5411" s="1" t="n">
        <v>45642.59327546296</v>
      </c>
      <c r="C5411" s="1" t="n">
        <v>45895</v>
      </c>
      <c r="D5411" t="inlineStr">
        <is>
          <t>NORRBOTTENS LÄN</t>
        </is>
      </c>
      <c r="E5411" t="inlineStr">
        <is>
          <t>LULEÅ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33014-2023</t>
        </is>
      </c>
      <c r="B5412" s="1" t="n">
        <v>45113</v>
      </c>
      <c r="C5412" s="1" t="n">
        <v>45895</v>
      </c>
      <c r="D5412" t="inlineStr">
        <is>
          <t>NORRBOTTENS LÄN</t>
        </is>
      </c>
      <c r="E5412" t="inlineStr">
        <is>
          <t>JOKKMOKK</t>
        </is>
      </c>
      <c r="F5412" t="inlineStr">
        <is>
          <t>Övriga statliga verk och myndigheter</t>
        </is>
      </c>
      <c r="G5412" t="n">
        <v>7.2</v>
      </c>
      <c r="H5412" t="n">
        <v>0</v>
      </c>
      <c r="I5412" t="n">
        <v>0</v>
      </c>
      <c r="J5412" t="n">
        <v>0</v>
      </c>
      <c r="K5412" t="n">
        <v>0</v>
      </c>
      <c r="L5412" t="n">
        <v>0</v>
      </c>
      <c r="M5412" t="n">
        <v>0</v>
      </c>
      <c r="N5412" t="n">
        <v>0</v>
      </c>
      <c r="O5412" t="n">
        <v>0</v>
      </c>
      <c r="P5412" t="n">
        <v>0</v>
      </c>
      <c r="Q5412" t="n">
        <v>0</v>
      </c>
      <c r="R5412" s="2" t="inlineStr"/>
    </row>
    <row r="5413" ht="15" customHeight="1">
      <c r="A5413" t="inlineStr">
        <is>
          <t>A 57600-2021</t>
        </is>
      </c>
      <c r="B5413" s="1" t="n">
        <v>44484.36106481482</v>
      </c>
      <c r="C5413" s="1" t="n">
        <v>45895</v>
      </c>
      <c r="D5413" t="inlineStr">
        <is>
          <t>NORRBOTTENS LÄN</t>
        </is>
      </c>
      <c r="E5413" t="inlineStr">
        <is>
          <t>BODEN</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34092-2025</t>
        </is>
      </c>
      <c r="B5414" s="1" t="n">
        <v>45845.47767361111</v>
      </c>
      <c r="C5414" s="1" t="n">
        <v>45895</v>
      </c>
      <c r="D5414" t="inlineStr">
        <is>
          <t>NORRBOTTENS LÄN</t>
        </is>
      </c>
      <c r="E5414" t="inlineStr">
        <is>
          <t>PAJALA</t>
        </is>
      </c>
      <c r="F5414" t="inlineStr">
        <is>
          <t>Sveaskog</t>
        </is>
      </c>
      <c r="G5414" t="n">
        <v>19.2</v>
      </c>
      <c r="H5414" t="n">
        <v>0</v>
      </c>
      <c r="I5414" t="n">
        <v>0</v>
      </c>
      <c r="J5414" t="n">
        <v>0</v>
      </c>
      <c r="K5414" t="n">
        <v>0</v>
      </c>
      <c r="L5414" t="n">
        <v>0</v>
      </c>
      <c r="M5414" t="n">
        <v>0</v>
      </c>
      <c r="N5414" t="n">
        <v>0</v>
      </c>
      <c r="O5414" t="n">
        <v>0</v>
      </c>
      <c r="P5414" t="n">
        <v>0</v>
      </c>
      <c r="Q5414" t="n">
        <v>0</v>
      </c>
      <c r="R5414" s="2" t="inlineStr"/>
    </row>
    <row r="5415" ht="15" customHeight="1">
      <c r="A5415" t="inlineStr">
        <is>
          <t>A 48780-2021</t>
        </is>
      </c>
      <c r="B5415" s="1" t="n">
        <v>44452</v>
      </c>
      <c r="C5415" s="1" t="n">
        <v>45895</v>
      </c>
      <c r="D5415" t="inlineStr">
        <is>
          <t>NORRBOTTENS LÄN</t>
        </is>
      </c>
      <c r="E5415" t="inlineStr">
        <is>
          <t>ÖVERTORNEÅ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54745-2023</t>
        </is>
      </c>
      <c r="B5416" s="1" t="n">
        <v>45236</v>
      </c>
      <c r="C5416" s="1" t="n">
        <v>45895</v>
      </c>
      <c r="D5416" t="inlineStr">
        <is>
          <t>NORRBOTTENS LÄN</t>
        </is>
      </c>
      <c r="E5416" t="inlineStr">
        <is>
          <t>PITEÅ</t>
        </is>
      </c>
      <c r="F5416" t="inlineStr">
        <is>
          <t>Sveaskog</t>
        </is>
      </c>
      <c r="G5416" t="n">
        <v>25.5</v>
      </c>
      <c r="H5416" t="n">
        <v>0</v>
      </c>
      <c r="I5416" t="n">
        <v>0</v>
      </c>
      <c r="J5416" t="n">
        <v>0</v>
      </c>
      <c r="K5416" t="n">
        <v>0</v>
      </c>
      <c r="L5416" t="n">
        <v>0</v>
      </c>
      <c r="M5416" t="n">
        <v>0</v>
      </c>
      <c r="N5416" t="n">
        <v>0</v>
      </c>
      <c r="O5416" t="n">
        <v>0</v>
      </c>
      <c r="P5416" t="n">
        <v>0</v>
      </c>
      <c r="Q5416" t="n">
        <v>0</v>
      </c>
      <c r="R5416" s="2" t="inlineStr"/>
    </row>
    <row r="5417" ht="15" customHeight="1">
      <c r="A5417" t="inlineStr">
        <is>
          <t>A 26687-2024</t>
        </is>
      </c>
      <c r="B5417" s="1" t="n">
        <v>45470.35686342593</v>
      </c>
      <c r="C5417" s="1" t="n">
        <v>45895</v>
      </c>
      <c r="D5417" t="inlineStr">
        <is>
          <t>NORRBOTTENS LÄN</t>
        </is>
      </c>
      <c r="E5417" t="inlineStr">
        <is>
          <t>ARVIDSJAUR</t>
        </is>
      </c>
      <c r="F5417" t="inlineStr">
        <is>
          <t>Sveaskog</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27099-2024</t>
        </is>
      </c>
      <c r="B5418" s="1" t="n">
        <v>45471.48976851852</v>
      </c>
      <c r="C5418" s="1" t="n">
        <v>45895</v>
      </c>
      <c r="D5418" t="inlineStr">
        <is>
          <t>NORRBOTTENS LÄN</t>
        </is>
      </c>
      <c r="E5418" t="inlineStr">
        <is>
          <t>PAJALA</t>
        </is>
      </c>
      <c r="F5418" t="inlineStr">
        <is>
          <t>Sveaskog</t>
        </is>
      </c>
      <c r="G5418" t="n">
        <v>16.3</v>
      </c>
      <c r="H5418" t="n">
        <v>0</v>
      </c>
      <c r="I5418" t="n">
        <v>0</v>
      </c>
      <c r="J5418" t="n">
        <v>0</v>
      </c>
      <c r="K5418" t="n">
        <v>0</v>
      </c>
      <c r="L5418" t="n">
        <v>0</v>
      </c>
      <c r="M5418" t="n">
        <v>0</v>
      </c>
      <c r="N5418" t="n">
        <v>0</v>
      </c>
      <c r="O5418" t="n">
        <v>0</v>
      </c>
      <c r="P5418" t="n">
        <v>0</v>
      </c>
      <c r="Q5418" t="n">
        <v>0</v>
      </c>
      <c r="R5418" s="2" t="inlineStr"/>
    </row>
    <row r="5419" ht="15" customHeight="1">
      <c r="A5419" t="inlineStr">
        <is>
          <t>A 18901-2025</t>
        </is>
      </c>
      <c r="B5419" s="1" t="n">
        <v>45764.45273148148</v>
      </c>
      <c r="C5419" s="1" t="n">
        <v>45895</v>
      </c>
      <c r="D5419" t="inlineStr">
        <is>
          <t>NORRBOTTENS LÄN</t>
        </is>
      </c>
      <c r="E5419" t="inlineStr">
        <is>
          <t>BODEN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42882-2024</t>
        </is>
      </c>
      <c r="B5420" s="1" t="n">
        <v>45566.71395833333</v>
      </c>
      <c r="C5420" s="1" t="n">
        <v>45895</v>
      </c>
      <c r="D5420" t="inlineStr">
        <is>
          <t>NORRBOTTENS LÄN</t>
        </is>
      </c>
      <c r="E5420" t="inlineStr">
        <is>
          <t>PAJALA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42886-2024</t>
        </is>
      </c>
      <c r="B5421" s="1" t="n">
        <v>45566</v>
      </c>
      <c r="C5421" s="1" t="n">
        <v>45895</v>
      </c>
      <c r="D5421" t="inlineStr">
        <is>
          <t>NORRBOTTENS LÄN</t>
        </is>
      </c>
      <c r="E5421" t="inlineStr">
        <is>
          <t>PAJALA</t>
        </is>
      </c>
      <c r="G5421" t="n">
        <v>26.7</v>
      </c>
      <c r="H5421" t="n">
        <v>0</v>
      </c>
      <c r="I5421" t="n">
        <v>0</v>
      </c>
      <c r="J5421" t="n">
        <v>0</v>
      </c>
      <c r="K5421" t="n">
        <v>0</v>
      </c>
      <c r="L5421" t="n">
        <v>0</v>
      </c>
      <c r="M5421" t="n">
        <v>0</v>
      </c>
      <c r="N5421" t="n">
        <v>0</v>
      </c>
      <c r="O5421" t="n">
        <v>0</v>
      </c>
      <c r="P5421" t="n">
        <v>0</v>
      </c>
      <c r="Q5421" t="n">
        <v>0</v>
      </c>
      <c r="R5421" s="2" t="inlineStr"/>
    </row>
    <row r="5422" ht="15" customHeight="1">
      <c r="A5422" t="inlineStr">
        <is>
          <t>A 42691-2020</t>
        </is>
      </c>
      <c r="B5422" s="1" t="n">
        <v>44075</v>
      </c>
      <c r="C5422" s="1" t="n">
        <v>45895</v>
      </c>
      <c r="D5422" t="inlineStr">
        <is>
          <t>NORRBOTTENS LÄN</t>
        </is>
      </c>
      <c r="E5422" t="inlineStr">
        <is>
          <t>PITEÅ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16068-2023</t>
        </is>
      </c>
      <c r="B5423" s="1" t="n">
        <v>45027</v>
      </c>
      <c r="C5423" s="1" t="n">
        <v>45895</v>
      </c>
      <c r="D5423" t="inlineStr">
        <is>
          <t>NORRBOTTENS LÄN</t>
        </is>
      </c>
      <c r="E5423" t="inlineStr">
        <is>
          <t>GÄLLIVARE</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38343-2025</t>
        </is>
      </c>
      <c r="B5424" s="1" t="n">
        <v>45883</v>
      </c>
      <c r="C5424" s="1" t="n">
        <v>45895</v>
      </c>
      <c r="D5424" t="inlineStr">
        <is>
          <t>NORRBOTTENS LÄN</t>
        </is>
      </c>
      <c r="E5424" t="inlineStr">
        <is>
          <t>ARVIDSJAUR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29638-2023</t>
        </is>
      </c>
      <c r="B5425" s="1" t="n">
        <v>45098</v>
      </c>
      <c r="C5425" s="1" t="n">
        <v>45895</v>
      </c>
      <c r="D5425" t="inlineStr">
        <is>
          <t>NORRBOTTENS LÄN</t>
        </is>
      </c>
      <c r="E5425" t="inlineStr">
        <is>
          <t>ÄLVSBYN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58392-2021</t>
        </is>
      </c>
      <c r="B5426" s="1" t="n">
        <v>44488</v>
      </c>
      <c r="C5426" s="1" t="n">
        <v>45895</v>
      </c>
      <c r="D5426" t="inlineStr">
        <is>
          <t>NORRBOTTENS LÄN</t>
        </is>
      </c>
      <c r="E5426" t="inlineStr">
        <is>
          <t>KALIX</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36138-2021</t>
        </is>
      </c>
      <c r="B5427" s="1" t="n">
        <v>44392</v>
      </c>
      <c r="C5427" s="1" t="n">
        <v>45895</v>
      </c>
      <c r="D5427" t="inlineStr">
        <is>
          <t>NORRBOTTENS LÄN</t>
        </is>
      </c>
      <c r="E5427" t="inlineStr">
        <is>
          <t>BODEN</t>
        </is>
      </c>
      <c r="G5427" t="n">
        <v>18.5</v>
      </c>
      <c r="H5427" t="n">
        <v>0</v>
      </c>
      <c r="I5427" t="n">
        <v>0</v>
      </c>
      <c r="J5427" t="n">
        <v>0</v>
      </c>
      <c r="K5427" t="n">
        <v>0</v>
      </c>
      <c r="L5427" t="n">
        <v>0</v>
      </c>
      <c r="M5427" t="n">
        <v>0</v>
      </c>
      <c r="N5427" t="n">
        <v>0</v>
      </c>
      <c r="O5427" t="n">
        <v>0</v>
      </c>
      <c r="P5427" t="n">
        <v>0</v>
      </c>
      <c r="Q5427" t="n">
        <v>0</v>
      </c>
      <c r="R5427" s="2" t="inlineStr"/>
    </row>
    <row r="5428" ht="15" customHeight="1">
      <c r="A5428" t="inlineStr">
        <is>
          <t>A 38851-2025</t>
        </is>
      </c>
      <c r="B5428" s="1" t="n">
        <v>45887.55271990741</v>
      </c>
      <c r="C5428" s="1" t="n">
        <v>45895</v>
      </c>
      <c r="D5428" t="inlineStr">
        <is>
          <t>NORRBOTTENS LÄN</t>
        </is>
      </c>
      <c r="E5428" t="inlineStr">
        <is>
          <t>ARJEPLOG</t>
        </is>
      </c>
      <c r="G5428" t="n">
        <v>15.2</v>
      </c>
      <c r="H5428" t="n">
        <v>0</v>
      </c>
      <c r="I5428" t="n">
        <v>0</v>
      </c>
      <c r="J5428" t="n">
        <v>0</v>
      </c>
      <c r="K5428" t="n">
        <v>0</v>
      </c>
      <c r="L5428" t="n">
        <v>0</v>
      </c>
      <c r="M5428" t="n">
        <v>0</v>
      </c>
      <c r="N5428" t="n">
        <v>0</v>
      </c>
      <c r="O5428" t="n">
        <v>0</v>
      </c>
      <c r="P5428" t="n">
        <v>0</v>
      </c>
      <c r="Q5428" t="n">
        <v>0</v>
      </c>
      <c r="R5428" s="2" t="inlineStr"/>
    </row>
    <row r="5429" ht="15" customHeight="1">
      <c r="A5429" t="inlineStr">
        <is>
          <t>A 7693-2022</t>
        </is>
      </c>
      <c r="B5429" s="1" t="n">
        <v>44607</v>
      </c>
      <c r="C5429" s="1" t="n">
        <v>45895</v>
      </c>
      <c r="D5429" t="inlineStr">
        <is>
          <t>NORRBOTTENS LÄN</t>
        </is>
      </c>
      <c r="E5429" t="inlineStr">
        <is>
          <t>GÄLLIVARE</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42249-2023</t>
        </is>
      </c>
      <c r="B5430" s="1" t="n">
        <v>45180.36606481481</v>
      </c>
      <c r="C5430" s="1" t="n">
        <v>45895</v>
      </c>
      <c r="D5430" t="inlineStr">
        <is>
          <t>NORRBOTTENS LÄN</t>
        </is>
      </c>
      <c r="E5430" t="inlineStr">
        <is>
          <t>PAJALA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38969-2025</t>
        </is>
      </c>
      <c r="B5431" s="1" t="n">
        <v>45887</v>
      </c>
      <c r="C5431" s="1" t="n">
        <v>45895</v>
      </c>
      <c r="D5431" t="inlineStr">
        <is>
          <t>NORRBOTTENS LÄN</t>
        </is>
      </c>
      <c r="E5431" t="inlineStr">
        <is>
          <t>ÖVERTORNEÅ</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38974-2025</t>
        </is>
      </c>
      <c r="B5432" s="1" t="n">
        <v>45887</v>
      </c>
      <c r="C5432" s="1" t="n">
        <v>45895</v>
      </c>
      <c r="D5432" t="inlineStr">
        <is>
          <t>NORRBOTTENS LÄN</t>
        </is>
      </c>
      <c r="E5432" t="inlineStr">
        <is>
          <t>ÖVERTORNEÅ</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8799-2025</t>
        </is>
      </c>
      <c r="B5433" s="1" t="n">
        <v>45712.65548611111</v>
      </c>
      <c r="C5433" s="1" t="n">
        <v>45895</v>
      </c>
      <c r="D5433" t="inlineStr">
        <is>
          <t>NORRBOTTENS LÄN</t>
        </is>
      </c>
      <c r="E5433" t="inlineStr">
        <is>
          <t>KALIX</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42520-2023</t>
        </is>
      </c>
      <c r="B5434" s="1" t="n">
        <v>45180.96025462963</v>
      </c>
      <c r="C5434" s="1" t="n">
        <v>45895</v>
      </c>
      <c r="D5434" t="inlineStr">
        <is>
          <t>NORRBOTTENS LÄN</t>
        </is>
      </c>
      <c r="E5434" t="inlineStr">
        <is>
          <t>PITEÅ</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32915-2024</t>
        </is>
      </c>
      <c r="B5435" s="1" t="n">
        <v>45516</v>
      </c>
      <c r="C5435" s="1" t="n">
        <v>45895</v>
      </c>
      <c r="D5435" t="inlineStr">
        <is>
          <t>NORRBOTTENS LÄN</t>
        </is>
      </c>
      <c r="E5435" t="inlineStr">
        <is>
          <t>JOKKMOKK</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16999-2025</t>
        </is>
      </c>
      <c r="B5436" s="1" t="n">
        <v>45755.52708333333</v>
      </c>
      <c r="C5436" s="1" t="n">
        <v>45895</v>
      </c>
      <c r="D5436" t="inlineStr">
        <is>
          <t>NORRBOTTENS LÄN</t>
        </is>
      </c>
      <c r="E5436" t="inlineStr">
        <is>
          <t>ÖVERTORNEÅ</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39006-2025</t>
        </is>
      </c>
      <c r="B5437" s="1" t="n">
        <v>45888.34505787037</v>
      </c>
      <c r="C5437" s="1" t="n">
        <v>45895</v>
      </c>
      <c r="D5437" t="inlineStr">
        <is>
          <t>NORRBOTTENS LÄN</t>
        </is>
      </c>
      <c r="E5437" t="inlineStr">
        <is>
          <t>ARVIDSJAUR</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3146-2024</t>
        </is>
      </c>
      <c r="B5438" s="1" t="n">
        <v>45316</v>
      </c>
      <c r="C5438" s="1" t="n">
        <v>45895</v>
      </c>
      <c r="D5438" t="inlineStr">
        <is>
          <t>NORRBOTTENS LÄN</t>
        </is>
      </c>
      <c r="E5438" t="inlineStr">
        <is>
          <t>BODEN</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62269-2021</t>
        </is>
      </c>
      <c r="B5439" s="1" t="n">
        <v>44502</v>
      </c>
      <c r="C5439" s="1" t="n">
        <v>45895</v>
      </c>
      <c r="D5439" t="inlineStr">
        <is>
          <t>NORRBOTTENS LÄN</t>
        </is>
      </c>
      <c r="E5439" t="inlineStr">
        <is>
          <t>ÖVERKALIX</t>
        </is>
      </c>
      <c r="G5439" t="n">
        <v>9.199999999999999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11030-2025</t>
        </is>
      </c>
      <c r="B5440" s="1" t="n">
        <v>45723.47167824074</v>
      </c>
      <c r="C5440" s="1" t="n">
        <v>45895</v>
      </c>
      <c r="D5440" t="inlineStr">
        <is>
          <t>NORRBOTTENS LÄN</t>
        </is>
      </c>
      <c r="E5440" t="inlineStr">
        <is>
          <t>ARVIDSJAUR</t>
        </is>
      </c>
      <c r="F5440" t="inlineStr">
        <is>
          <t>Sveaskog</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52581-2022</t>
        </is>
      </c>
      <c r="B5441" s="1" t="n">
        <v>44874</v>
      </c>
      <c r="C5441" s="1" t="n">
        <v>45895</v>
      </c>
      <c r="D5441" t="inlineStr">
        <is>
          <t>NORRBOTTENS LÄN</t>
        </is>
      </c>
      <c r="E5441" t="inlineStr">
        <is>
          <t>ARJEPLOG</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73910-2021</t>
        </is>
      </c>
      <c r="B5442" s="1" t="n">
        <v>44552</v>
      </c>
      <c r="C5442" s="1" t="n">
        <v>45895</v>
      </c>
      <c r="D5442" t="inlineStr">
        <is>
          <t>NORRBOTTENS LÄN</t>
        </is>
      </c>
      <c r="E5442" t="inlineStr">
        <is>
          <t>BODEN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43297-2021</t>
        </is>
      </c>
      <c r="B5443" s="1" t="n">
        <v>44432</v>
      </c>
      <c r="C5443" s="1" t="n">
        <v>45895</v>
      </c>
      <c r="D5443" t="inlineStr">
        <is>
          <t>NORRBOTTENS LÄN</t>
        </is>
      </c>
      <c r="E5443" t="inlineStr">
        <is>
          <t>PITEÅ</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20063-2023</t>
        </is>
      </c>
      <c r="B5444" s="1" t="n">
        <v>45054</v>
      </c>
      <c r="C5444" s="1" t="n">
        <v>45895</v>
      </c>
      <c r="D5444" t="inlineStr">
        <is>
          <t>NORRBOTTENS LÄN</t>
        </is>
      </c>
      <c r="E5444" t="inlineStr">
        <is>
          <t>LULEÅ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20083-2023</t>
        </is>
      </c>
      <c r="B5445" s="1" t="n">
        <v>45054.92533564815</v>
      </c>
      <c r="C5445" s="1" t="n">
        <v>45895</v>
      </c>
      <c r="D5445" t="inlineStr">
        <is>
          <t>NORRBOTTENS LÄN</t>
        </is>
      </c>
      <c r="E5445" t="inlineStr">
        <is>
          <t>KALIX</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20084-2023</t>
        </is>
      </c>
      <c r="B5446" s="1" t="n">
        <v>45054.92546296296</v>
      </c>
      <c r="C5446" s="1" t="n">
        <v>45895</v>
      </c>
      <c r="D5446" t="inlineStr">
        <is>
          <t>NORRBOTTENS LÄN</t>
        </is>
      </c>
      <c r="E5446" t="inlineStr">
        <is>
          <t>KALIX</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20201-2025</t>
        </is>
      </c>
      <c r="B5447" s="1" t="n">
        <v>45772.61418981481</v>
      </c>
      <c r="C5447" s="1" t="n">
        <v>45895</v>
      </c>
      <c r="D5447" t="inlineStr">
        <is>
          <t>NORRBOTTENS LÄN</t>
        </is>
      </c>
      <c r="E5447" t="inlineStr">
        <is>
          <t>PITEÅ</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39168-2025</t>
        </is>
      </c>
      <c r="B5448" s="1" t="n">
        <v>45888.63964120371</v>
      </c>
      <c r="C5448" s="1" t="n">
        <v>45895</v>
      </c>
      <c r="D5448" t="inlineStr">
        <is>
          <t>NORRBOTTENS LÄN</t>
        </is>
      </c>
      <c r="E5448" t="inlineStr">
        <is>
          <t>GÄLLIVARE</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37304-2024</t>
        </is>
      </c>
      <c r="B5449" s="1" t="n">
        <v>45540</v>
      </c>
      <c r="C5449" s="1" t="n">
        <v>45895</v>
      </c>
      <c r="D5449" t="inlineStr">
        <is>
          <t>NORRBOTTENS LÄN</t>
        </is>
      </c>
      <c r="E5449" t="inlineStr">
        <is>
          <t>LULEÅ</t>
        </is>
      </c>
      <c r="F5449" t="inlineStr">
        <is>
          <t>SCA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20046-2025</t>
        </is>
      </c>
      <c r="B5450" s="1" t="n">
        <v>45772</v>
      </c>
      <c r="C5450" s="1" t="n">
        <v>45895</v>
      </c>
      <c r="D5450" t="inlineStr">
        <is>
          <t>NORRBOTTENS LÄN</t>
        </is>
      </c>
      <c r="E5450" t="inlineStr">
        <is>
          <t>BODEN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23484-2023</t>
        </is>
      </c>
      <c r="B5451" s="1" t="n">
        <v>45076.66361111111</v>
      </c>
      <c r="C5451" s="1" t="n">
        <v>45895</v>
      </c>
      <c r="D5451" t="inlineStr">
        <is>
          <t>NORRBOTTENS LÄN</t>
        </is>
      </c>
      <c r="E5451" t="inlineStr">
        <is>
          <t>HAPARANDA</t>
        </is>
      </c>
      <c r="G5451" t="n">
        <v>10.5</v>
      </c>
      <c r="H5451" t="n">
        <v>0</v>
      </c>
      <c r="I5451" t="n">
        <v>0</v>
      </c>
      <c r="J5451" t="n">
        <v>0</v>
      </c>
      <c r="K5451" t="n">
        <v>0</v>
      </c>
      <c r="L5451" t="n">
        <v>0</v>
      </c>
      <c r="M5451" t="n">
        <v>0</v>
      </c>
      <c r="N5451" t="n">
        <v>0</v>
      </c>
      <c r="O5451" t="n">
        <v>0</v>
      </c>
      <c r="P5451" t="n">
        <v>0</v>
      </c>
      <c r="Q5451" t="n">
        <v>0</v>
      </c>
      <c r="R5451" s="2" t="inlineStr"/>
    </row>
    <row r="5452" ht="15" customHeight="1">
      <c r="A5452" t="inlineStr">
        <is>
          <t>A 34130-2025</t>
        </is>
      </c>
      <c r="B5452" s="1" t="n">
        <v>45845.53159722222</v>
      </c>
      <c r="C5452" s="1" t="n">
        <v>45895</v>
      </c>
      <c r="D5452" t="inlineStr">
        <is>
          <t>NORRBOTTENS LÄN</t>
        </is>
      </c>
      <c r="E5452" t="inlineStr">
        <is>
          <t>GÄLLIVARE</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25722-2024</t>
        </is>
      </c>
      <c r="B5453" s="1" t="n">
        <v>45463</v>
      </c>
      <c r="C5453" s="1" t="n">
        <v>45895</v>
      </c>
      <c r="D5453" t="inlineStr">
        <is>
          <t>NORRBOTTENS LÄN</t>
        </is>
      </c>
      <c r="E5453" t="inlineStr">
        <is>
          <t>JOKKMOKK</t>
        </is>
      </c>
      <c r="F5453" t="inlineStr">
        <is>
          <t>SCA</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20811-2024</t>
        </is>
      </c>
      <c r="B5454" s="1" t="n">
        <v>45439</v>
      </c>
      <c r="C5454" s="1" t="n">
        <v>45895</v>
      </c>
      <c r="D5454" t="inlineStr">
        <is>
          <t>NORRBOTTENS LÄN</t>
        </is>
      </c>
      <c r="E5454" t="inlineStr">
        <is>
          <t>ARVIDSJAUR</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15180-2025</t>
        </is>
      </c>
      <c r="B5455" s="1" t="n">
        <v>45744.52540509259</v>
      </c>
      <c r="C5455" s="1" t="n">
        <v>45895</v>
      </c>
      <c r="D5455" t="inlineStr">
        <is>
          <t>NORRBOTTENS LÄN</t>
        </is>
      </c>
      <c r="E5455" t="inlineStr">
        <is>
          <t>ÄLVSBYN</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17313-2021</t>
        </is>
      </c>
      <c r="B5456" s="1" t="n">
        <v>44298</v>
      </c>
      <c r="C5456" s="1" t="n">
        <v>45895</v>
      </c>
      <c r="D5456" t="inlineStr">
        <is>
          <t>NORRBOTTENS LÄN</t>
        </is>
      </c>
      <c r="E5456" t="inlineStr">
        <is>
          <t>BODEN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20439-2025</t>
        </is>
      </c>
      <c r="B5457" s="1" t="n">
        <v>45775</v>
      </c>
      <c r="C5457" s="1" t="n">
        <v>45895</v>
      </c>
      <c r="D5457" t="inlineStr">
        <is>
          <t>NORRBOTTENS LÄN</t>
        </is>
      </c>
      <c r="E5457" t="inlineStr">
        <is>
          <t>ÖVERTORNEÅ</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62157-2023</t>
        </is>
      </c>
      <c r="B5458" s="1" t="n">
        <v>45266</v>
      </c>
      <c r="C5458" s="1" t="n">
        <v>45895</v>
      </c>
      <c r="D5458" t="inlineStr">
        <is>
          <t>NORRBOTTENS LÄN</t>
        </is>
      </c>
      <c r="E5458" t="inlineStr">
        <is>
          <t>KALIX</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62161-2023</t>
        </is>
      </c>
      <c r="B5459" s="1" t="n">
        <v>45266</v>
      </c>
      <c r="C5459" s="1" t="n">
        <v>45895</v>
      </c>
      <c r="D5459" t="inlineStr">
        <is>
          <t>NORRBOTTENS LÄN</t>
        </is>
      </c>
      <c r="E5459" t="inlineStr">
        <is>
          <t>KALIX</t>
        </is>
      </c>
      <c r="G5459" t="n">
        <v>17.7</v>
      </c>
      <c r="H5459" t="n">
        <v>0</v>
      </c>
      <c r="I5459" t="n">
        <v>0</v>
      </c>
      <c r="J5459" t="n">
        <v>0</v>
      </c>
      <c r="K5459" t="n">
        <v>0</v>
      </c>
      <c r="L5459" t="n">
        <v>0</v>
      </c>
      <c r="M5459" t="n">
        <v>0</v>
      </c>
      <c r="N5459" t="n">
        <v>0</v>
      </c>
      <c r="O5459" t="n">
        <v>0</v>
      </c>
      <c r="P5459" t="n">
        <v>0</v>
      </c>
      <c r="Q5459" t="n">
        <v>0</v>
      </c>
      <c r="R5459" s="2" t="inlineStr"/>
    </row>
    <row r="5460" ht="15" customHeight="1">
      <c r="A5460" t="inlineStr">
        <is>
          <t>A 44981-2023</t>
        </is>
      </c>
      <c r="B5460" s="1" t="n">
        <v>45190.95791666667</v>
      </c>
      <c r="C5460" s="1" t="n">
        <v>45895</v>
      </c>
      <c r="D5460" t="inlineStr">
        <is>
          <t>NORRBOTTENS LÄN</t>
        </is>
      </c>
      <c r="E5460" t="inlineStr">
        <is>
          <t>GÄLLIVARE</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38896-2025</t>
        </is>
      </c>
      <c r="B5461" s="1" t="n">
        <v>45887</v>
      </c>
      <c r="C5461" s="1" t="n">
        <v>45895</v>
      </c>
      <c r="D5461" t="inlineStr">
        <is>
          <t>NORRBOTTENS LÄN</t>
        </is>
      </c>
      <c r="E5461" t="inlineStr">
        <is>
          <t>GÄLLIVARE</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8776-2022</t>
        </is>
      </c>
      <c r="B5462" s="1" t="n">
        <v>44614.40652777778</v>
      </c>
      <c r="C5462" s="1" t="n">
        <v>45895</v>
      </c>
      <c r="D5462" t="inlineStr">
        <is>
          <t>NORRBOTTENS LÄN</t>
        </is>
      </c>
      <c r="E5462" t="inlineStr">
        <is>
          <t>BODEN</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49641-2024</t>
        </is>
      </c>
      <c r="B5463" s="1" t="n">
        <v>45596</v>
      </c>
      <c r="C5463" s="1" t="n">
        <v>45895</v>
      </c>
      <c r="D5463" t="inlineStr">
        <is>
          <t>NORRBOTTENS LÄN</t>
        </is>
      </c>
      <c r="E5463" t="inlineStr">
        <is>
          <t>LULEÅ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30120-2025</t>
        </is>
      </c>
      <c r="B5464" s="1" t="n">
        <v>45826</v>
      </c>
      <c r="C5464" s="1" t="n">
        <v>45895</v>
      </c>
      <c r="D5464" t="inlineStr">
        <is>
          <t>NORRBOTTENS LÄN</t>
        </is>
      </c>
      <c r="E5464" t="inlineStr">
        <is>
          <t>LULEÅ</t>
        </is>
      </c>
      <c r="G5464" t="n">
        <v>1.1</v>
      </c>
      <c r="H5464" t="n">
        <v>0</v>
      </c>
      <c r="I5464" t="n">
        <v>0</v>
      </c>
      <c r="J5464" t="n">
        <v>0</v>
      </c>
      <c r="K5464" t="n">
        <v>0</v>
      </c>
      <c r="L5464" t="n">
        <v>0</v>
      </c>
      <c r="M5464" t="n">
        <v>0</v>
      </c>
      <c r="N5464" t="n">
        <v>0</v>
      </c>
      <c r="O5464" t="n">
        <v>0</v>
      </c>
      <c r="P5464" t="n">
        <v>0</v>
      </c>
      <c r="Q5464" t="n">
        <v>0</v>
      </c>
      <c r="R5464" s="2" t="inlineStr"/>
      <c r="U5464">
        <f>HYPERLINK("https://klasma.github.io/Logging_2580/knärot/A 30120-2025 karta knärot.png", "A 30120-2025")</f>
        <v/>
      </c>
      <c r="V5464">
        <f>HYPERLINK("https://klasma.github.io/Logging_2580/klagomål/A 30120-2025 FSC-klagomål.docx", "A 30120-2025")</f>
        <v/>
      </c>
      <c r="W5464">
        <f>HYPERLINK("https://klasma.github.io/Logging_2580/klagomålsmail/A 30120-2025 FSC-klagomål mail.docx", "A 30120-2025")</f>
        <v/>
      </c>
      <c r="X5464">
        <f>HYPERLINK("https://klasma.github.io/Logging_2580/tillsyn/A 30120-2025 tillsynsbegäran.docx", "A 30120-2025")</f>
        <v/>
      </c>
      <c r="Y5464">
        <f>HYPERLINK("https://klasma.github.io/Logging_2580/tillsynsmail/A 30120-2025 tillsynsbegäran mail.docx", "A 30120-2025")</f>
        <v/>
      </c>
    </row>
    <row r="5465" ht="15" customHeight="1">
      <c r="A5465" t="inlineStr">
        <is>
          <t>A 38348-2025</t>
        </is>
      </c>
      <c r="B5465" s="1" t="n">
        <v>45883</v>
      </c>
      <c r="C5465" s="1" t="n">
        <v>45895</v>
      </c>
      <c r="D5465" t="inlineStr">
        <is>
          <t>NORRBOTTENS LÄN</t>
        </is>
      </c>
      <c r="E5465" t="inlineStr">
        <is>
          <t>ARVIDSJAUR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16769-2023</t>
        </is>
      </c>
      <c r="B5466" s="1" t="n">
        <v>45031.25363425926</v>
      </c>
      <c r="C5466" s="1" t="n">
        <v>45895</v>
      </c>
      <c r="D5466" t="inlineStr">
        <is>
          <t>NORRBOTTENS LÄN</t>
        </is>
      </c>
      <c r="E5466" t="inlineStr">
        <is>
          <t>PAJALA</t>
        </is>
      </c>
      <c r="G5466" t="n">
        <v>35.6</v>
      </c>
      <c r="H5466" t="n">
        <v>0</v>
      </c>
      <c r="I5466" t="n">
        <v>0</v>
      </c>
      <c r="J5466" t="n">
        <v>0</v>
      </c>
      <c r="K5466" t="n">
        <v>0</v>
      </c>
      <c r="L5466" t="n">
        <v>0</v>
      </c>
      <c r="M5466" t="n">
        <v>0</v>
      </c>
      <c r="N5466" t="n">
        <v>0</v>
      </c>
      <c r="O5466" t="n">
        <v>0</v>
      </c>
      <c r="P5466" t="n">
        <v>0</v>
      </c>
      <c r="Q5466" t="n">
        <v>0</v>
      </c>
      <c r="R5466" s="2" t="inlineStr"/>
    </row>
    <row r="5467" ht="15" customHeight="1">
      <c r="A5467" t="inlineStr">
        <is>
          <t>A 39129-2025</t>
        </is>
      </c>
      <c r="B5467" s="1" t="n">
        <v>45887</v>
      </c>
      <c r="C5467" s="1" t="n">
        <v>45895</v>
      </c>
      <c r="D5467" t="inlineStr">
        <is>
          <t>NORRBOTTENS LÄN</t>
        </is>
      </c>
      <c r="E5467" t="inlineStr">
        <is>
          <t>BODEN</t>
        </is>
      </c>
      <c r="F5467" t="inlineStr">
        <is>
          <t>Sveaskog</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27615-2025</t>
        </is>
      </c>
      <c r="B5468" s="1" t="n">
        <v>45813.54255787037</v>
      </c>
      <c r="C5468" s="1" t="n">
        <v>45895</v>
      </c>
      <c r="D5468" t="inlineStr">
        <is>
          <t>NORRBOTTENS LÄN</t>
        </is>
      </c>
      <c r="E5468" t="inlineStr">
        <is>
          <t>KALIX</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33981-2025</t>
        </is>
      </c>
      <c r="B5469" s="1" t="n">
        <v>45843.34435185185</v>
      </c>
      <c r="C5469" s="1" t="n">
        <v>45895</v>
      </c>
      <c r="D5469" t="inlineStr">
        <is>
          <t>NORRBOTTENS LÄN</t>
        </is>
      </c>
      <c r="E5469" t="inlineStr">
        <is>
          <t>BODEN</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54281-2024</t>
        </is>
      </c>
      <c r="B5470" s="1" t="n">
        <v>45616</v>
      </c>
      <c r="C5470" s="1" t="n">
        <v>45895</v>
      </c>
      <c r="D5470" t="inlineStr">
        <is>
          <t>NORRBOTTENS LÄN</t>
        </is>
      </c>
      <c r="E5470" t="inlineStr">
        <is>
          <t>GÄLLIVARE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39902-2021</t>
        </is>
      </c>
      <c r="B5471" s="1" t="n">
        <v>44417</v>
      </c>
      <c r="C5471" s="1" t="n">
        <v>45895</v>
      </c>
      <c r="D5471" t="inlineStr">
        <is>
          <t>NORRBOTTENS LÄN</t>
        </is>
      </c>
      <c r="E5471" t="inlineStr">
        <is>
          <t>PAJALA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26806-2024</t>
        </is>
      </c>
      <c r="B5472" s="1" t="n">
        <v>45470</v>
      </c>
      <c r="C5472" s="1" t="n">
        <v>45895</v>
      </c>
      <c r="D5472" t="inlineStr">
        <is>
          <t>NORRBOTTENS LÄN</t>
        </is>
      </c>
      <c r="E5472" t="inlineStr">
        <is>
          <t>BODEN</t>
        </is>
      </c>
      <c r="F5472" t="inlineStr">
        <is>
          <t>Övriga Aktiebolag</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26819-2024</t>
        </is>
      </c>
      <c r="B5473" s="1" t="n">
        <v>45470.55719907407</v>
      </c>
      <c r="C5473" s="1" t="n">
        <v>45895</v>
      </c>
      <c r="D5473" t="inlineStr">
        <is>
          <t>NORRBOTTENS LÄN</t>
        </is>
      </c>
      <c r="E5473" t="inlineStr">
        <is>
          <t>ARVIDSJAUR</t>
        </is>
      </c>
      <c r="F5473" t="inlineStr">
        <is>
          <t>Sveaskog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26925-2024</t>
        </is>
      </c>
      <c r="B5474" s="1" t="n">
        <v>45470.93118055556</v>
      </c>
      <c r="C5474" s="1" t="n">
        <v>45895</v>
      </c>
      <c r="D5474" t="inlineStr">
        <is>
          <t>NORRBOTTENS LÄN</t>
        </is>
      </c>
      <c r="E5474" t="inlineStr">
        <is>
          <t>LULEÅ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36678-2025</t>
        </is>
      </c>
      <c r="B5475" s="1" t="n">
        <v>45873</v>
      </c>
      <c r="C5475" s="1" t="n">
        <v>45895</v>
      </c>
      <c r="D5475" t="inlineStr">
        <is>
          <t>NORRBOTTENS LÄN</t>
        </is>
      </c>
      <c r="E5475" t="inlineStr">
        <is>
          <t>PITEÅ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39002-2025</t>
        </is>
      </c>
      <c r="B5476" s="1" t="n">
        <v>45888</v>
      </c>
      <c r="C5476" s="1" t="n">
        <v>45895</v>
      </c>
      <c r="D5476" t="inlineStr">
        <is>
          <t>NORRBOTTENS LÄN</t>
        </is>
      </c>
      <c r="E5476" t="inlineStr">
        <is>
          <t>ARVIDSJAUR</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55747-2023</t>
        </is>
      </c>
      <c r="B5477" s="1" t="n">
        <v>45232</v>
      </c>
      <c r="C5477" s="1" t="n">
        <v>45895</v>
      </c>
      <c r="D5477" t="inlineStr">
        <is>
          <t>NORRBOTTENS LÄN</t>
        </is>
      </c>
      <c r="E5477" t="inlineStr">
        <is>
          <t>LULEÅ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39304-2025</t>
        </is>
      </c>
      <c r="B5478" s="1" t="n">
        <v>45889.4522337963</v>
      </c>
      <c r="C5478" s="1" t="n">
        <v>45895</v>
      </c>
      <c r="D5478" t="inlineStr">
        <is>
          <t>NORRBOTTENS LÄN</t>
        </is>
      </c>
      <c r="E5478" t="inlineStr">
        <is>
          <t>ÖVERTORNEÅ</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71287-2021</t>
        </is>
      </c>
      <c r="B5479" s="1" t="n">
        <v>44538</v>
      </c>
      <c r="C5479" s="1" t="n">
        <v>45895</v>
      </c>
      <c r="D5479" t="inlineStr">
        <is>
          <t>NORRBOTTENS LÄN</t>
        </is>
      </c>
      <c r="E5479" t="inlineStr">
        <is>
          <t>PITEÅ</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39337-2025</t>
        </is>
      </c>
      <c r="B5480" s="1" t="n">
        <v>45889</v>
      </c>
      <c r="C5480" s="1" t="n">
        <v>45895</v>
      </c>
      <c r="D5480" t="inlineStr">
        <is>
          <t>NORRBOTTENS LÄN</t>
        </is>
      </c>
      <c r="E5480" t="inlineStr">
        <is>
          <t>GÄLLIVARE</t>
        </is>
      </c>
      <c r="F5480" t="inlineStr">
        <is>
          <t>Sveaskog</t>
        </is>
      </c>
      <c r="G5480" t="n">
        <v>36.8</v>
      </c>
      <c r="H5480" t="n">
        <v>0</v>
      </c>
      <c r="I5480" t="n">
        <v>0</v>
      </c>
      <c r="J5480" t="n">
        <v>0</v>
      </c>
      <c r="K5480" t="n">
        <v>0</v>
      </c>
      <c r="L5480" t="n">
        <v>0</v>
      </c>
      <c r="M5480" t="n">
        <v>0</v>
      </c>
      <c r="N5480" t="n">
        <v>0</v>
      </c>
      <c r="O5480" t="n">
        <v>0</v>
      </c>
      <c r="P5480" t="n">
        <v>0</v>
      </c>
      <c r="Q5480" t="n">
        <v>0</v>
      </c>
      <c r="R5480" s="2" t="inlineStr"/>
    </row>
    <row r="5481" ht="15" customHeight="1">
      <c r="A5481" t="inlineStr">
        <is>
          <t>A 26556-2023</t>
        </is>
      </c>
      <c r="B5481" s="1" t="n">
        <v>45092</v>
      </c>
      <c r="C5481" s="1" t="n">
        <v>45895</v>
      </c>
      <c r="D5481" t="inlineStr">
        <is>
          <t>NORRBOTTENS LÄN</t>
        </is>
      </c>
      <c r="E5481" t="inlineStr">
        <is>
          <t>ÖVERTORNEÅ</t>
        </is>
      </c>
      <c r="F5481" t="inlineStr">
        <is>
          <t>Sveaskog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38611-2024</t>
        </is>
      </c>
      <c r="B5482" s="1" t="n">
        <v>45546</v>
      </c>
      <c r="C5482" s="1" t="n">
        <v>45895</v>
      </c>
      <c r="D5482" t="inlineStr">
        <is>
          <t>NORRBOTTENS LÄN</t>
        </is>
      </c>
      <c r="E5482" t="inlineStr">
        <is>
          <t>PITEÅ</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39279-2025</t>
        </is>
      </c>
      <c r="B5483" s="1" t="n">
        <v>45889.40050925926</v>
      </c>
      <c r="C5483" s="1" t="n">
        <v>45895</v>
      </c>
      <c r="D5483" t="inlineStr">
        <is>
          <t>NORRBOTTENS LÄN</t>
        </is>
      </c>
      <c r="E5483" t="inlineStr">
        <is>
          <t>KALIX</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31097-2024</t>
        </is>
      </c>
      <c r="B5484" s="1" t="n">
        <v>45502</v>
      </c>
      <c r="C5484" s="1" t="n">
        <v>45895</v>
      </c>
      <c r="D5484" t="inlineStr">
        <is>
          <t>NORRBOTTENS LÄN</t>
        </is>
      </c>
      <c r="E5484" t="inlineStr">
        <is>
          <t>PAJALA</t>
        </is>
      </c>
      <c r="F5484" t="inlineStr">
        <is>
          <t>Allmännings- och besparingsskogar</t>
        </is>
      </c>
      <c r="G5484" t="n">
        <v>1.1</v>
      </c>
      <c r="H5484" t="n">
        <v>0</v>
      </c>
      <c r="I5484" t="n">
        <v>0</v>
      </c>
      <c r="J5484" t="n">
        <v>0</v>
      </c>
      <c r="K5484" t="n">
        <v>0</v>
      </c>
      <c r="L5484" t="n">
        <v>0</v>
      </c>
      <c r="M5484" t="n">
        <v>0</v>
      </c>
      <c r="N5484" t="n">
        <v>0</v>
      </c>
      <c r="O5484" t="n">
        <v>0</v>
      </c>
      <c r="P5484" t="n">
        <v>0</v>
      </c>
      <c r="Q5484" t="n">
        <v>0</v>
      </c>
      <c r="R5484" s="2" t="inlineStr"/>
      <c r="U5484">
        <f>HYPERLINK("https://klasma.github.io/Logging_2521/knärot/A 31097-2024 karta knärot.png", "A 31097-2024")</f>
        <v/>
      </c>
      <c r="V5484">
        <f>HYPERLINK("https://klasma.github.io/Logging_2521/klagomål/A 31097-2024 FSC-klagomål.docx", "A 31097-2024")</f>
        <v/>
      </c>
      <c r="W5484">
        <f>HYPERLINK("https://klasma.github.io/Logging_2521/klagomålsmail/A 31097-2024 FSC-klagomål mail.docx", "A 31097-2024")</f>
        <v/>
      </c>
      <c r="X5484">
        <f>HYPERLINK("https://klasma.github.io/Logging_2521/tillsyn/A 31097-2024 tillsynsbegäran.docx", "A 31097-2024")</f>
        <v/>
      </c>
      <c r="Y5484">
        <f>HYPERLINK("https://klasma.github.io/Logging_2521/tillsynsmail/A 31097-2024 tillsynsbegäran mail.docx", "A 31097-2024")</f>
        <v/>
      </c>
    </row>
    <row r="5485" ht="15" customHeight="1">
      <c r="A5485" t="inlineStr">
        <is>
          <t>A 47423-2024</t>
        </is>
      </c>
      <c r="B5485" s="1" t="n">
        <v>45587</v>
      </c>
      <c r="C5485" s="1" t="n">
        <v>45895</v>
      </c>
      <c r="D5485" t="inlineStr">
        <is>
          <t>NORRBOTTENS LÄN</t>
        </is>
      </c>
      <c r="E5485" t="inlineStr">
        <is>
          <t>BODEN</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50888-2024</t>
        </is>
      </c>
      <c r="B5486" s="1" t="n">
        <v>45602</v>
      </c>
      <c r="C5486" s="1" t="n">
        <v>45895</v>
      </c>
      <c r="D5486" t="inlineStr">
        <is>
          <t>NORRBOTTENS LÄN</t>
        </is>
      </c>
      <c r="E5486" t="inlineStr">
        <is>
          <t>PAJALA</t>
        </is>
      </c>
      <c r="G5486" t="n">
        <v>17.2</v>
      </c>
      <c r="H5486" t="n">
        <v>0</v>
      </c>
      <c r="I5486" t="n">
        <v>0</v>
      </c>
      <c r="J5486" t="n">
        <v>0</v>
      </c>
      <c r="K5486" t="n">
        <v>0</v>
      </c>
      <c r="L5486" t="n">
        <v>0</v>
      </c>
      <c r="M5486" t="n">
        <v>0</v>
      </c>
      <c r="N5486" t="n">
        <v>0</v>
      </c>
      <c r="O5486" t="n">
        <v>0</v>
      </c>
      <c r="P5486" t="n">
        <v>0</v>
      </c>
      <c r="Q5486" t="n">
        <v>0</v>
      </c>
      <c r="R5486" s="2" t="inlineStr"/>
    </row>
    <row r="5487" ht="15" customHeight="1">
      <c r="A5487" t="inlineStr">
        <is>
          <t>A 54879-2024</t>
        </is>
      </c>
      <c r="B5487" s="1" t="n">
        <v>45618</v>
      </c>
      <c r="C5487" s="1" t="n">
        <v>45895</v>
      </c>
      <c r="D5487" t="inlineStr">
        <is>
          <t>NORRBOTTENS LÄN</t>
        </is>
      </c>
      <c r="E5487" t="inlineStr">
        <is>
          <t>ARVIDSJAUR</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54769-2024</t>
        </is>
      </c>
      <c r="B5488" s="1" t="n">
        <v>45618.47244212963</v>
      </c>
      <c r="C5488" s="1" t="n">
        <v>45895</v>
      </c>
      <c r="D5488" t="inlineStr">
        <is>
          <t>NORRBOTTENS LÄN</t>
        </is>
      </c>
      <c r="E5488" t="inlineStr">
        <is>
          <t>LULEÅ</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39501-2025</t>
        </is>
      </c>
      <c r="B5489" s="1" t="n">
        <v>45890.39974537037</v>
      </c>
      <c r="C5489" s="1" t="n">
        <v>45895</v>
      </c>
      <c r="D5489" t="inlineStr">
        <is>
          <t>NORRBOTTENS LÄN</t>
        </is>
      </c>
      <c r="E5489" t="inlineStr">
        <is>
          <t>KALIX</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39510-2025</t>
        </is>
      </c>
      <c r="B5490" s="1" t="n">
        <v>45890.40739583333</v>
      </c>
      <c r="C5490" s="1" t="n">
        <v>45895</v>
      </c>
      <c r="D5490" t="inlineStr">
        <is>
          <t>NORRBOTTENS LÄN</t>
        </is>
      </c>
      <c r="E5490" t="inlineStr">
        <is>
          <t>PITEÅ</t>
        </is>
      </c>
      <c r="G5490" t="n">
        <v>19.7</v>
      </c>
      <c r="H5490" t="n">
        <v>0</v>
      </c>
      <c r="I5490" t="n">
        <v>0</v>
      </c>
      <c r="J5490" t="n">
        <v>0</v>
      </c>
      <c r="K5490" t="n">
        <v>0</v>
      </c>
      <c r="L5490" t="n">
        <v>0</v>
      </c>
      <c r="M5490" t="n">
        <v>0</v>
      </c>
      <c r="N5490" t="n">
        <v>0</v>
      </c>
      <c r="O5490" t="n">
        <v>0</v>
      </c>
      <c r="P5490" t="n">
        <v>0</v>
      </c>
      <c r="Q5490" t="n">
        <v>0</v>
      </c>
      <c r="R5490" s="2" t="inlineStr"/>
    </row>
    <row r="5491" ht="15" customHeight="1">
      <c r="A5491" t="inlineStr">
        <is>
          <t>A 46056-2023</t>
        </is>
      </c>
      <c r="B5491" s="1" t="n">
        <v>45196</v>
      </c>
      <c r="C5491" s="1" t="n">
        <v>45895</v>
      </c>
      <c r="D5491" t="inlineStr">
        <is>
          <t>NORRBOTTENS LÄN</t>
        </is>
      </c>
      <c r="E5491" t="inlineStr">
        <is>
          <t>GÄLLIVARE</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10054-2025</t>
        </is>
      </c>
      <c r="B5492" s="1" t="n">
        <v>45719.52578703704</v>
      </c>
      <c r="C5492" s="1" t="n">
        <v>45895</v>
      </c>
      <c r="D5492" t="inlineStr">
        <is>
          <t>NORRBOTTENS LÄN</t>
        </is>
      </c>
      <c r="E5492" t="inlineStr">
        <is>
          <t>KALIX</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13372-2023</t>
        </is>
      </c>
      <c r="B5493" s="1" t="n">
        <v>45005.48414351852</v>
      </c>
      <c r="C5493" s="1" t="n">
        <v>45895</v>
      </c>
      <c r="D5493" t="inlineStr">
        <is>
          <t>NORRBOTTENS LÄN</t>
        </is>
      </c>
      <c r="E5493" t="inlineStr">
        <is>
          <t>ÖVERKALIX</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39651-2025</t>
        </is>
      </c>
      <c r="B5494" s="1" t="n">
        <v>45890.61597222222</v>
      </c>
      <c r="C5494" s="1" t="n">
        <v>45895</v>
      </c>
      <c r="D5494" t="inlineStr">
        <is>
          <t>NORRBOTTENS LÄN</t>
        </is>
      </c>
      <c r="E5494" t="inlineStr">
        <is>
          <t>BODEN</t>
        </is>
      </c>
      <c r="F5494" t="inlineStr">
        <is>
          <t>Sveaskog</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39414-2025</t>
        </is>
      </c>
      <c r="B5495" s="1" t="n">
        <v>45889.65699074074</v>
      </c>
      <c r="C5495" s="1" t="n">
        <v>45895</v>
      </c>
      <c r="D5495" t="inlineStr">
        <is>
          <t>NORRBOTTENS LÄN</t>
        </is>
      </c>
      <c r="E5495" t="inlineStr">
        <is>
          <t>GÄLLIVARE</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1513-2025</t>
        </is>
      </c>
      <c r="B5496" s="1" t="n">
        <v>45670.45391203704</v>
      </c>
      <c r="C5496" s="1" t="n">
        <v>45895</v>
      </c>
      <c r="D5496" t="inlineStr">
        <is>
          <t>NORRBOTTENS LÄN</t>
        </is>
      </c>
      <c r="E5496" t="inlineStr">
        <is>
          <t>LULEÅ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33582-2025</t>
        </is>
      </c>
      <c r="B5497" s="1" t="n">
        <v>45841.59421296296</v>
      </c>
      <c r="C5497" s="1" t="n">
        <v>45895</v>
      </c>
      <c r="D5497" t="inlineStr">
        <is>
          <t>NORRBOTTENS LÄN</t>
        </is>
      </c>
      <c r="E5497" t="inlineStr">
        <is>
          <t>KALIX</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39531-2025</t>
        </is>
      </c>
      <c r="B5498" s="1" t="n">
        <v>45890.44831018519</v>
      </c>
      <c r="C5498" s="1" t="n">
        <v>45895</v>
      </c>
      <c r="D5498" t="inlineStr">
        <is>
          <t>NORRBOTTENS LÄN</t>
        </is>
      </c>
      <c r="E5498" t="inlineStr">
        <is>
          <t>LULEÅ</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49361-2023</t>
        </is>
      </c>
      <c r="B5499" s="1" t="n">
        <v>45211.33572916667</v>
      </c>
      <c r="C5499" s="1" t="n">
        <v>45895</v>
      </c>
      <c r="D5499" t="inlineStr">
        <is>
          <t>NORRBOTTENS LÄN</t>
        </is>
      </c>
      <c r="E5499" t="inlineStr">
        <is>
          <t>PITEÅ</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30582-2023</t>
        </is>
      </c>
      <c r="B5500" s="1" t="n">
        <v>45112.32819444445</v>
      </c>
      <c r="C5500" s="1" t="n">
        <v>45895</v>
      </c>
      <c r="D5500" t="inlineStr">
        <is>
          <t>NORRBOTTENS LÄN</t>
        </is>
      </c>
      <c r="E5500" t="inlineStr">
        <is>
          <t>KALIX</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49873-2023</t>
        </is>
      </c>
      <c r="B5501" s="1" t="n">
        <v>45212</v>
      </c>
      <c r="C5501" s="1" t="n">
        <v>45895</v>
      </c>
      <c r="D5501" t="inlineStr">
        <is>
          <t>NORRBOTTENS LÄN</t>
        </is>
      </c>
      <c r="E5501" t="inlineStr">
        <is>
          <t>GÄLLIVARE</t>
        </is>
      </c>
      <c r="F5501" t="inlineStr">
        <is>
          <t>SCA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31220-2023</t>
        </is>
      </c>
      <c r="B5502" s="1" t="n">
        <v>45114</v>
      </c>
      <c r="C5502" s="1" t="n">
        <v>45895</v>
      </c>
      <c r="D5502" t="inlineStr">
        <is>
          <t>NORRBOTTENS LÄN</t>
        </is>
      </c>
      <c r="E5502" t="inlineStr">
        <is>
          <t>ÄLVSBYN</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31226-2023</t>
        </is>
      </c>
      <c r="B5503" s="1" t="n">
        <v>45114</v>
      </c>
      <c r="C5503" s="1" t="n">
        <v>45895</v>
      </c>
      <c r="D5503" t="inlineStr">
        <is>
          <t>NORRBOTTENS LÄN</t>
        </is>
      </c>
      <c r="E5503" t="inlineStr">
        <is>
          <t>BODEN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31236-2023</t>
        </is>
      </c>
      <c r="B5504" s="1" t="n">
        <v>45103</v>
      </c>
      <c r="C5504" s="1" t="n">
        <v>45895</v>
      </c>
      <c r="D5504" t="inlineStr">
        <is>
          <t>NORRBOTTENS LÄN</t>
        </is>
      </c>
      <c r="E5504" t="inlineStr">
        <is>
          <t>HAPARANDA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6958-2025</t>
        </is>
      </c>
      <c r="B5505" s="1" t="n">
        <v>45701.49054398148</v>
      </c>
      <c r="C5505" s="1" t="n">
        <v>45895</v>
      </c>
      <c r="D5505" t="inlineStr">
        <is>
          <t>NORRBOTTENS LÄN</t>
        </is>
      </c>
      <c r="E5505" t="inlineStr">
        <is>
          <t>LULEÅ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39550-2025</t>
        </is>
      </c>
      <c r="B5506" s="1" t="n">
        <v>45890.46265046296</v>
      </c>
      <c r="C5506" s="1" t="n">
        <v>45895</v>
      </c>
      <c r="D5506" t="inlineStr">
        <is>
          <t>NORRBOTTENS LÄN</t>
        </is>
      </c>
      <c r="E5506" t="inlineStr">
        <is>
          <t>LULEÅ</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39600-2025</t>
        </is>
      </c>
      <c r="B5507" s="1" t="n">
        <v>45890.55245370371</v>
      </c>
      <c r="C5507" s="1" t="n">
        <v>45895</v>
      </c>
      <c r="D5507" t="inlineStr">
        <is>
          <t>NORRBOTTENS LÄN</t>
        </is>
      </c>
      <c r="E5507" t="inlineStr">
        <is>
          <t>KALIX</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39261-2025</t>
        </is>
      </c>
      <c r="B5508" s="1" t="n">
        <v>45889.37136574074</v>
      </c>
      <c r="C5508" s="1" t="n">
        <v>45895</v>
      </c>
      <c r="D5508" t="inlineStr">
        <is>
          <t>NORRBOTTENS LÄN</t>
        </is>
      </c>
      <c r="E5508" t="inlineStr">
        <is>
          <t>GÄLLIVARE</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34565-2025</t>
        </is>
      </c>
      <c r="B5509" s="1" t="n">
        <v>45847</v>
      </c>
      <c r="C5509" s="1" t="n">
        <v>45895</v>
      </c>
      <c r="D5509" t="inlineStr">
        <is>
          <t>NORRBOTTENS LÄN</t>
        </is>
      </c>
      <c r="E5509" t="inlineStr">
        <is>
          <t>LULEÅ</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34664-2025</t>
        </is>
      </c>
      <c r="B5510" s="1" t="n">
        <v>45848.37857638889</v>
      </c>
      <c r="C5510" s="1" t="n">
        <v>45895</v>
      </c>
      <c r="D5510" t="inlineStr">
        <is>
          <t>NORRBOTTENS LÄN</t>
        </is>
      </c>
      <c r="E5510" t="inlineStr">
        <is>
          <t>KIRUNA</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34677-2025</t>
        </is>
      </c>
      <c r="B5511" s="1" t="n">
        <v>45848</v>
      </c>
      <c r="C5511" s="1" t="n">
        <v>45895</v>
      </c>
      <c r="D5511" t="inlineStr">
        <is>
          <t>NORRBOTTENS LÄN</t>
        </is>
      </c>
      <c r="E5511" t="inlineStr">
        <is>
          <t>PITEÅ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36839-2023</t>
        </is>
      </c>
      <c r="B5512" s="1" t="n">
        <v>45153</v>
      </c>
      <c r="C5512" s="1" t="n">
        <v>45895</v>
      </c>
      <c r="D5512" t="inlineStr">
        <is>
          <t>NORRBOTTENS LÄN</t>
        </is>
      </c>
      <c r="E5512" t="inlineStr">
        <is>
          <t>ÖVERKALIX</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36962-2023</t>
        </is>
      </c>
      <c r="B5513" s="1" t="n">
        <v>45154.93099537037</v>
      </c>
      <c r="C5513" s="1" t="n">
        <v>45895</v>
      </c>
      <c r="D5513" t="inlineStr">
        <is>
          <t>NORRBOTTENS LÄN</t>
        </is>
      </c>
      <c r="E5513" t="inlineStr">
        <is>
          <t>PAJALA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39299-2025</t>
        </is>
      </c>
      <c r="B5514" s="1" t="n">
        <v>45888</v>
      </c>
      <c r="C5514" s="1" t="n">
        <v>45895</v>
      </c>
      <c r="D5514" t="inlineStr">
        <is>
          <t>NORRBOTTENS LÄN</t>
        </is>
      </c>
      <c r="E5514" t="inlineStr">
        <is>
          <t>ARVIDSJAUR</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34655-2025</t>
        </is>
      </c>
      <c r="B5515" s="1" t="n">
        <v>45847</v>
      </c>
      <c r="C5515" s="1" t="n">
        <v>45895</v>
      </c>
      <c r="D5515" t="inlineStr">
        <is>
          <t>NORRBOTTENS LÄN</t>
        </is>
      </c>
      <c r="E5515" t="inlineStr">
        <is>
          <t>LULEÅ</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34675-2025</t>
        </is>
      </c>
      <c r="B5516" s="1" t="n">
        <v>45848.41678240741</v>
      </c>
      <c r="C5516" s="1" t="n">
        <v>45895</v>
      </c>
      <c r="D5516" t="inlineStr">
        <is>
          <t>NORRBOTTENS LÄN</t>
        </is>
      </c>
      <c r="E5516" t="inlineStr">
        <is>
          <t>PITEÅ</t>
        </is>
      </c>
      <c r="F5516" t="inlineStr">
        <is>
          <t>Sveaskog</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39689-2025</t>
        </is>
      </c>
      <c r="B5517" s="1" t="n">
        <v>45890.67737268518</v>
      </c>
      <c r="C5517" s="1" t="n">
        <v>45895</v>
      </c>
      <c r="D5517" t="inlineStr">
        <is>
          <t>NORRBOTTENS LÄN</t>
        </is>
      </c>
      <c r="E5517" t="inlineStr">
        <is>
          <t>KALIX</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34798-2025</t>
        </is>
      </c>
      <c r="B5518" s="1" t="n">
        <v>45848</v>
      </c>
      <c r="C5518" s="1" t="n">
        <v>45895</v>
      </c>
      <c r="D5518" t="inlineStr">
        <is>
          <t>NORRBOTTENS LÄN</t>
        </is>
      </c>
      <c r="E5518" t="inlineStr">
        <is>
          <t>ÖVERTORNEÅ</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59682-2023</t>
        </is>
      </c>
      <c r="B5519" s="1" t="n">
        <v>45255</v>
      </c>
      <c r="C5519" s="1" t="n">
        <v>45895</v>
      </c>
      <c r="D5519" t="inlineStr">
        <is>
          <t>NORRBOTTENS LÄN</t>
        </is>
      </c>
      <c r="E5519" t="inlineStr">
        <is>
          <t>LULEÅ</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59686-2023</t>
        </is>
      </c>
      <c r="B5520" s="1" t="n">
        <v>45256.40148148148</v>
      </c>
      <c r="C5520" s="1" t="n">
        <v>45895</v>
      </c>
      <c r="D5520" t="inlineStr">
        <is>
          <t>NORRBOTTENS LÄN</t>
        </is>
      </c>
      <c r="E5520" t="inlineStr">
        <is>
          <t>HAPARANDA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39402-2025</t>
        </is>
      </c>
      <c r="B5521" s="1" t="n">
        <v>45889.6356712963</v>
      </c>
      <c r="C5521" s="1" t="n">
        <v>45895</v>
      </c>
      <c r="D5521" t="inlineStr">
        <is>
          <t>NORRBOTTENS LÄN</t>
        </is>
      </c>
      <c r="E5521" t="inlineStr">
        <is>
          <t>ARVIDSJAUR</t>
        </is>
      </c>
      <c r="F5521" t="inlineStr">
        <is>
          <t>Sveaskog</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34539-2025</t>
        </is>
      </c>
      <c r="B5522" s="1" t="n">
        <v>45847.53157407408</v>
      </c>
      <c r="C5522" s="1" t="n">
        <v>45895</v>
      </c>
      <c r="D5522" t="inlineStr">
        <is>
          <t>NORRBOTTENS LÄN</t>
        </is>
      </c>
      <c r="E5522" t="inlineStr">
        <is>
          <t>ÖVERTORNEÅ</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7954-2022</t>
        </is>
      </c>
      <c r="B5523" s="1" t="n">
        <v>44608</v>
      </c>
      <c r="C5523" s="1" t="n">
        <v>45895</v>
      </c>
      <c r="D5523" t="inlineStr">
        <is>
          <t>NORRBOTTENS LÄN</t>
        </is>
      </c>
      <c r="E5523" t="inlineStr">
        <is>
          <t>PAJALA</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27270-2022</t>
        </is>
      </c>
      <c r="B5524" s="1" t="n">
        <v>44741</v>
      </c>
      <c r="C5524" s="1" t="n">
        <v>45895</v>
      </c>
      <c r="D5524" t="inlineStr">
        <is>
          <t>NORRBOTTENS LÄN</t>
        </is>
      </c>
      <c r="E5524" t="inlineStr">
        <is>
          <t>PITEÅ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34663-2025</t>
        </is>
      </c>
      <c r="B5525" s="1" t="n">
        <v>45848.37454861111</v>
      </c>
      <c r="C5525" s="1" t="n">
        <v>45895</v>
      </c>
      <c r="D5525" t="inlineStr">
        <is>
          <t>NORRBOTTENS LÄN</t>
        </is>
      </c>
      <c r="E5525" t="inlineStr">
        <is>
          <t>KIRUNA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708-2022</t>
        </is>
      </c>
      <c r="B5526" s="1" t="n">
        <v>44566</v>
      </c>
      <c r="C5526" s="1" t="n">
        <v>45895</v>
      </c>
      <c r="D5526" t="inlineStr">
        <is>
          <t>NORRBOTTENS LÄN</t>
        </is>
      </c>
      <c r="E5526" t="inlineStr">
        <is>
          <t>BODEN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32519-2023</t>
        </is>
      </c>
      <c r="B5527" s="1" t="n">
        <v>45121.36568287037</v>
      </c>
      <c r="C5527" s="1" t="n">
        <v>45895</v>
      </c>
      <c r="D5527" t="inlineStr">
        <is>
          <t>NORRBOTTENS LÄN</t>
        </is>
      </c>
      <c r="E5527" t="inlineStr">
        <is>
          <t>PAJALA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27676-2023</t>
        </is>
      </c>
      <c r="B5528" s="1" t="n">
        <v>45097.92392361111</v>
      </c>
      <c r="C5528" s="1" t="n">
        <v>45895</v>
      </c>
      <c r="D5528" t="inlineStr">
        <is>
          <t>NORRBOTTENS LÄN</t>
        </is>
      </c>
      <c r="E5528" t="inlineStr">
        <is>
          <t>PITEÅ</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39303-2025</t>
        </is>
      </c>
      <c r="B5529" s="1" t="n">
        <v>45889.44988425926</v>
      </c>
      <c r="C5529" s="1" t="n">
        <v>45895</v>
      </c>
      <c r="D5529" t="inlineStr">
        <is>
          <t>NORRBOTTENS LÄN</t>
        </is>
      </c>
      <c r="E5529" t="inlineStr">
        <is>
          <t>ÖVERTORNEÅ</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39269-2025</t>
        </is>
      </c>
      <c r="B5530" s="1" t="n">
        <v>45889.38579861111</v>
      </c>
      <c r="C5530" s="1" t="n">
        <v>45895</v>
      </c>
      <c r="D5530" t="inlineStr">
        <is>
          <t>NORRBOTTENS LÄN</t>
        </is>
      </c>
      <c r="E5530" t="inlineStr">
        <is>
          <t>LULEÅ</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39300-2025</t>
        </is>
      </c>
      <c r="B5531" s="1" t="n">
        <v>45888</v>
      </c>
      <c r="C5531" s="1" t="n">
        <v>45895</v>
      </c>
      <c r="D5531" t="inlineStr">
        <is>
          <t>NORRBOTTENS LÄN</t>
        </is>
      </c>
      <c r="E5531" t="inlineStr">
        <is>
          <t>ARVIDSJAUR</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58506-2024</t>
        </is>
      </c>
      <c r="B5532" s="1" t="n">
        <v>45635.41770833333</v>
      </c>
      <c r="C5532" s="1" t="n">
        <v>45895</v>
      </c>
      <c r="D5532" t="inlineStr">
        <is>
          <t>NORRBOTTENS LÄN</t>
        </is>
      </c>
      <c r="E5532" t="inlineStr">
        <is>
          <t>BODEN</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3500-2023</t>
        </is>
      </c>
      <c r="B5533" s="1" t="n">
        <v>44949.9250925926</v>
      </c>
      <c r="C5533" s="1" t="n">
        <v>45895</v>
      </c>
      <c r="D5533" t="inlineStr">
        <is>
          <t>NORRBOTTENS LÄN</t>
        </is>
      </c>
      <c r="E5533" t="inlineStr">
        <is>
          <t>ÄLVSBYN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4254-2025</t>
        </is>
      </c>
      <c r="B5534" s="1" t="n">
        <v>45685</v>
      </c>
      <c r="C5534" s="1" t="n">
        <v>45895</v>
      </c>
      <c r="D5534" t="inlineStr">
        <is>
          <t>NORRBOTTENS LÄN</t>
        </is>
      </c>
      <c r="E5534" t="inlineStr">
        <is>
          <t>BODEN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60508-2023</t>
        </is>
      </c>
      <c r="B5535" s="1" t="n">
        <v>45259.64317129629</v>
      </c>
      <c r="C5535" s="1" t="n">
        <v>45895</v>
      </c>
      <c r="D5535" t="inlineStr">
        <is>
          <t>NORRBOTTENS LÄN</t>
        </is>
      </c>
      <c r="E5535" t="inlineStr">
        <is>
          <t>KALIX</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5650-2024</t>
        </is>
      </c>
      <c r="B5536" s="1" t="n">
        <v>45334</v>
      </c>
      <c r="C5536" s="1" t="n">
        <v>45895</v>
      </c>
      <c r="D5536" t="inlineStr">
        <is>
          <t>NORRBOTTENS LÄN</t>
        </is>
      </c>
      <c r="E5536" t="inlineStr">
        <is>
          <t>ÄLVSBYN</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6437-2025</t>
        </is>
      </c>
      <c r="B5537" s="1" t="n">
        <v>45699</v>
      </c>
      <c r="C5537" s="1" t="n">
        <v>45895</v>
      </c>
      <c r="D5537" t="inlineStr">
        <is>
          <t>NORRBOTTENS LÄN</t>
        </is>
      </c>
      <c r="E5537" t="inlineStr">
        <is>
          <t>JOKKMOKK</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39638-2025</t>
        </is>
      </c>
      <c r="B5538" s="1" t="n">
        <v>45890.60027777778</v>
      </c>
      <c r="C5538" s="1" t="n">
        <v>45895</v>
      </c>
      <c r="D5538" t="inlineStr">
        <is>
          <t>NORRBOTTENS LÄN</t>
        </is>
      </c>
      <c r="E5538" t="inlineStr">
        <is>
          <t>GÄLLIVARE</t>
        </is>
      </c>
      <c r="F5538" t="inlineStr">
        <is>
          <t>Sveaskog</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39644-2025</t>
        </is>
      </c>
      <c r="B5539" s="1" t="n">
        <v>45890.61241898148</v>
      </c>
      <c r="C5539" s="1" t="n">
        <v>45895</v>
      </c>
      <c r="D5539" t="inlineStr">
        <is>
          <t>NORRBOTTENS LÄN</t>
        </is>
      </c>
      <c r="E5539" t="inlineStr">
        <is>
          <t>LULEÅ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39511-2025</t>
        </is>
      </c>
      <c r="B5540" s="1" t="n">
        <v>45890.40740740741</v>
      </c>
      <c r="C5540" s="1" t="n">
        <v>45895</v>
      </c>
      <c r="D5540" t="inlineStr">
        <is>
          <t>NORRBOTTENS LÄN</t>
        </is>
      </c>
      <c r="E5540" t="inlineStr">
        <is>
          <t>PITEÅ</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39518-2025</t>
        </is>
      </c>
      <c r="B5541" s="1" t="n">
        <v>45890.42737268518</v>
      </c>
      <c r="C5541" s="1" t="n">
        <v>45895</v>
      </c>
      <c r="D5541" t="inlineStr">
        <is>
          <t>NORRBOTTENS LÄN</t>
        </is>
      </c>
      <c r="E5541" t="inlineStr">
        <is>
          <t>PITEÅ</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36202-2021</t>
        </is>
      </c>
      <c r="B5542" s="1" t="n">
        <v>44389</v>
      </c>
      <c r="C5542" s="1" t="n">
        <v>45895</v>
      </c>
      <c r="D5542" t="inlineStr">
        <is>
          <t>NORRBOTTENS LÄN</t>
        </is>
      </c>
      <c r="E5542" t="inlineStr">
        <is>
          <t>ÖVERTORNEÅ</t>
        </is>
      </c>
      <c r="F5542" t="inlineStr">
        <is>
          <t>Sveaskog</t>
        </is>
      </c>
      <c r="G5542" t="n">
        <v>34.9</v>
      </c>
      <c r="H5542" t="n">
        <v>0</v>
      </c>
      <c r="I5542" t="n">
        <v>0</v>
      </c>
      <c r="J5542" t="n">
        <v>0</v>
      </c>
      <c r="K5542" t="n">
        <v>0</v>
      </c>
      <c r="L5542" t="n">
        <v>0</v>
      </c>
      <c r="M5542" t="n">
        <v>0</v>
      </c>
      <c r="N5542" t="n">
        <v>0</v>
      </c>
      <c r="O5542" t="n">
        <v>0</v>
      </c>
      <c r="P5542" t="n">
        <v>0</v>
      </c>
      <c r="Q5542" t="n">
        <v>0</v>
      </c>
      <c r="R5542" s="2" t="inlineStr"/>
    </row>
    <row r="5543" ht="15" customHeight="1">
      <c r="A5543" t="inlineStr">
        <is>
          <t>A 25871-2022</t>
        </is>
      </c>
      <c r="B5543" s="1" t="n">
        <v>44733.64865740741</v>
      </c>
      <c r="C5543" s="1" t="n">
        <v>45895</v>
      </c>
      <c r="D5543" t="inlineStr">
        <is>
          <t>NORRBOTTENS LÄN</t>
        </is>
      </c>
      <c r="E5543" t="inlineStr">
        <is>
          <t>KALIX</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37635-2025</t>
        </is>
      </c>
      <c r="B5544" s="1" t="n">
        <v>45880</v>
      </c>
      <c r="C5544" s="1" t="n">
        <v>45895</v>
      </c>
      <c r="D5544" t="inlineStr">
        <is>
          <t>NORRBOTTENS LÄN</t>
        </is>
      </c>
      <c r="E5544" t="inlineStr">
        <is>
          <t>PITEÅ</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49127-2023</t>
        </is>
      </c>
      <c r="B5545" s="1" t="n">
        <v>45210</v>
      </c>
      <c r="C5545" s="1" t="n">
        <v>45895</v>
      </c>
      <c r="D5545" t="inlineStr">
        <is>
          <t>NORRBOTTENS LÄN</t>
        </is>
      </c>
      <c r="E5545" t="inlineStr">
        <is>
          <t>BODEN</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9474-2021</t>
        </is>
      </c>
      <c r="B5546" s="1" t="n">
        <v>44251</v>
      </c>
      <c r="C5546" s="1" t="n">
        <v>45895</v>
      </c>
      <c r="D5546" t="inlineStr">
        <is>
          <t>NORRBOTTENS LÄN</t>
        </is>
      </c>
      <c r="E5546" t="inlineStr">
        <is>
          <t>HAPARANDA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50526-2020</t>
        </is>
      </c>
      <c r="B5547" s="1" t="n">
        <v>44110</v>
      </c>
      <c r="C5547" s="1" t="n">
        <v>45895</v>
      </c>
      <c r="D5547" t="inlineStr">
        <is>
          <t>NORRBOTTENS LÄN</t>
        </is>
      </c>
      <c r="E5547" t="inlineStr">
        <is>
          <t>BODEN</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49216-2023</t>
        </is>
      </c>
      <c r="B5548" s="1" t="n">
        <v>45210.61107638889</v>
      </c>
      <c r="C5548" s="1" t="n">
        <v>45895</v>
      </c>
      <c r="D5548" t="inlineStr">
        <is>
          <t>NORRBOTTENS LÄN</t>
        </is>
      </c>
      <c r="E5548" t="inlineStr">
        <is>
          <t>KALIX</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59788-2024</t>
        </is>
      </c>
      <c r="B5549" s="1" t="n">
        <v>45639.58282407407</v>
      </c>
      <c r="C5549" s="1" t="n">
        <v>45895</v>
      </c>
      <c r="D5549" t="inlineStr">
        <is>
          <t>NORRBOTTENS LÄN</t>
        </is>
      </c>
      <c r="E5549" t="inlineStr">
        <is>
          <t>JOKKMOKK</t>
        </is>
      </c>
      <c r="F5549" t="inlineStr">
        <is>
          <t>Sveaskog</t>
        </is>
      </c>
      <c r="G5549" t="n">
        <v>11.4</v>
      </c>
      <c r="H5549" t="n">
        <v>0</v>
      </c>
      <c r="I5549" t="n">
        <v>0</v>
      </c>
      <c r="J5549" t="n">
        <v>0</v>
      </c>
      <c r="K5549" t="n">
        <v>0</v>
      </c>
      <c r="L5549" t="n">
        <v>0</v>
      </c>
      <c r="M5549" t="n">
        <v>0</v>
      </c>
      <c r="N5549" t="n">
        <v>0</v>
      </c>
      <c r="O5549" t="n">
        <v>0</v>
      </c>
      <c r="P5549" t="n">
        <v>0</v>
      </c>
      <c r="Q5549" t="n">
        <v>0</v>
      </c>
      <c r="R5549" s="2" t="inlineStr"/>
    </row>
    <row r="5550" ht="15" customHeight="1">
      <c r="A5550" t="inlineStr">
        <is>
          <t>A 39658-2025</t>
        </is>
      </c>
      <c r="B5550" s="1" t="n">
        <v>45890.62925925926</v>
      </c>
      <c r="C5550" s="1" t="n">
        <v>45895</v>
      </c>
      <c r="D5550" t="inlineStr">
        <is>
          <t>NORRBOTTENS LÄN</t>
        </is>
      </c>
      <c r="E5550" t="inlineStr">
        <is>
          <t>ÖVERKALIX</t>
        </is>
      </c>
      <c r="F5550" t="inlineStr">
        <is>
          <t>Sveaskog</t>
        </is>
      </c>
      <c r="G5550" t="n">
        <v>13.4</v>
      </c>
      <c r="H5550" t="n">
        <v>0</v>
      </c>
      <c r="I5550" t="n">
        <v>0</v>
      </c>
      <c r="J5550" t="n">
        <v>0</v>
      </c>
      <c r="K5550" t="n">
        <v>0</v>
      </c>
      <c r="L5550" t="n">
        <v>0</v>
      </c>
      <c r="M5550" t="n">
        <v>0</v>
      </c>
      <c r="N5550" t="n">
        <v>0</v>
      </c>
      <c r="O5550" t="n">
        <v>0</v>
      </c>
      <c r="P5550" t="n">
        <v>0</v>
      </c>
      <c r="Q5550" t="n">
        <v>0</v>
      </c>
      <c r="R5550" s="2" t="inlineStr"/>
    </row>
    <row r="5551" ht="15" customHeight="1">
      <c r="A5551" t="inlineStr">
        <is>
          <t>A 11615-2025</t>
        </is>
      </c>
      <c r="B5551" s="1" t="n">
        <v>45726</v>
      </c>
      <c r="C5551" s="1" t="n">
        <v>45895</v>
      </c>
      <c r="D5551" t="inlineStr">
        <is>
          <t>NORRBOTTENS LÄN</t>
        </is>
      </c>
      <c r="E5551" t="inlineStr">
        <is>
          <t>ARVIDSJAUR</t>
        </is>
      </c>
      <c r="F5551" t="inlineStr">
        <is>
          <t>Allmännings- och besparingsskogar</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11623-2025</t>
        </is>
      </c>
      <c r="B5552" s="1" t="n">
        <v>45726</v>
      </c>
      <c r="C5552" s="1" t="n">
        <v>45895</v>
      </c>
      <c r="D5552" t="inlineStr">
        <is>
          <t>NORRBOTTENS LÄN</t>
        </is>
      </c>
      <c r="E5552" t="inlineStr">
        <is>
          <t>ARVIDSJAUR</t>
        </is>
      </c>
      <c r="F5552" t="inlineStr">
        <is>
          <t>Allmännings- och besparingsskogar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11626-2025</t>
        </is>
      </c>
      <c r="B5553" s="1" t="n">
        <v>45726</v>
      </c>
      <c r="C5553" s="1" t="n">
        <v>45895</v>
      </c>
      <c r="D5553" t="inlineStr">
        <is>
          <t>NORRBOTTENS LÄN</t>
        </is>
      </c>
      <c r="E5553" t="inlineStr">
        <is>
          <t>ARVIDSJAUR</t>
        </is>
      </c>
      <c r="F5553" t="inlineStr">
        <is>
          <t>Allmännings- och besparingsskogar</t>
        </is>
      </c>
      <c r="G5553" t="n">
        <v>11.3</v>
      </c>
      <c r="H5553" t="n">
        <v>0</v>
      </c>
      <c r="I5553" t="n">
        <v>0</v>
      </c>
      <c r="J5553" t="n">
        <v>0</v>
      </c>
      <c r="K5553" t="n">
        <v>0</v>
      </c>
      <c r="L5553" t="n">
        <v>0</v>
      </c>
      <c r="M5553" t="n">
        <v>0</v>
      </c>
      <c r="N5553" t="n">
        <v>0</v>
      </c>
      <c r="O5553" t="n">
        <v>0</v>
      </c>
      <c r="P5553" t="n">
        <v>0</v>
      </c>
      <c r="Q5553" t="n">
        <v>0</v>
      </c>
      <c r="R5553" s="2" t="inlineStr"/>
    </row>
    <row r="5554" ht="15" customHeight="1">
      <c r="A5554" t="inlineStr">
        <is>
          <t>A 37791-2024</t>
        </is>
      </c>
      <c r="B5554" s="1" t="n">
        <v>45543.34873842593</v>
      </c>
      <c r="C5554" s="1" t="n">
        <v>45895</v>
      </c>
      <c r="D5554" t="inlineStr">
        <is>
          <t>NORRBOTTENS LÄN</t>
        </is>
      </c>
      <c r="E5554" t="inlineStr">
        <is>
          <t>BODEN</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59832-2024</t>
        </is>
      </c>
      <c r="B5555" s="1" t="n">
        <v>45639</v>
      </c>
      <c r="C5555" s="1" t="n">
        <v>45895</v>
      </c>
      <c r="D5555" t="inlineStr">
        <is>
          <t>NORRBOTTENS LÄN</t>
        </is>
      </c>
      <c r="E5555" t="inlineStr">
        <is>
          <t>ÖVERKALIX</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10049-2025</t>
        </is>
      </c>
      <c r="B5556" s="1" t="n">
        <v>45719.51630787037</v>
      </c>
      <c r="C5556" s="1" t="n">
        <v>45895</v>
      </c>
      <c r="D5556" t="inlineStr">
        <is>
          <t>NORRBOTTENS LÄN</t>
        </is>
      </c>
      <c r="E5556" t="inlineStr">
        <is>
          <t>KALIX</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39397-2025</t>
        </is>
      </c>
      <c r="B5557" s="1" t="n">
        <v>45889.63354166667</v>
      </c>
      <c r="C5557" s="1" t="n">
        <v>45895</v>
      </c>
      <c r="D5557" t="inlineStr">
        <is>
          <t>NORRBOTTENS LÄN</t>
        </is>
      </c>
      <c r="E5557" t="inlineStr">
        <is>
          <t>ARVIDSJAUR</t>
        </is>
      </c>
      <c r="F5557" t="inlineStr">
        <is>
          <t>Sveaskog</t>
        </is>
      </c>
      <c r="G5557" t="n">
        <v>9.9</v>
      </c>
      <c r="H5557" t="n">
        <v>0</v>
      </c>
      <c r="I5557" t="n">
        <v>0</v>
      </c>
      <c r="J5557" t="n">
        <v>0</v>
      </c>
      <c r="K5557" t="n">
        <v>0</v>
      </c>
      <c r="L5557" t="n">
        <v>0</v>
      </c>
      <c r="M5557" t="n">
        <v>0</v>
      </c>
      <c r="N5557" t="n">
        <v>0</v>
      </c>
      <c r="O5557" t="n">
        <v>0</v>
      </c>
      <c r="P5557" t="n">
        <v>0</v>
      </c>
      <c r="Q5557" t="n">
        <v>0</v>
      </c>
      <c r="R5557" s="2" t="inlineStr"/>
    </row>
    <row r="5558" ht="15" customHeight="1">
      <c r="A5558" t="inlineStr">
        <is>
          <t>A 36391-2023</t>
        </is>
      </c>
      <c r="B5558" s="1" t="n">
        <v>45152</v>
      </c>
      <c r="C5558" s="1" t="n">
        <v>45895</v>
      </c>
      <c r="D5558" t="inlineStr">
        <is>
          <t>NORRBOTTENS LÄN</t>
        </is>
      </c>
      <c r="E5558" t="inlineStr">
        <is>
          <t>PAJALA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36443-2023</t>
        </is>
      </c>
      <c r="B5559" s="1" t="n">
        <v>45152</v>
      </c>
      <c r="C5559" s="1" t="n">
        <v>45895</v>
      </c>
      <c r="D5559" t="inlineStr">
        <is>
          <t>NORRBOTTENS LÄN</t>
        </is>
      </c>
      <c r="E5559" t="inlineStr">
        <is>
          <t>ARVIDSJAUR</t>
        </is>
      </c>
      <c r="F5559" t="inlineStr">
        <is>
          <t>Sveaskog</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55540-2022</t>
        </is>
      </c>
      <c r="B5560" s="1" t="n">
        <v>44887</v>
      </c>
      <c r="C5560" s="1" t="n">
        <v>45895</v>
      </c>
      <c r="D5560" t="inlineStr">
        <is>
          <t>NORRBOTTENS LÄN</t>
        </is>
      </c>
      <c r="E5560" t="inlineStr">
        <is>
          <t>BODEN</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8858-2024</t>
        </is>
      </c>
      <c r="B5561" s="1" t="n">
        <v>45356</v>
      </c>
      <c r="C5561" s="1" t="n">
        <v>45895</v>
      </c>
      <c r="D5561" t="inlineStr">
        <is>
          <t>NORRBOTTENS LÄN</t>
        </is>
      </c>
      <c r="E5561" t="inlineStr">
        <is>
          <t>PAJALA</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10596-2025</t>
        </is>
      </c>
      <c r="B5562" s="1" t="n">
        <v>45721</v>
      </c>
      <c r="C5562" s="1" t="n">
        <v>45895</v>
      </c>
      <c r="D5562" t="inlineStr">
        <is>
          <t>NORRBOTTENS LÄN</t>
        </is>
      </c>
      <c r="E5562" t="inlineStr">
        <is>
          <t>JOKKMOKK</t>
        </is>
      </c>
      <c r="G5562" t="n">
        <v>17.7</v>
      </c>
      <c r="H5562" t="n">
        <v>0</v>
      </c>
      <c r="I5562" t="n">
        <v>0</v>
      </c>
      <c r="J5562" t="n">
        <v>0</v>
      </c>
      <c r="K5562" t="n">
        <v>0</v>
      </c>
      <c r="L5562" t="n">
        <v>0</v>
      </c>
      <c r="M5562" t="n">
        <v>0</v>
      </c>
      <c r="N5562" t="n">
        <v>0</v>
      </c>
      <c r="O5562" t="n">
        <v>0</v>
      </c>
      <c r="P5562" t="n">
        <v>0</v>
      </c>
      <c r="Q5562" t="n">
        <v>0</v>
      </c>
      <c r="R5562" s="2" t="inlineStr"/>
    </row>
    <row r="5563" ht="15" customHeight="1">
      <c r="A5563" t="inlineStr">
        <is>
          <t>A 23744-2023</t>
        </is>
      </c>
      <c r="B5563" s="1" t="n">
        <v>45077.82532407407</v>
      </c>
      <c r="C5563" s="1" t="n">
        <v>45895</v>
      </c>
      <c r="D5563" t="inlineStr">
        <is>
          <t>NORRBOTTENS LÄN</t>
        </is>
      </c>
      <c r="E5563" t="inlineStr">
        <is>
          <t>LULEÅ</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39413-2025</t>
        </is>
      </c>
      <c r="B5564" s="1" t="n">
        <v>45889.65671296296</v>
      </c>
      <c r="C5564" s="1" t="n">
        <v>45895</v>
      </c>
      <c r="D5564" t="inlineStr">
        <is>
          <t>NORRBOTTENS LÄN</t>
        </is>
      </c>
      <c r="E5564" t="inlineStr">
        <is>
          <t>GÄLLIVARE</t>
        </is>
      </c>
      <c r="F5564" t="inlineStr">
        <is>
          <t>SCA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39440-2025</t>
        </is>
      </c>
      <c r="B5565" s="1" t="n">
        <v>45889.68805555555</v>
      </c>
      <c r="C5565" s="1" t="n">
        <v>45895</v>
      </c>
      <c r="D5565" t="inlineStr">
        <is>
          <t>NORRBOTTENS LÄN</t>
        </is>
      </c>
      <c r="E5565" t="inlineStr">
        <is>
          <t>GÄLLIVARE</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19928-2023</t>
        </is>
      </c>
      <c r="B5566" s="1" t="n">
        <v>45054</v>
      </c>
      <c r="C5566" s="1" t="n">
        <v>45895</v>
      </c>
      <c r="D5566" t="inlineStr">
        <is>
          <t>NORRBOTTENS LÄN</t>
        </is>
      </c>
      <c r="E5566" t="inlineStr">
        <is>
          <t>PAJALA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59886-2024</t>
        </is>
      </c>
      <c r="B5567" s="1" t="n">
        <v>45641.52986111111</v>
      </c>
      <c r="C5567" s="1" t="n">
        <v>45895</v>
      </c>
      <c r="D5567" t="inlineStr">
        <is>
          <t>NORRBOTTENS LÄN</t>
        </is>
      </c>
      <c r="E5567" t="inlineStr">
        <is>
          <t>KALIX</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11477-2022</t>
        </is>
      </c>
      <c r="B5568" s="1" t="n">
        <v>44630.92287037037</v>
      </c>
      <c r="C5568" s="1" t="n">
        <v>45895</v>
      </c>
      <c r="D5568" t="inlineStr">
        <is>
          <t>NORRBOTTENS LÄN</t>
        </is>
      </c>
      <c r="E5568" t="inlineStr">
        <is>
          <t>ÄLVSBYN</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6459-2023</t>
        </is>
      </c>
      <c r="B5569" s="1" t="n">
        <v>44965</v>
      </c>
      <c r="C5569" s="1" t="n">
        <v>45895</v>
      </c>
      <c r="D5569" t="inlineStr">
        <is>
          <t>NORRBOTTENS LÄN</t>
        </is>
      </c>
      <c r="E5569" t="inlineStr">
        <is>
          <t>GÄLLIVARE</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59697-2024</t>
        </is>
      </c>
      <c r="B5570" s="1" t="n">
        <v>45639</v>
      </c>
      <c r="C5570" s="1" t="n">
        <v>45895</v>
      </c>
      <c r="D5570" t="inlineStr">
        <is>
          <t>NORRBOTTENS LÄN</t>
        </is>
      </c>
      <c r="E5570" t="inlineStr">
        <is>
          <t>GÄLLIVARE</t>
        </is>
      </c>
      <c r="F5570" t="inlineStr">
        <is>
          <t>Sveaskog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467-2022</t>
        </is>
      </c>
      <c r="B5571" s="1" t="n">
        <v>44565</v>
      </c>
      <c r="C5571" s="1" t="n">
        <v>45895</v>
      </c>
      <c r="D5571" t="inlineStr">
        <is>
          <t>NORRBOTTENS LÄN</t>
        </is>
      </c>
      <c r="E5571" t="inlineStr">
        <is>
          <t>BODEN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35051-2023</t>
        </is>
      </c>
      <c r="B5572" s="1" t="n">
        <v>45145.38618055556</v>
      </c>
      <c r="C5572" s="1" t="n">
        <v>45895</v>
      </c>
      <c r="D5572" t="inlineStr">
        <is>
          <t>NORRBOTTENS LÄN</t>
        </is>
      </c>
      <c r="E5572" t="inlineStr">
        <is>
          <t>KALIX</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34733-2025</t>
        </is>
      </c>
      <c r="B5573" s="1" t="n">
        <v>45848.59751157407</v>
      </c>
      <c r="C5573" s="1" t="n">
        <v>45895</v>
      </c>
      <c r="D5573" t="inlineStr">
        <is>
          <t>NORRBOTTENS LÄN</t>
        </is>
      </c>
      <c r="E5573" t="inlineStr">
        <is>
          <t>PITEÅ</t>
        </is>
      </c>
      <c r="F5573" t="inlineStr">
        <is>
          <t>Sveaskog</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39504-2025</t>
        </is>
      </c>
      <c r="B5574" s="1" t="n">
        <v>45890.40673611111</v>
      </c>
      <c r="C5574" s="1" t="n">
        <v>45895</v>
      </c>
      <c r="D5574" t="inlineStr">
        <is>
          <t>NORRBOTTENS LÄN</t>
        </is>
      </c>
      <c r="E5574" t="inlineStr">
        <is>
          <t>GÄLLIVARE</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40104-2025</t>
        </is>
      </c>
      <c r="B5575" s="1" t="n">
        <v>45894.4883449074</v>
      </c>
      <c r="C5575" s="1" t="n">
        <v>45895</v>
      </c>
      <c r="D5575" t="inlineStr">
        <is>
          <t>NORRBOTTENS LÄN</t>
        </is>
      </c>
      <c r="E5575" t="inlineStr">
        <is>
          <t>HAPARANDA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9274-2023</t>
        </is>
      </c>
      <c r="B5576" s="1" t="n">
        <v>44977</v>
      </c>
      <c r="C5576" s="1" t="n">
        <v>45895</v>
      </c>
      <c r="D5576" t="inlineStr">
        <is>
          <t>NORRBOTTENS LÄN</t>
        </is>
      </c>
      <c r="E5576" t="inlineStr">
        <is>
          <t>LULEÅ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9278-2023</t>
        </is>
      </c>
      <c r="B5577" s="1" t="n">
        <v>44977</v>
      </c>
      <c r="C5577" s="1" t="n">
        <v>45895</v>
      </c>
      <c r="D5577" t="inlineStr">
        <is>
          <t>NORRBOTTENS LÄN</t>
        </is>
      </c>
      <c r="E5577" t="inlineStr">
        <is>
          <t>LULEÅ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64237-2023</t>
        </is>
      </c>
      <c r="B5578" s="1" t="n">
        <v>45279.92658564815</v>
      </c>
      <c r="C5578" s="1" t="n">
        <v>45895</v>
      </c>
      <c r="D5578" t="inlineStr">
        <is>
          <t>NORRBOTTENS LÄN</t>
        </is>
      </c>
      <c r="E5578" t="inlineStr">
        <is>
          <t>GÄLLIVARE</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61159-2023</t>
        </is>
      </c>
      <c r="B5579" s="1" t="n">
        <v>45262</v>
      </c>
      <c r="C5579" s="1" t="n">
        <v>45895</v>
      </c>
      <c r="D5579" t="inlineStr">
        <is>
          <t>NORRBOTTENS LÄN</t>
        </is>
      </c>
      <c r="E5579" t="inlineStr">
        <is>
          <t>PITEÅ</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6825-2023</t>
        </is>
      </c>
      <c r="B5580" s="1" t="n">
        <v>44967.40280092593</v>
      </c>
      <c r="C5580" s="1" t="n">
        <v>45895</v>
      </c>
      <c r="D5580" t="inlineStr">
        <is>
          <t>NORRBOTTENS LÄN</t>
        </is>
      </c>
      <c r="E5580" t="inlineStr">
        <is>
          <t>ÄLVSBYN</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16631-2025</t>
        </is>
      </c>
      <c r="B5581" s="1" t="n">
        <v>45751</v>
      </c>
      <c r="C5581" s="1" t="n">
        <v>45895</v>
      </c>
      <c r="D5581" t="inlineStr">
        <is>
          <t>NORRBOTTENS LÄN</t>
        </is>
      </c>
      <c r="E5581" t="inlineStr">
        <is>
          <t>HAPARANDA</t>
        </is>
      </c>
      <c r="G5581" t="n">
        <v>10.8</v>
      </c>
      <c r="H5581" t="n">
        <v>0</v>
      </c>
      <c r="I5581" t="n">
        <v>0</v>
      </c>
      <c r="J5581" t="n">
        <v>0</v>
      </c>
      <c r="K5581" t="n">
        <v>0</v>
      </c>
      <c r="L5581" t="n">
        <v>0</v>
      </c>
      <c r="M5581" t="n">
        <v>0</v>
      </c>
      <c r="N5581" t="n">
        <v>0</v>
      </c>
      <c r="O5581" t="n">
        <v>0</v>
      </c>
      <c r="P5581" t="n">
        <v>0</v>
      </c>
      <c r="Q5581" t="n">
        <v>0</v>
      </c>
      <c r="R5581" s="2" t="inlineStr"/>
    </row>
    <row r="5582" ht="15" customHeight="1">
      <c r="A5582" t="inlineStr">
        <is>
          <t>A 40146-2025</t>
        </is>
      </c>
      <c r="B5582" s="1" t="n">
        <v>45894</v>
      </c>
      <c r="C5582" s="1" t="n">
        <v>45895</v>
      </c>
      <c r="D5582" t="inlineStr">
        <is>
          <t>NORRBOTTENS LÄN</t>
        </is>
      </c>
      <c r="E5582" t="inlineStr">
        <is>
          <t>GÄLLIVARE</t>
        </is>
      </c>
      <c r="F5582" t="inlineStr">
        <is>
          <t>Allmännings- och besparingsskogar</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36861-2025</t>
        </is>
      </c>
      <c r="B5583" s="1" t="n">
        <v>45874</v>
      </c>
      <c r="C5583" s="1" t="n">
        <v>45895</v>
      </c>
      <c r="D5583" t="inlineStr">
        <is>
          <t>NORRBOTTENS LÄN</t>
        </is>
      </c>
      <c r="E5583" t="inlineStr">
        <is>
          <t>ÄLVSBYN</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34701-2024</t>
        </is>
      </c>
      <c r="B5584" s="1" t="n">
        <v>45526</v>
      </c>
      <c r="C5584" s="1" t="n">
        <v>45895</v>
      </c>
      <c r="D5584" t="inlineStr">
        <is>
          <t>NORRBOTTENS LÄN</t>
        </is>
      </c>
      <c r="E5584" t="inlineStr">
        <is>
          <t>ÖVERTORNEÅ</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34984-2025</t>
        </is>
      </c>
      <c r="B5585" s="1" t="n">
        <v>45849.75715277778</v>
      </c>
      <c r="C5585" s="1" t="n">
        <v>45895</v>
      </c>
      <c r="D5585" t="inlineStr">
        <is>
          <t>NORRBOTTENS LÄN</t>
        </is>
      </c>
      <c r="E5585" t="inlineStr">
        <is>
          <t>PAJALA</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35040-2025</t>
        </is>
      </c>
      <c r="B5586" s="1" t="n">
        <v>45852.34420138889</v>
      </c>
      <c r="C5586" s="1" t="n">
        <v>45895</v>
      </c>
      <c r="D5586" t="inlineStr">
        <is>
          <t>NORRBOTTENS LÄN</t>
        </is>
      </c>
      <c r="E5586" t="inlineStr">
        <is>
          <t>JOKKMOKK</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54616-2023</t>
        </is>
      </c>
      <c r="B5587" s="1" t="n">
        <v>45233.95826388889</v>
      </c>
      <c r="C5587" s="1" t="n">
        <v>45895</v>
      </c>
      <c r="D5587" t="inlineStr">
        <is>
          <t>NORRBOTTENS LÄN</t>
        </is>
      </c>
      <c r="E5587" t="inlineStr">
        <is>
          <t>BODEN</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52407-2021</t>
        </is>
      </c>
      <c r="B5588" s="1" t="n">
        <v>44463</v>
      </c>
      <c r="C5588" s="1" t="n">
        <v>45895</v>
      </c>
      <c r="D5588" t="inlineStr">
        <is>
          <t>NORRBOTTENS LÄN</t>
        </is>
      </c>
      <c r="E5588" t="inlineStr">
        <is>
          <t>ARVIDSJAUR</t>
        </is>
      </c>
      <c r="G5588" t="n">
        <v>10.3</v>
      </c>
      <c r="H5588" t="n">
        <v>0</v>
      </c>
      <c r="I5588" t="n">
        <v>0</v>
      </c>
      <c r="J5588" t="n">
        <v>0</v>
      </c>
      <c r="K5588" t="n">
        <v>0</v>
      </c>
      <c r="L5588" t="n">
        <v>0</v>
      </c>
      <c r="M5588" t="n">
        <v>0</v>
      </c>
      <c r="N5588" t="n">
        <v>0</v>
      </c>
      <c r="O5588" t="n">
        <v>0</v>
      </c>
      <c r="P5588" t="n">
        <v>0</v>
      </c>
      <c r="Q5588" t="n">
        <v>0</v>
      </c>
      <c r="R5588" s="2" t="inlineStr"/>
    </row>
    <row r="5589" ht="15" customHeight="1">
      <c r="A5589" t="inlineStr">
        <is>
          <t>A 38079-2025</t>
        </is>
      </c>
      <c r="B5589" s="1" t="n">
        <v>45882</v>
      </c>
      <c r="C5589" s="1" t="n">
        <v>45895</v>
      </c>
      <c r="D5589" t="inlineStr">
        <is>
          <t>NORRBOTTENS LÄN</t>
        </is>
      </c>
      <c r="E5589" t="inlineStr">
        <is>
          <t>ÄLVSBYN</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39439-2024</t>
        </is>
      </c>
      <c r="B5590" s="1" t="n">
        <v>45551.60893518518</v>
      </c>
      <c r="C5590" s="1" t="n">
        <v>45895</v>
      </c>
      <c r="D5590" t="inlineStr">
        <is>
          <t>NORRBOTTENS LÄN</t>
        </is>
      </c>
      <c r="E5590" t="inlineStr">
        <is>
          <t>ARVIDSJAUR</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44365-2024</t>
        </is>
      </c>
      <c r="B5591" s="1" t="n">
        <v>45573</v>
      </c>
      <c r="C5591" s="1" t="n">
        <v>45895</v>
      </c>
      <c r="D5591" t="inlineStr">
        <is>
          <t>NORRBOTTENS LÄN</t>
        </is>
      </c>
      <c r="E5591" t="inlineStr">
        <is>
          <t>ÄLVSBYN</t>
        </is>
      </c>
      <c r="F5591" t="inlineStr">
        <is>
          <t>Sveaskog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50016-2024</t>
        </is>
      </c>
      <c r="B5592" s="1" t="n">
        <v>45599.36493055556</v>
      </c>
      <c r="C5592" s="1" t="n">
        <v>45895</v>
      </c>
      <c r="D5592" t="inlineStr">
        <is>
          <t>NORRBOTTENS LÄN</t>
        </is>
      </c>
      <c r="E5592" t="inlineStr">
        <is>
          <t>PAJALA</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9449-2023</t>
        </is>
      </c>
      <c r="B5593" s="1" t="n">
        <v>44981</v>
      </c>
      <c r="C5593" s="1" t="n">
        <v>45895</v>
      </c>
      <c r="D5593" t="inlineStr">
        <is>
          <t>NORRBOTTENS LÄN</t>
        </is>
      </c>
      <c r="E5593" t="inlineStr">
        <is>
          <t>LULEÅ</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30749-2023</t>
        </is>
      </c>
      <c r="B5594" s="1" t="n">
        <v>45103</v>
      </c>
      <c r="C5594" s="1" t="n">
        <v>45895</v>
      </c>
      <c r="D5594" t="inlineStr">
        <is>
          <t>NORRBOTTENS LÄN</t>
        </is>
      </c>
      <c r="E5594" t="inlineStr">
        <is>
          <t>ARVIDSJAUR</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21184-2025</t>
        </is>
      </c>
      <c r="B5595" s="1" t="n">
        <v>45777</v>
      </c>
      <c r="C5595" s="1" t="n">
        <v>45895</v>
      </c>
      <c r="D5595" t="inlineStr">
        <is>
          <t>NORRBOTTENS LÄN</t>
        </is>
      </c>
      <c r="E5595" t="inlineStr">
        <is>
          <t>KIRUNA</t>
        </is>
      </c>
      <c r="G5595" t="n">
        <v>20.1</v>
      </c>
      <c r="H5595" t="n">
        <v>0</v>
      </c>
      <c r="I5595" t="n">
        <v>0</v>
      </c>
      <c r="J5595" t="n">
        <v>0</v>
      </c>
      <c r="K5595" t="n">
        <v>0</v>
      </c>
      <c r="L5595" t="n">
        <v>0</v>
      </c>
      <c r="M5595" t="n">
        <v>0</v>
      </c>
      <c r="N5595" t="n">
        <v>0</v>
      </c>
      <c r="O5595" t="n">
        <v>0</v>
      </c>
      <c r="P5595" t="n">
        <v>0</v>
      </c>
      <c r="Q5595" t="n">
        <v>0</v>
      </c>
      <c r="R5595" s="2" t="inlineStr"/>
    </row>
    <row r="5596" ht="15" customHeight="1">
      <c r="A5596" t="inlineStr">
        <is>
          <t>A 37321-2024</t>
        </is>
      </c>
      <c r="B5596" s="1" t="n">
        <v>45540.49607638889</v>
      </c>
      <c r="C5596" s="1" t="n">
        <v>45895</v>
      </c>
      <c r="D5596" t="inlineStr">
        <is>
          <t>NORRBOTTENS LÄN</t>
        </is>
      </c>
      <c r="E5596" t="inlineStr">
        <is>
          <t>PAJALA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54589-2021</t>
        </is>
      </c>
      <c r="B5597" s="1" t="n">
        <v>44473</v>
      </c>
      <c r="C5597" s="1" t="n">
        <v>45895</v>
      </c>
      <c r="D5597" t="inlineStr">
        <is>
          <t>NORRBOTTENS LÄN</t>
        </is>
      </c>
      <c r="E5597" t="inlineStr">
        <is>
          <t>ARJEPLOG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9286-2023</t>
        </is>
      </c>
      <c r="B5598" s="1" t="n">
        <v>44977</v>
      </c>
      <c r="C5598" s="1" t="n">
        <v>45895</v>
      </c>
      <c r="D5598" t="inlineStr">
        <is>
          <t>NORRBOTTENS LÄN</t>
        </is>
      </c>
      <c r="E5598" t="inlineStr">
        <is>
          <t>LULEÅ</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34876-2025</t>
        </is>
      </c>
      <c r="B5599" s="1" t="n">
        <v>45849.46329861111</v>
      </c>
      <c r="C5599" s="1" t="n">
        <v>45895</v>
      </c>
      <c r="D5599" t="inlineStr">
        <is>
          <t>NORRBOTTENS LÄN</t>
        </is>
      </c>
      <c r="E5599" t="inlineStr">
        <is>
          <t>PITEÅ</t>
        </is>
      </c>
      <c r="G5599" t="n">
        <v>10</v>
      </c>
      <c r="H5599" t="n">
        <v>0</v>
      </c>
      <c r="I5599" t="n">
        <v>0</v>
      </c>
      <c r="J5599" t="n">
        <v>0</v>
      </c>
      <c r="K5599" t="n">
        <v>0</v>
      </c>
      <c r="L5599" t="n">
        <v>0</v>
      </c>
      <c r="M5599" t="n">
        <v>0</v>
      </c>
      <c r="N5599" t="n">
        <v>0</v>
      </c>
      <c r="O5599" t="n">
        <v>0</v>
      </c>
      <c r="P5599" t="n">
        <v>0</v>
      </c>
      <c r="Q5599" t="n">
        <v>0</v>
      </c>
      <c r="R5599" s="2" t="inlineStr"/>
    </row>
    <row r="5600" ht="15" customHeight="1">
      <c r="A5600" t="inlineStr">
        <is>
          <t>A 34910-2025</t>
        </is>
      </c>
      <c r="B5600" s="1" t="n">
        <v>45849.53162037037</v>
      </c>
      <c r="C5600" s="1" t="n">
        <v>45895</v>
      </c>
      <c r="D5600" t="inlineStr">
        <is>
          <t>NORRBOTTENS LÄN</t>
        </is>
      </c>
      <c r="E5600" t="inlineStr">
        <is>
          <t>PAJALA</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9289-2023</t>
        </is>
      </c>
      <c r="B5601" s="1" t="n">
        <v>44977</v>
      </c>
      <c r="C5601" s="1" t="n">
        <v>45895</v>
      </c>
      <c r="D5601" t="inlineStr">
        <is>
          <t>NORRBOTTENS LÄN</t>
        </is>
      </c>
      <c r="E5601" t="inlineStr">
        <is>
          <t>LULEÅ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32952-2024</t>
        </is>
      </c>
      <c r="B5602" s="1" t="n">
        <v>45517</v>
      </c>
      <c r="C5602" s="1" t="n">
        <v>45895</v>
      </c>
      <c r="D5602" t="inlineStr">
        <is>
          <t>NORRBOTTENS LÄN</t>
        </is>
      </c>
      <c r="E5602" t="inlineStr">
        <is>
          <t>ÄLVSBYN</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6841-2024</t>
        </is>
      </c>
      <c r="B5603" s="1" t="n">
        <v>45342</v>
      </c>
      <c r="C5603" s="1" t="n">
        <v>45895</v>
      </c>
      <c r="D5603" t="inlineStr">
        <is>
          <t>NORRBOTTENS LÄN</t>
        </is>
      </c>
      <c r="E5603" t="inlineStr">
        <is>
          <t>LULEÅ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11915-2023</t>
        </is>
      </c>
      <c r="B5604" s="1" t="n">
        <v>44993</v>
      </c>
      <c r="C5604" s="1" t="n">
        <v>45895</v>
      </c>
      <c r="D5604" t="inlineStr">
        <is>
          <t>NORRBOTTENS LÄN</t>
        </is>
      </c>
      <c r="E5604" t="inlineStr">
        <is>
          <t>ÖVERKALIX</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34853-2025</t>
        </is>
      </c>
      <c r="B5605" s="1" t="n">
        <v>45849.42799768518</v>
      </c>
      <c r="C5605" s="1" t="n">
        <v>45895</v>
      </c>
      <c r="D5605" t="inlineStr">
        <is>
          <t>NORRBOTTENS LÄN</t>
        </is>
      </c>
      <c r="E5605" t="inlineStr">
        <is>
          <t>PAJALA</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8816-2023</t>
        </is>
      </c>
      <c r="B5606" s="1" t="n">
        <v>44973</v>
      </c>
      <c r="C5606" s="1" t="n">
        <v>45895</v>
      </c>
      <c r="D5606" t="inlineStr">
        <is>
          <t>NORRBOTTENS LÄN</t>
        </is>
      </c>
      <c r="E5606" t="inlineStr">
        <is>
          <t>LULEÅ</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40210-2025</t>
        </is>
      </c>
      <c r="B5607" s="1" t="n">
        <v>45894.68217592593</v>
      </c>
      <c r="C5607" s="1" t="n">
        <v>45895</v>
      </c>
      <c r="D5607" t="inlineStr">
        <is>
          <t>NORRBOTTENS LÄN</t>
        </is>
      </c>
      <c r="E5607" t="inlineStr">
        <is>
          <t>PITEÅ</t>
        </is>
      </c>
      <c r="F5607" t="inlineStr">
        <is>
          <t>Sveaskog</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22460-2023</t>
        </is>
      </c>
      <c r="B5608" s="1" t="n">
        <v>45070.92538194444</v>
      </c>
      <c r="C5608" s="1" t="n">
        <v>45895</v>
      </c>
      <c r="D5608" t="inlineStr">
        <is>
          <t>NORRBOTTENS LÄN</t>
        </is>
      </c>
      <c r="E5608" t="inlineStr">
        <is>
          <t>BODEN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42674-2021</t>
        </is>
      </c>
      <c r="B5609" s="1" t="n">
        <v>44428</v>
      </c>
      <c r="C5609" s="1" t="n">
        <v>45895</v>
      </c>
      <c r="D5609" t="inlineStr">
        <is>
          <t>NORRBOTTENS LÄN</t>
        </is>
      </c>
      <c r="E5609" t="inlineStr">
        <is>
          <t>ARVIDSJAUR</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42694-2021</t>
        </is>
      </c>
      <c r="B5610" s="1" t="n">
        <v>44428</v>
      </c>
      <c r="C5610" s="1" t="n">
        <v>45895</v>
      </c>
      <c r="D5610" t="inlineStr">
        <is>
          <t>NORRBOTTENS LÄN</t>
        </is>
      </c>
      <c r="E5610" t="inlineStr">
        <is>
          <t>ARVIDSJAUR</t>
        </is>
      </c>
      <c r="F5610" t="inlineStr">
        <is>
          <t>Sveaskog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34809-2025</t>
        </is>
      </c>
      <c r="B5611" s="1" t="n">
        <v>45849.34408564815</v>
      </c>
      <c r="C5611" s="1" t="n">
        <v>45895</v>
      </c>
      <c r="D5611" t="inlineStr">
        <is>
          <t>NORRBOTTENS LÄN</t>
        </is>
      </c>
      <c r="E5611" t="inlineStr">
        <is>
          <t>PITEÅ</t>
        </is>
      </c>
      <c r="F5611" t="inlineStr">
        <is>
          <t>Sveaskog</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34797-2025</t>
        </is>
      </c>
      <c r="B5612" s="1" t="n">
        <v>45848.80690972223</v>
      </c>
      <c r="C5612" s="1" t="n">
        <v>45895</v>
      </c>
      <c r="D5612" t="inlineStr">
        <is>
          <t>NORRBOTTENS LÄN</t>
        </is>
      </c>
      <c r="E5612" t="inlineStr">
        <is>
          <t>PITEÅ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34801-2025</t>
        </is>
      </c>
      <c r="B5613" s="1" t="n">
        <v>45848.91371527778</v>
      </c>
      <c r="C5613" s="1" t="n">
        <v>45895</v>
      </c>
      <c r="D5613" t="inlineStr">
        <is>
          <t>NORRBOTTENS LÄN</t>
        </is>
      </c>
      <c r="E5613" t="inlineStr">
        <is>
          <t>ÖVERTORNEÅ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25920-2023</t>
        </is>
      </c>
      <c r="B5614" s="1" t="n">
        <v>45085</v>
      </c>
      <c r="C5614" s="1" t="n">
        <v>45895</v>
      </c>
      <c r="D5614" t="inlineStr">
        <is>
          <t>NORRBOTTENS LÄN</t>
        </is>
      </c>
      <c r="E5614" t="inlineStr">
        <is>
          <t>BODEN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39961-2025</t>
        </is>
      </c>
      <c r="B5615" s="1" t="n">
        <v>45892.49017361111</v>
      </c>
      <c r="C5615" s="1" t="n">
        <v>45895</v>
      </c>
      <c r="D5615" t="inlineStr">
        <is>
          <t>NORRBOTTENS LÄN</t>
        </is>
      </c>
      <c r="E5615" t="inlineStr">
        <is>
          <t>GÄLLIVARE</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61477-2022</t>
        </is>
      </c>
      <c r="B5616" s="1" t="n">
        <v>44910</v>
      </c>
      <c r="C5616" s="1" t="n">
        <v>45895</v>
      </c>
      <c r="D5616" t="inlineStr">
        <is>
          <t>NORRBOTTENS LÄN</t>
        </is>
      </c>
      <c r="E5616" t="inlineStr">
        <is>
          <t>PAJALA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24810-2023</t>
        </is>
      </c>
      <c r="B5617" s="1" t="n">
        <v>45084</v>
      </c>
      <c r="C5617" s="1" t="n">
        <v>45895</v>
      </c>
      <c r="D5617" t="inlineStr">
        <is>
          <t>NORRBOTTENS LÄN</t>
        </is>
      </c>
      <c r="E5617" t="inlineStr">
        <is>
          <t>ARVIDSJAUR</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40017-2025</t>
        </is>
      </c>
      <c r="B5618" s="1" t="n">
        <v>45894.35148148148</v>
      </c>
      <c r="C5618" s="1" t="n">
        <v>45895</v>
      </c>
      <c r="D5618" t="inlineStr">
        <is>
          <t>NORRBOTTENS LÄN</t>
        </is>
      </c>
      <c r="E5618" t="inlineStr">
        <is>
          <t>KALIX</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50447-2024</t>
        </is>
      </c>
      <c r="B5619" s="1" t="n">
        <v>45601</v>
      </c>
      <c r="C5619" s="1" t="n">
        <v>45895</v>
      </c>
      <c r="D5619" t="inlineStr">
        <is>
          <t>NORRBOTTENS LÄN</t>
        </is>
      </c>
      <c r="E5619" t="inlineStr">
        <is>
          <t>ÖVERTORNEÅ</t>
        </is>
      </c>
      <c r="G5619" t="n">
        <v>10</v>
      </c>
      <c r="H5619" t="n">
        <v>0</v>
      </c>
      <c r="I5619" t="n">
        <v>0</v>
      </c>
      <c r="J5619" t="n">
        <v>0</v>
      </c>
      <c r="K5619" t="n">
        <v>0</v>
      </c>
      <c r="L5619" t="n">
        <v>0</v>
      </c>
      <c r="M5619" t="n">
        <v>0</v>
      </c>
      <c r="N5619" t="n">
        <v>0</v>
      </c>
      <c r="O5619" t="n">
        <v>0</v>
      </c>
      <c r="P5619" t="n">
        <v>0</v>
      </c>
      <c r="Q5619" t="n">
        <v>0</v>
      </c>
      <c r="R5619" s="2" t="inlineStr"/>
    </row>
    <row r="5620" ht="15" customHeight="1">
      <c r="A5620" t="inlineStr">
        <is>
          <t>A 8516-2025</t>
        </is>
      </c>
      <c r="B5620" s="1" t="n">
        <v>45709</v>
      </c>
      <c r="C5620" s="1" t="n">
        <v>45895</v>
      </c>
      <c r="D5620" t="inlineStr">
        <is>
          <t>NORRBOTTENS LÄN</t>
        </is>
      </c>
      <c r="E5620" t="inlineStr">
        <is>
          <t>GÄLLIVARE</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45115-2021</t>
        </is>
      </c>
      <c r="B5621" s="1" t="n">
        <v>44438</v>
      </c>
      <c r="C5621" s="1" t="n">
        <v>45895</v>
      </c>
      <c r="D5621" t="inlineStr">
        <is>
          <t>NORRBOTTENS LÄN</t>
        </is>
      </c>
      <c r="E5621" t="inlineStr">
        <is>
          <t>BODEN</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53331-2021</t>
        </is>
      </c>
      <c r="B5622" s="1" t="n">
        <v>44468</v>
      </c>
      <c r="C5622" s="1" t="n">
        <v>45895</v>
      </c>
      <c r="D5622" t="inlineStr">
        <is>
          <t>NORRBOTTENS LÄN</t>
        </is>
      </c>
      <c r="E5622" t="inlineStr">
        <is>
          <t>PITEÅ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10611-2025</t>
        </is>
      </c>
      <c r="B5623" s="1" t="n">
        <v>45721</v>
      </c>
      <c r="C5623" s="1" t="n">
        <v>45895</v>
      </c>
      <c r="D5623" t="inlineStr">
        <is>
          <t>NORRBOTTENS LÄN</t>
        </is>
      </c>
      <c r="E5623" t="inlineStr">
        <is>
          <t>LULEÅ</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4396-2025</t>
        </is>
      </c>
      <c r="B5624" s="1" t="n">
        <v>45686.42653935185</v>
      </c>
      <c r="C5624" s="1" t="n">
        <v>45895</v>
      </c>
      <c r="D5624" t="inlineStr">
        <is>
          <t>NORRBOTTENS LÄN</t>
        </is>
      </c>
      <c r="E5624" t="inlineStr">
        <is>
          <t>BODEN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15483-2025</t>
        </is>
      </c>
      <c r="B5625" s="1" t="n">
        <v>45747.56618055556</v>
      </c>
      <c r="C5625" s="1" t="n">
        <v>45895</v>
      </c>
      <c r="D5625" t="inlineStr">
        <is>
          <t>NORRBOTTENS LÄN</t>
        </is>
      </c>
      <c r="E5625" t="inlineStr">
        <is>
          <t>BODEN</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50257-2021</t>
        </is>
      </c>
      <c r="B5626" s="1" t="n">
        <v>44458.89255787037</v>
      </c>
      <c r="C5626" s="1" t="n">
        <v>45895</v>
      </c>
      <c r="D5626" t="inlineStr">
        <is>
          <t>NORRBOTTENS LÄN</t>
        </is>
      </c>
      <c r="E5626" t="inlineStr">
        <is>
          <t>HAPARANDA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45677-2021</t>
        </is>
      </c>
      <c r="B5627" s="1" t="n">
        <v>44441.35422453703</v>
      </c>
      <c r="C5627" s="1" t="n">
        <v>45895</v>
      </c>
      <c r="D5627" t="inlineStr">
        <is>
          <t>NORRBOTTENS LÄN</t>
        </is>
      </c>
      <c r="E5627" t="inlineStr">
        <is>
          <t>BODEN</t>
        </is>
      </c>
      <c r="F5627" t="inlineStr">
        <is>
          <t>Sveaskog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68591-2021</t>
        </is>
      </c>
      <c r="B5628" s="1" t="n">
        <v>44529</v>
      </c>
      <c r="C5628" s="1" t="n">
        <v>45895</v>
      </c>
      <c r="D5628" t="inlineStr">
        <is>
          <t>NORRBOTTENS LÄN</t>
        </is>
      </c>
      <c r="E5628" t="inlineStr">
        <is>
          <t>BODEN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40200-2025</t>
        </is>
      </c>
      <c r="B5629" s="1" t="n">
        <v>45894.6680324074</v>
      </c>
      <c r="C5629" s="1" t="n">
        <v>45895</v>
      </c>
      <c r="D5629" t="inlineStr">
        <is>
          <t>NORRBOTTENS LÄN</t>
        </is>
      </c>
      <c r="E5629" t="inlineStr">
        <is>
          <t>ÖVERTORNEÅ</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40231-2025</t>
        </is>
      </c>
      <c r="B5630" s="1" t="n">
        <v>45894</v>
      </c>
      <c r="C5630" s="1" t="n">
        <v>45895</v>
      </c>
      <c r="D5630" t="inlineStr">
        <is>
          <t>NORRBOTTENS LÄN</t>
        </is>
      </c>
      <c r="E5630" t="inlineStr">
        <is>
          <t>PAJALA</t>
        </is>
      </c>
      <c r="F5630" t="inlineStr">
        <is>
          <t>Allmännings- och besparingsskogar</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38151-2025</t>
        </is>
      </c>
      <c r="B5631" s="1" t="n">
        <v>45882</v>
      </c>
      <c r="C5631" s="1" t="n">
        <v>45895</v>
      </c>
      <c r="D5631" t="inlineStr">
        <is>
          <t>NORRBOTTENS LÄN</t>
        </is>
      </c>
      <c r="E5631" t="inlineStr">
        <is>
          <t>LULEÅ</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39180-2025</t>
        </is>
      </c>
      <c r="B5632" s="1" t="n">
        <v>45888</v>
      </c>
      <c r="C5632" s="1" t="n">
        <v>45895</v>
      </c>
      <c r="D5632" t="inlineStr">
        <is>
          <t>NORRBOTTENS LÄN</t>
        </is>
      </c>
      <c r="E5632" t="inlineStr">
        <is>
          <t>ÖVERTORNEÅ</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39962-2025</t>
        </is>
      </c>
      <c r="B5633" s="1" t="n">
        <v>45892.4903587963</v>
      </c>
      <c r="C5633" s="1" t="n">
        <v>45895</v>
      </c>
      <c r="D5633" t="inlineStr">
        <is>
          <t>NORRBOTTENS LÄN</t>
        </is>
      </c>
      <c r="E5633" t="inlineStr">
        <is>
          <t>GÄLLIVARE</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46187-2021</t>
        </is>
      </c>
      <c r="B5634" s="1" t="n">
        <v>44442</v>
      </c>
      <c r="C5634" s="1" t="n">
        <v>45895</v>
      </c>
      <c r="D5634" t="inlineStr">
        <is>
          <t>NORRBOTTENS LÄN</t>
        </is>
      </c>
      <c r="E5634" t="inlineStr">
        <is>
          <t>KALIX</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31666-2023</t>
        </is>
      </c>
      <c r="B5635" s="1" t="n">
        <v>45105</v>
      </c>
      <c r="C5635" s="1" t="n">
        <v>45895</v>
      </c>
      <c r="D5635" t="inlineStr">
        <is>
          <t>NORRBOTTENS LÄN</t>
        </is>
      </c>
      <c r="E5635" t="inlineStr">
        <is>
          <t>ARVIDSJAUR</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58505-2023</t>
        </is>
      </c>
      <c r="B5636" s="1" t="n">
        <v>45251.36628472222</v>
      </c>
      <c r="C5636" s="1" t="n">
        <v>45895</v>
      </c>
      <c r="D5636" t="inlineStr">
        <is>
          <t>NORRBOTTENS LÄN</t>
        </is>
      </c>
      <c r="E5636" t="inlineStr">
        <is>
          <t>ÄLVSBYN</t>
        </is>
      </c>
      <c r="F5636" t="inlineStr">
        <is>
          <t>Sveaskog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58511-2023</t>
        </is>
      </c>
      <c r="B5637" s="1" t="n">
        <v>45251.37363425926</v>
      </c>
      <c r="C5637" s="1" t="n">
        <v>45895</v>
      </c>
      <c r="D5637" t="inlineStr">
        <is>
          <t>NORRBOTTENS LÄN</t>
        </is>
      </c>
      <c r="E5637" t="inlineStr">
        <is>
          <t>KALIX</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22458-2023</t>
        </is>
      </c>
      <c r="B5638" s="1" t="n">
        <v>45070</v>
      </c>
      <c r="C5638" s="1" t="n">
        <v>45895</v>
      </c>
      <c r="D5638" t="inlineStr">
        <is>
          <t>NORRBOTTENS LÄN</t>
        </is>
      </c>
      <c r="E5638" t="inlineStr">
        <is>
          <t>BODEN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1058-2025</t>
        </is>
      </c>
      <c r="B5639" s="1" t="n">
        <v>45665</v>
      </c>
      <c r="C5639" s="1" t="n">
        <v>45895</v>
      </c>
      <c r="D5639" t="inlineStr">
        <is>
          <t>NORRBOTTENS LÄN</t>
        </is>
      </c>
      <c r="E5639" t="inlineStr">
        <is>
          <t>LULEÅ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38510-2022</t>
        </is>
      </c>
      <c r="B5640" s="1" t="n">
        <v>44813</v>
      </c>
      <c r="C5640" s="1" t="n">
        <v>45895</v>
      </c>
      <c r="D5640" t="inlineStr">
        <is>
          <t>NORRBOTTENS LÄN</t>
        </is>
      </c>
      <c r="E5640" t="inlineStr">
        <is>
          <t>HAPARANDA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54143-2021</t>
        </is>
      </c>
      <c r="B5641" s="1" t="n">
        <v>44469</v>
      </c>
      <c r="C5641" s="1" t="n">
        <v>45895</v>
      </c>
      <c r="D5641" t="inlineStr">
        <is>
          <t>NORRBOTTENS LÄN</t>
        </is>
      </c>
      <c r="E5641" t="inlineStr">
        <is>
          <t>ÖVERKALIX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61911-2024</t>
        </is>
      </c>
      <c r="B5642" s="1" t="n">
        <v>45653.3677662037</v>
      </c>
      <c r="C5642" s="1" t="n">
        <v>45895</v>
      </c>
      <c r="D5642" t="inlineStr">
        <is>
          <t>NORRBOTTENS LÄN</t>
        </is>
      </c>
      <c r="E5642" t="inlineStr">
        <is>
          <t>BODEN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7461-2024</t>
        </is>
      </c>
      <c r="B5643" s="1" t="n">
        <v>45345</v>
      </c>
      <c r="C5643" s="1" t="n">
        <v>45895</v>
      </c>
      <c r="D5643" t="inlineStr">
        <is>
          <t>NORRBOTTENS LÄN</t>
        </is>
      </c>
      <c r="E5643" t="inlineStr">
        <is>
          <t>PITEÅ</t>
        </is>
      </c>
      <c r="G5643" t="n">
        <v>14.7</v>
      </c>
      <c r="H5643" t="n">
        <v>0</v>
      </c>
      <c r="I5643" t="n">
        <v>0</v>
      </c>
      <c r="J5643" t="n">
        <v>0</v>
      </c>
      <c r="K5643" t="n">
        <v>0</v>
      </c>
      <c r="L5643" t="n">
        <v>0</v>
      </c>
      <c r="M5643" t="n">
        <v>0</v>
      </c>
      <c r="N5643" t="n">
        <v>0</v>
      </c>
      <c r="O5643" t="n">
        <v>0</v>
      </c>
      <c r="P5643" t="n">
        <v>0</v>
      </c>
      <c r="Q5643" t="n">
        <v>0</v>
      </c>
      <c r="R5643" s="2" t="inlineStr"/>
    </row>
    <row r="5644" ht="15" customHeight="1">
      <c r="A5644" t="inlineStr">
        <is>
          <t>A 17624-2025</t>
        </is>
      </c>
      <c r="B5644" s="1" t="n">
        <v>45757.92195601852</v>
      </c>
      <c r="C5644" s="1" t="n">
        <v>45895</v>
      </c>
      <c r="D5644" t="inlineStr">
        <is>
          <t>NORRBOTTENS LÄN</t>
        </is>
      </c>
      <c r="E5644" t="inlineStr">
        <is>
          <t>ÖVERTORNEÅ</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36367-2025</t>
        </is>
      </c>
      <c r="B5645" s="1" t="n">
        <v>45868</v>
      </c>
      <c r="C5645" s="1" t="n">
        <v>45895</v>
      </c>
      <c r="D5645" t="inlineStr">
        <is>
          <t>NORRBOTTENS LÄN</t>
        </is>
      </c>
      <c r="E5645" t="inlineStr">
        <is>
          <t>PAJALA</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28319-2021</t>
        </is>
      </c>
      <c r="B5646" s="1" t="n">
        <v>44355</v>
      </c>
      <c r="C5646" s="1" t="n">
        <v>45895</v>
      </c>
      <c r="D5646" t="inlineStr">
        <is>
          <t>NORRBOTTENS LÄN</t>
        </is>
      </c>
      <c r="E5646" t="inlineStr">
        <is>
          <t>JOKKMOKK</t>
        </is>
      </c>
      <c r="F5646" t="inlineStr">
        <is>
          <t>Övriga statliga verk och myndigheter</t>
        </is>
      </c>
      <c r="G5646" t="n">
        <v>40</v>
      </c>
      <c r="H5646" t="n">
        <v>0</v>
      </c>
      <c r="I5646" t="n">
        <v>0</v>
      </c>
      <c r="J5646" t="n">
        <v>0</v>
      </c>
      <c r="K5646" t="n">
        <v>0</v>
      </c>
      <c r="L5646" t="n">
        <v>0</v>
      </c>
      <c r="M5646" t="n">
        <v>0</v>
      </c>
      <c r="N5646" t="n">
        <v>0</v>
      </c>
      <c r="O5646" t="n">
        <v>0</v>
      </c>
      <c r="P5646" t="n">
        <v>0</v>
      </c>
      <c r="Q5646" t="n">
        <v>0</v>
      </c>
      <c r="R5646" s="2" t="inlineStr"/>
    </row>
    <row r="5647" ht="15" customHeight="1">
      <c r="A5647" t="inlineStr">
        <is>
          <t>A 56402-2022</t>
        </is>
      </c>
      <c r="B5647" s="1" t="n">
        <v>44890.94890046296</v>
      </c>
      <c r="C5647" s="1" t="n">
        <v>45895</v>
      </c>
      <c r="D5647" t="inlineStr">
        <is>
          <t>NORRBOTTENS LÄN</t>
        </is>
      </c>
      <c r="E5647" t="inlineStr">
        <is>
          <t>ÖVERKALIX</t>
        </is>
      </c>
      <c r="F5647" t="inlineStr">
        <is>
          <t>SCA</t>
        </is>
      </c>
      <c r="G5647" t="n">
        <v>13.8</v>
      </c>
      <c r="H5647" t="n">
        <v>0</v>
      </c>
      <c r="I5647" t="n">
        <v>0</v>
      </c>
      <c r="J5647" t="n">
        <v>0</v>
      </c>
      <c r="K5647" t="n">
        <v>0</v>
      </c>
      <c r="L5647" t="n">
        <v>0</v>
      </c>
      <c r="M5647" t="n">
        <v>0</v>
      </c>
      <c r="N5647" t="n">
        <v>0</v>
      </c>
      <c r="O5647" t="n">
        <v>0</v>
      </c>
      <c r="P5647" t="n">
        <v>0</v>
      </c>
      <c r="Q5647" t="n">
        <v>0</v>
      </c>
      <c r="R5647" s="2" t="inlineStr"/>
    </row>
    <row r="5648" ht="15" customHeight="1">
      <c r="A5648" t="inlineStr">
        <is>
          <t>A 56445-2022</t>
        </is>
      </c>
      <c r="B5648" s="1" t="n">
        <v>44892</v>
      </c>
      <c r="C5648" s="1" t="n">
        <v>45895</v>
      </c>
      <c r="D5648" t="inlineStr">
        <is>
          <t>NORRBOTTENS LÄN</t>
        </is>
      </c>
      <c r="E5648" t="inlineStr">
        <is>
          <t>PAJALA</t>
        </is>
      </c>
      <c r="G5648" t="n">
        <v>15.6</v>
      </c>
      <c r="H5648" t="n">
        <v>0</v>
      </c>
      <c r="I5648" t="n">
        <v>0</v>
      </c>
      <c r="J5648" t="n">
        <v>0</v>
      </c>
      <c r="K5648" t="n">
        <v>0</v>
      </c>
      <c r="L5648" t="n">
        <v>0</v>
      </c>
      <c r="M5648" t="n">
        <v>0</v>
      </c>
      <c r="N5648" t="n">
        <v>0</v>
      </c>
      <c r="O5648" t="n">
        <v>0</v>
      </c>
      <c r="P5648" t="n">
        <v>0</v>
      </c>
      <c r="Q5648" t="n">
        <v>0</v>
      </c>
      <c r="R5648" s="2" t="inlineStr"/>
    </row>
    <row r="5649" ht="15" customHeight="1">
      <c r="A5649" t="inlineStr">
        <is>
          <t>A 39850-2025</t>
        </is>
      </c>
      <c r="B5649" s="1" t="n">
        <v>45891.58591435185</v>
      </c>
      <c r="C5649" s="1" t="n">
        <v>45895</v>
      </c>
      <c r="D5649" t="inlineStr">
        <is>
          <t>NORRBOTTENS LÄN</t>
        </is>
      </c>
      <c r="E5649" t="inlineStr">
        <is>
          <t>JOKKMOKK</t>
        </is>
      </c>
      <c r="F5649" t="inlineStr">
        <is>
          <t>Sveaskog</t>
        </is>
      </c>
      <c r="G5649" t="n">
        <v>4.5</v>
      </c>
      <c r="H5649" t="n">
        <v>0</v>
      </c>
      <c r="I5649" t="n">
        <v>0</v>
      </c>
      <c r="J5649" t="n">
        <v>0</v>
      </c>
      <c r="K5649" t="n">
        <v>0</v>
      </c>
      <c r="L5649" t="n">
        <v>0</v>
      </c>
      <c r="M5649" t="n">
        <v>0</v>
      </c>
      <c r="N5649" t="n">
        <v>0</v>
      </c>
      <c r="O5649" t="n">
        <v>0</v>
      </c>
      <c r="P5649" t="n">
        <v>0</v>
      </c>
      <c r="Q5649" t="n">
        <v>0</v>
      </c>
      <c r="R5649" s="2" t="inlineStr"/>
      <c r="U5649">
        <f>HYPERLINK("https://klasma.github.io/Logging_2510/knärot/A 39850-2025 karta knärot.png", "A 39850-2025")</f>
        <v/>
      </c>
      <c r="V5649">
        <f>HYPERLINK("https://klasma.github.io/Logging_2510/klagomål/A 39850-2025 FSC-klagomål.docx", "A 39850-2025")</f>
        <v/>
      </c>
      <c r="W5649">
        <f>HYPERLINK("https://klasma.github.io/Logging_2510/klagomålsmail/A 39850-2025 FSC-klagomål mail.docx", "A 39850-2025")</f>
        <v/>
      </c>
      <c r="X5649">
        <f>HYPERLINK("https://klasma.github.io/Logging_2510/tillsyn/A 39850-2025 tillsynsbegäran.docx", "A 39850-2025")</f>
        <v/>
      </c>
      <c r="Y5649">
        <f>HYPERLINK("https://klasma.github.io/Logging_2510/tillsynsmail/A 39850-2025 tillsynsbegäran mail.docx", "A 39850-2025")</f>
        <v/>
      </c>
    </row>
    <row r="5650" ht="15" customHeight="1">
      <c r="A5650" t="inlineStr">
        <is>
          <t>A 47564-2021</t>
        </is>
      </c>
      <c r="B5650" s="1" t="n">
        <v>44447</v>
      </c>
      <c r="C5650" s="1" t="n">
        <v>45895</v>
      </c>
      <c r="D5650" t="inlineStr">
        <is>
          <t>NORRBOTTENS LÄN</t>
        </is>
      </c>
      <c r="E5650" t="inlineStr">
        <is>
          <t>PITEÅ</t>
        </is>
      </c>
      <c r="F5650" t="inlineStr">
        <is>
          <t>SCA</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34796-2025</t>
        </is>
      </c>
      <c r="B5651" s="1" t="n">
        <v>45848.79878472222</v>
      </c>
      <c r="C5651" s="1" t="n">
        <v>45895</v>
      </c>
      <c r="D5651" t="inlineStr">
        <is>
          <t>NORRBOTTENS LÄN</t>
        </is>
      </c>
      <c r="E5651" t="inlineStr">
        <is>
          <t>PITEÅ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37581-2024</t>
        </is>
      </c>
      <c r="B5652" s="1" t="n">
        <v>45541.45581018519</v>
      </c>
      <c r="C5652" s="1" t="n">
        <v>45895</v>
      </c>
      <c r="D5652" t="inlineStr">
        <is>
          <t>NORRBOTTENS LÄN</t>
        </is>
      </c>
      <c r="E5652" t="inlineStr">
        <is>
          <t>PAJALA</t>
        </is>
      </c>
      <c r="F5652" t="inlineStr">
        <is>
          <t>Sveaskog</t>
        </is>
      </c>
      <c r="G5652" t="n">
        <v>40.3</v>
      </c>
      <c r="H5652" t="n">
        <v>0</v>
      </c>
      <c r="I5652" t="n">
        <v>0</v>
      </c>
      <c r="J5652" t="n">
        <v>0</v>
      </c>
      <c r="K5652" t="n">
        <v>0</v>
      </c>
      <c r="L5652" t="n">
        <v>0</v>
      </c>
      <c r="M5652" t="n">
        <v>0</v>
      </c>
      <c r="N5652" t="n">
        <v>0</v>
      </c>
      <c r="O5652" t="n">
        <v>0</v>
      </c>
      <c r="P5652" t="n">
        <v>0</v>
      </c>
      <c r="Q5652" t="n">
        <v>0</v>
      </c>
      <c r="R5652" s="2" t="inlineStr"/>
    </row>
    <row r="5653" ht="15" customHeight="1">
      <c r="A5653" t="inlineStr">
        <is>
          <t>A 27776-2024</t>
        </is>
      </c>
      <c r="B5653" s="1" t="n">
        <v>45475</v>
      </c>
      <c r="C5653" s="1" t="n">
        <v>45895</v>
      </c>
      <c r="D5653" t="inlineStr">
        <is>
          <t>NORRBOTTENS LÄN</t>
        </is>
      </c>
      <c r="E5653" t="inlineStr">
        <is>
          <t>PAJALA</t>
        </is>
      </c>
      <c r="G5653" t="n">
        <v>20.5</v>
      </c>
      <c r="H5653" t="n">
        <v>0</v>
      </c>
      <c r="I5653" t="n">
        <v>0</v>
      </c>
      <c r="J5653" t="n">
        <v>0</v>
      </c>
      <c r="K5653" t="n">
        <v>0</v>
      </c>
      <c r="L5653" t="n">
        <v>0</v>
      </c>
      <c r="M5653" t="n">
        <v>0</v>
      </c>
      <c r="N5653" t="n">
        <v>0</v>
      </c>
      <c r="O5653" t="n">
        <v>0</v>
      </c>
      <c r="P5653" t="n">
        <v>0</v>
      </c>
      <c r="Q5653" t="n">
        <v>0</v>
      </c>
      <c r="R5653" s="2" t="inlineStr"/>
    </row>
    <row r="5654" ht="15" customHeight="1">
      <c r="A5654" t="inlineStr">
        <is>
          <t>A 35220-2022</t>
        </is>
      </c>
      <c r="B5654" s="1" t="n">
        <v>44797.92714120371</v>
      </c>
      <c r="C5654" s="1" t="n">
        <v>45895</v>
      </c>
      <c r="D5654" t="inlineStr">
        <is>
          <t>NORRBOTTENS LÄN</t>
        </is>
      </c>
      <c r="E5654" t="inlineStr">
        <is>
          <t>ÖVERTORNEÅ</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8258-2021</t>
        </is>
      </c>
      <c r="B5655" s="1" t="n">
        <v>44244</v>
      </c>
      <c r="C5655" s="1" t="n">
        <v>45895</v>
      </c>
      <c r="D5655" t="inlineStr">
        <is>
          <t>NORRBOTTENS LÄN</t>
        </is>
      </c>
      <c r="E5655" t="inlineStr">
        <is>
          <t>KALIX</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39020-2025</t>
        </is>
      </c>
      <c r="B5656" s="1" t="n">
        <v>45888.37311342593</v>
      </c>
      <c r="C5656" s="1" t="n">
        <v>45895</v>
      </c>
      <c r="D5656" t="inlineStr">
        <is>
          <t>NORRBOTTENS LÄN</t>
        </is>
      </c>
      <c r="E5656" t="inlineStr">
        <is>
          <t>ÄLVSBYN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40139-2025</t>
        </is>
      </c>
      <c r="B5657" s="1" t="n">
        <v>45894</v>
      </c>
      <c r="C5657" s="1" t="n">
        <v>45895</v>
      </c>
      <c r="D5657" t="inlineStr">
        <is>
          <t>NORRBOTTENS LÄN</t>
        </is>
      </c>
      <c r="E5657" t="inlineStr">
        <is>
          <t>GÄLLIVARE</t>
        </is>
      </c>
      <c r="F5657" t="inlineStr">
        <is>
          <t>Allmännings- och besparingsskogar</t>
        </is>
      </c>
      <c r="G5657" t="n">
        <v>18.3</v>
      </c>
      <c r="H5657" t="n">
        <v>0</v>
      </c>
      <c r="I5657" t="n">
        <v>0</v>
      </c>
      <c r="J5657" t="n">
        <v>0</v>
      </c>
      <c r="K5657" t="n">
        <v>0</v>
      </c>
      <c r="L5657" t="n">
        <v>0</v>
      </c>
      <c r="M5657" t="n">
        <v>0</v>
      </c>
      <c r="N5657" t="n">
        <v>0</v>
      </c>
      <c r="O5657" t="n">
        <v>0</v>
      </c>
      <c r="P5657" t="n">
        <v>0</v>
      </c>
      <c r="Q5657" t="n">
        <v>0</v>
      </c>
      <c r="R5657" s="2" t="inlineStr"/>
    </row>
    <row r="5658" ht="15" customHeight="1">
      <c r="A5658" t="inlineStr">
        <is>
          <t>A 37582-2024</t>
        </is>
      </c>
      <c r="B5658" s="1" t="n">
        <v>45541</v>
      </c>
      <c r="C5658" s="1" t="n">
        <v>45895</v>
      </c>
      <c r="D5658" t="inlineStr">
        <is>
          <t>NORRBOTTENS LÄN</t>
        </is>
      </c>
      <c r="E5658" t="inlineStr">
        <is>
          <t>KALIX</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40157-2025</t>
        </is>
      </c>
      <c r="B5659" s="1" t="n">
        <v>45894</v>
      </c>
      <c r="C5659" s="1" t="n">
        <v>45895</v>
      </c>
      <c r="D5659" t="inlineStr">
        <is>
          <t>NORRBOTTENS LÄN</t>
        </is>
      </c>
      <c r="E5659" t="inlineStr">
        <is>
          <t>BODEN</t>
        </is>
      </c>
      <c r="F5659" t="inlineStr">
        <is>
          <t>Övriga statliga verk och myndigheter</t>
        </is>
      </c>
      <c r="G5659" t="n">
        <v>17.6</v>
      </c>
      <c r="H5659" t="n">
        <v>0</v>
      </c>
      <c r="I5659" t="n">
        <v>0</v>
      </c>
      <c r="J5659" t="n">
        <v>0</v>
      </c>
      <c r="K5659" t="n">
        <v>0</v>
      </c>
      <c r="L5659" t="n">
        <v>0</v>
      </c>
      <c r="M5659" t="n">
        <v>0</v>
      </c>
      <c r="N5659" t="n">
        <v>0</v>
      </c>
      <c r="O5659" t="n">
        <v>0</v>
      </c>
      <c r="P5659" t="n">
        <v>0</v>
      </c>
      <c r="Q5659" t="n">
        <v>0</v>
      </c>
      <c r="R5659" s="2" t="inlineStr"/>
    </row>
    <row r="5660" ht="15" customHeight="1">
      <c r="A5660" t="inlineStr">
        <is>
          <t>A 40183-2025</t>
        </is>
      </c>
      <c r="B5660" s="1" t="n">
        <v>45894.64185185185</v>
      </c>
      <c r="C5660" s="1" t="n">
        <v>45895</v>
      </c>
      <c r="D5660" t="inlineStr">
        <is>
          <t>NORRBOTTENS LÄN</t>
        </is>
      </c>
      <c r="E5660" t="inlineStr">
        <is>
          <t>BODEN</t>
        </is>
      </c>
      <c r="F5660" t="inlineStr">
        <is>
          <t>Sveaskog</t>
        </is>
      </c>
      <c r="G5660" t="n">
        <v>10.7</v>
      </c>
      <c r="H5660" t="n">
        <v>0</v>
      </c>
      <c r="I5660" t="n">
        <v>0</v>
      </c>
      <c r="J5660" t="n">
        <v>0</v>
      </c>
      <c r="K5660" t="n">
        <v>0</v>
      </c>
      <c r="L5660" t="n">
        <v>0</v>
      </c>
      <c r="M5660" t="n">
        <v>0</v>
      </c>
      <c r="N5660" t="n">
        <v>0</v>
      </c>
      <c r="O5660" t="n">
        <v>0</v>
      </c>
      <c r="P5660" t="n">
        <v>0</v>
      </c>
      <c r="Q5660" t="n">
        <v>0</v>
      </c>
      <c r="R5660" s="2" t="inlineStr"/>
    </row>
    <row r="5661" ht="15" customHeight="1">
      <c r="A5661" t="inlineStr">
        <is>
          <t>A 29781-2024</t>
        </is>
      </c>
      <c r="B5661" s="1" t="n">
        <v>45485.45442129629</v>
      </c>
      <c r="C5661" s="1" t="n">
        <v>45895</v>
      </c>
      <c r="D5661" t="inlineStr">
        <is>
          <t>NORRBOTTENS LÄN</t>
        </is>
      </c>
      <c r="E5661" t="inlineStr">
        <is>
          <t>GÄLLIVARE</t>
        </is>
      </c>
      <c r="F5661" t="inlineStr">
        <is>
          <t>Sveaskog</t>
        </is>
      </c>
      <c r="G5661" t="n">
        <v>23.4</v>
      </c>
      <c r="H5661" t="n">
        <v>0</v>
      </c>
      <c r="I5661" t="n">
        <v>0</v>
      </c>
      <c r="J5661" t="n">
        <v>0</v>
      </c>
      <c r="K5661" t="n">
        <v>0</v>
      </c>
      <c r="L5661" t="n">
        <v>0</v>
      </c>
      <c r="M5661" t="n">
        <v>0</v>
      </c>
      <c r="N5661" t="n">
        <v>0</v>
      </c>
      <c r="O5661" t="n">
        <v>0</v>
      </c>
      <c r="P5661" t="n">
        <v>0</v>
      </c>
      <c r="Q5661" t="n">
        <v>0</v>
      </c>
      <c r="R5661" s="2" t="inlineStr"/>
    </row>
    <row r="5662" ht="15" customHeight="1">
      <c r="A5662" t="inlineStr">
        <is>
          <t>A 8068-2023</t>
        </is>
      </c>
      <c r="B5662" s="1" t="n">
        <v>44974.36233796296</v>
      </c>
      <c r="C5662" s="1" t="n">
        <v>45895</v>
      </c>
      <c r="D5662" t="inlineStr">
        <is>
          <t>NORRBOTTENS LÄN</t>
        </is>
      </c>
      <c r="E5662" t="inlineStr">
        <is>
          <t>LULEÅ</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51280-2024</t>
        </is>
      </c>
      <c r="B5663" s="1" t="n">
        <v>45603.75905092592</v>
      </c>
      <c r="C5663" s="1" t="n">
        <v>45895</v>
      </c>
      <c r="D5663" t="inlineStr">
        <is>
          <t>NORRBOTTENS LÄN</t>
        </is>
      </c>
      <c r="E5663" t="inlineStr">
        <is>
          <t>BODEN</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39968-2025</t>
        </is>
      </c>
      <c r="B5664" s="1" t="n">
        <v>45892.6153125</v>
      </c>
      <c r="C5664" s="1" t="n">
        <v>45895</v>
      </c>
      <c r="D5664" t="inlineStr">
        <is>
          <t>NORRBOTTENS LÄN</t>
        </is>
      </c>
      <c r="E5664" t="inlineStr">
        <is>
          <t>GÄLLIVARE</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39975-2025</t>
        </is>
      </c>
      <c r="B5665" s="1" t="n">
        <v>45893.46916666667</v>
      </c>
      <c r="C5665" s="1" t="n">
        <v>45895</v>
      </c>
      <c r="D5665" t="inlineStr">
        <is>
          <t>NORRBOTTENS LÄN</t>
        </is>
      </c>
      <c r="E5665" t="inlineStr">
        <is>
          <t>BODEN</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40131-2025</t>
        </is>
      </c>
      <c r="B5666" s="1" t="n">
        <v>45894</v>
      </c>
      <c r="C5666" s="1" t="n">
        <v>45895</v>
      </c>
      <c r="D5666" t="inlineStr">
        <is>
          <t>NORRBOTTENS LÄN</t>
        </is>
      </c>
      <c r="E5666" t="inlineStr">
        <is>
          <t>PAJALA</t>
        </is>
      </c>
      <c r="F5666" t="inlineStr">
        <is>
          <t>Sveaskog</t>
        </is>
      </c>
      <c r="G5666" t="n">
        <v>13.5</v>
      </c>
      <c r="H5666" t="n">
        <v>0</v>
      </c>
      <c r="I5666" t="n">
        <v>0</v>
      </c>
      <c r="J5666" t="n">
        <v>0</v>
      </c>
      <c r="K5666" t="n">
        <v>0</v>
      </c>
      <c r="L5666" t="n">
        <v>0</v>
      </c>
      <c r="M5666" t="n">
        <v>0</v>
      </c>
      <c r="N5666" t="n">
        <v>0</v>
      </c>
      <c r="O5666" t="n">
        <v>0</v>
      </c>
      <c r="P5666" t="n">
        <v>0</v>
      </c>
      <c r="Q5666" t="n">
        <v>0</v>
      </c>
      <c r="R5666" s="2" t="inlineStr"/>
    </row>
    <row r="5667" ht="15" customHeight="1">
      <c r="A5667" t="inlineStr">
        <is>
          <t>A 16906-2025</t>
        </is>
      </c>
      <c r="B5667" s="1" t="n">
        <v>45755.34925925926</v>
      </c>
      <c r="C5667" s="1" t="n">
        <v>45895</v>
      </c>
      <c r="D5667" t="inlineStr">
        <is>
          <t>NORRBOTTENS LÄN</t>
        </is>
      </c>
      <c r="E5667" t="inlineStr">
        <is>
          <t>PITEÅ</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31699-2023</t>
        </is>
      </c>
      <c r="B5668" s="1" t="n">
        <v>45117</v>
      </c>
      <c r="C5668" s="1" t="n">
        <v>45895</v>
      </c>
      <c r="D5668" t="inlineStr">
        <is>
          <t>NORRBOTTENS LÄN</t>
        </is>
      </c>
      <c r="E5668" t="inlineStr">
        <is>
          <t>ÖVERTORNEÅ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57815-2022</t>
        </is>
      </c>
      <c r="B5669" s="1" t="n">
        <v>44897.92459490741</v>
      </c>
      <c r="C5669" s="1" t="n">
        <v>45895</v>
      </c>
      <c r="D5669" t="inlineStr">
        <is>
          <t>NORRBOTTENS LÄN</t>
        </is>
      </c>
      <c r="E5669" t="inlineStr">
        <is>
          <t>LULEÅ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34880-2025</t>
        </is>
      </c>
      <c r="B5670" s="1" t="n">
        <v>45849.46875</v>
      </c>
      <c r="C5670" s="1" t="n">
        <v>45895</v>
      </c>
      <c r="D5670" t="inlineStr">
        <is>
          <t>NORRBOTTENS LÄN</t>
        </is>
      </c>
      <c r="E5670" t="inlineStr">
        <is>
          <t>PITEÅ</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20893-2025</t>
        </is>
      </c>
      <c r="B5671" s="1" t="n">
        <v>45776</v>
      </c>
      <c r="C5671" s="1" t="n">
        <v>45895</v>
      </c>
      <c r="D5671" t="inlineStr">
        <is>
          <t>NORRBOTTENS LÄN</t>
        </is>
      </c>
      <c r="E5671" t="inlineStr">
        <is>
          <t>KIRUNA</t>
        </is>
      </c>
      <c r="G5671" t="n">
        <v>27.3</v>
      </c>
      <c r="H5671" t="n">
        <v>0</v>
      </c>
      <c r="I5671" t="n">
        <v>0</v>
      </c>
      <c r="J5671" t="n">
        <v>0</v>
      </c>
      <c r="K5671" t="n">
        <v>0</v>
      </c>
      <c r="L5671" t="n">
        <v>0</v>
      </c>
      <c r="M5671" t="n">
        <v>0</v>
      </c>
      <c r="N5671" t="n">
        <v>0</v>
      </c>
      <c r="O5671" t="n">
        <v>0</v>
      </c>
      <c r="P5671" t="n">
        <v>0</v>
      </c>
      <c r="Q5671" t="n">
        <v>0</v>
      </c>
      <c r="R5671" s="2" t="inlineStr"/>
    </row>
    <row r="5672" ht="15" customHeight="1">
      <c r="A5672" t="inlineStr">
        <is>
          <t>A 46031-2021</t>
        </is>
      </c>
      <c r="B5672" s="1" t="n">
        <v>44441</v>
      </c>
      <c r="C5672" s="1" t="n">
        <v>45895</v>
      </c>
      <c r="D5672" t="inlineStr">
        <is>
          <t>NORRBOTTENS LÄN</t>
        </is>
      </c>
      <c r="E5672" t="inlineStr">
        <is>
          <t>ÖVERTORNEÅ</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25790-2024</t>
        </is>
      </c>
      <c r="B5673" s="1" t="n">
        <v>45467</v>
      </c>
      <c r="C5673" s="1" t="n">
        <v>45895</v>
      </c>
      <c r="D5673" t="inlineStr">
        <is>
          <t>NORRBOTTENS LÄN</t>
        </is>
      </c>
      <c r="E5673" t="inlineStr">
        <is>
          <t>ARVIDSJAUR</t>
        </is>
      </c>
      <c r="F5673" t="inlineStr">
        <is>
          <t>Sveaskog</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25791-2024</t>
        </is>
      </c>
      <c r="B5674" s="1" t="n">
        <v>45463</v>
      </c>
      <c r="C5674" s="1" t="n">
        <v>45895</v>
      </c>
      <c r="D5674" t="inlineStr">
        <is>
          <t>NORRBOTTENS LÄN</t>
        </is>
      </c>
      <c r="E5674" t="inlineStr">
        <is>
          <t>LULEÅ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25913-2024</t>
        </is>
      </c>
      <c r="B5675" s="1" t="n">
        <v>45467</v>
      </c>
      <c r="C5675" s="1" t="n">
        <v>45895</v>
      </c>
      <c r="D5675" t="inlineStr">
        <is>
          <t>NORRBOTTENS LÄN</t>
        </is>
      </c>
      <c r="E5675" t="inlineStr">
        <is>
          <t>ARVIDSJAUR</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62166-2023</t>
        </is>
      </c>
      <c r="B5676" s="1" t="n">
        <v>45266</v>
      </c>
      <c r="C5676" s="1" t="n">
        <v>45895</v>
      </c>
      <c r="D5676" t="inlineStr">
        <is>
          <t>NORRBOTTENS LÄN</t>
        </is>
      </c>
      <c r="E5676" t="inlineStr">
        <is>
          <t>KALIX</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56199-2021</t>
        </is>
      </c>
      <c r="B5677" s="1" t="n">
        <v>44477</v>
      </c>
      <c r="C5677" s="1" t="n">
        <v>45895</v>
      </c>
      <c r="D5677" t="inlineStr">
        <is>
          <t>NORRBOTTENS LÄN</t>
        </is>
      </c>
      <c r="E5677" t="inlineStr">
        <is>
          <t>JOKKMOKK</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40218-2025</t>
        </is>
      </c>
      <c r="B5678" s="1" t="n">
        <v>45894.68872685185</v>
      </c>
      <c r="C5678" s="1" t="n">
        <v>45895</v>
      </c>
      <c r="D5678" t="inlineStr">
        <is>
          <t>NORRBOTTENS LÄN</t>
        </is>
      </c>
      <c r="E5678" t="inlineStr">
        <is>
          <t>PAJALA</t>
        </is>
      </c>
      <c r="F5678" t="inlineStr">
        <is>
          <t>Sveaskog</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38677-2024</t>
        </is>
      </c>
      <c r="B5679" s="1" t="n">
        <v>45547</v>
      </c>
      <c r="C5679" s="1" t="n">
        <v>45895</v>
      </c>
      <c r="D5679" t="inlineStr">
        <is>
          <t>NORRBOTTENS LÄN</t>
        </is>
      </c>
      <c r="E5679" t="inlineStr">
        <is>
          <t>ÖVERTORNEÅ</t>
        </is>
      </c>
      <c r="G5679" t="n">
        <v>13.2</v>
      </c>
      <c r="H5679" t="n">
        <v>0</v>
      </c>
      <c r="I5679" t="n">
        <v>0</v>
      </c>
      <c r="J5679" t="n">
        <v>0</v>
      </c>
      <c r="K5679" t="n">
        <v>0</v>
      </c>
      <c r="L5679" t="n">
        <v>0</v>
      </c>
      <c r="M5679" t="n">
        <v>0</v>
      </c>
      <c r="N5679" t="n">
        <v>0</v>
      </c>
      <c r="O5679" t="n">
        <v>0</v>
      </c>
      <c r="P5679" t="n">
        <v>0</v>
      </c>
      <c r="Q5679" t="n">
        <v>0</v>
      </c>
      <c r="R5679" s="2" t="inlineStr"/>
    </row>
    <row r="5680" ht="15" customHeight="1">
      <c r="A5680" t="inlineStr">
        <is>
          <t>A 7553-2023</t>
        </is>
      </c>
      <c r="B5680" s="1" t="n">
        <v>44972.32969907407</v>
      </c>
      <c r="C5680" s="1" t="n">
        <v>45895</v>
      </c>
      <c r="D5680" t="inlineStr">
        <is>
          <t>NORRBOTTENS LÄN</t>
        </is>
      </c>
      <c r="E5680" t="inlineStr">
        <is>
          <t>PITEÅ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26594-2024</t>
        </is>
      </c>
      <c r="B5681" s="1" t="n">
        <v>45469.68552083334</v>
      </c>
      <c r="C5681" s="1" t="n">
        <v>45895</v>
      </c>
      <c r="D5681" t="inlineStr">
        <is>
          <t>NORRBOTTENS LÄN</t>
        </is>
      </c>
      <c r="E5681" t="inlineStr">
        <is>
          <t>LULEÅ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8179-2024</t>
        </is>
      </c>
      <c r="B5682" s="1" t="n">
        <v>45349</v>
      </c>
      <c r="C5682" s="1" t="n">
        <v>45895</v>
      </c>
      <c r="D5682" t="inlineStr">
        <is>
          <t>NORRBOTTENS LÄN</t>
        </is>
      </c>
      <c r="E5682" t="inlineStr">
        <is>
          <t>PAJALA</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8862-2024</t>
        </is>
      </c>
      <c r="B5683" s="1" t="n">
        <v>45356.96326388889</v>
      </c>
      <c r="C5683" s="1" t="n">
        <v>45895</v>
      </c>
      <c r="D5683" t="inlineStr">
        <is>
          <t>NORRBOTTENS LÄN</t>
        </is>
      </c>
      <c r="E5683" t="inlineStr">
        <is>
          <t>LULEÅ</t>
        </is>
      </c>
      <c r="G5683" t="n">
        <v>10.6</v>
      </c>
      <c r="H5683" t="n">
        <v>0</v>
      </c>
      <c r="I5683" t="n">
        <v>0</v>
      </c>
      <c r="J5683" t="n">
        <v>0</v>
      </c>
      <c r="K5683" t="n">
        <v>0</v>
      </c>
      <c r="L5683" t="n">
        <v>0</v>
      </c>
      <c r="M5683" t="n">
        <v>0</v>
      </c>
      <c r="N5683" t="n">
        <v>0</v>
      </c>
      <c r="O5683" t="n">
        <v>0</v>
      </c>
      <c r="P5683" t="n">
        <v>0</v>
      </c>
      <c r="Q5683" t="n">
        <v>0</v>
      </c>
      <c r="R5683" s="2" t="inlineStr"/>
    </row>
    <row r="5684" ht="15" customHeight="1">
      <c r="A5684" t="inlineStr">
        <is>
          <t>A 42822-2024</t>
        </is>
      </c>
      <c r="B5684" s="1" t="n">
        <v>45566.59611111111</v>
      </c>
      <c r="C5684" s="1" t="n">
        <v>45895</v>
      </c>
      <c r="D5684" t="inlineStr">
        <is>
          <t>NORRBOTTENS LÄN</t>
        </is>
      </c>
      <c r="E5684" t="inlineStr">
        <is>
          <t>LULEÅ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8886-2021</t>
        </is>
      </c>
      <c r="B5685" s="1" t="n">
        <v>44248</v>
      </c>
      <c r="C5685" s="1" t="n">
        <v>45895</v>
      </c>
      <c r="D5685" t="inlineStr">
        <is>
          <t>NORRBOTTENS LÄN</t>
        </is>
      </c>
      <c r="E5685" t="inlineStr">
        <is>
          <t>BODEN</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34842-2025</t>
        </is>
      </c>
      <c r="B5686" s="1" t="n">
        <v>45849.40664351852</v>
      </c>
      <c r="C5686" s="1" t="n">
        <v>45895</v>
      </c>
      <c r="D5686" t="inlineStr">
        <is>
          <t>NORRBOTTENS LÄN</t>
        </is>
      </c>
      <c r="E5686" t="inlineStr">
        <is>
          <t>ÖVERTORNEÅ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35749-2025</t>
        </is>
      </c>
      <c r="B5687" s="1" t="n">
        <v>45860</v>
      </c>
      <c r="C5687" s="1" t="n">
        <v>45895</v>
      </c>
      <c r="D5687" t="inlineStr">
        <is>
          <t>NORRBOTTENS LÄN</t>
        </is>
      </c>
      <c r="E5687" t="inlineStr">
        <is>
          <t>JOKKMOKK</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19280-2024</t>
        </is>
      </c>
      <c r="B5688" s="1" t="n">
        <v>45428</v>
      </c>
      <c r="C5688" s="1" t="n">
        <v>45895</v>
      </c>
      <c r="D5688" t="inlineStr">
        <is>
          <t>NORRBOTTENS LÄN</t>
        </is>
      </c>
      <c r="E5688" t="inlineStr">
        <is>
          <t>JOKKMOKK</t>
        </is>
      </c>
      <c r="F5688" t="inlineStr">
        <is>
          <t>Sveaskog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57563-2023</t>
        </is>
      </c>
      <c r="B5689" s="1" t="n">
        <v>45246</v>
      </c>
      <c r="C5689" s="1" t="n">
        <v>45895</v>
      </c>
      <c r="D5689" t="inlineStr">
        <is>
          <t>NORRBOTTENS LÄN</t>
        </is>
      </c>
      <c r="E5689" t="inlineStr">
        <is>
          <t>BODEN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58172-2024</t>
        </is>
      </c>
      <c r="B5690" s="1" t="n">
        <v>45632</v>
      </c>
      <c r="C5690" s="1" t="n">
        <v>45895</v>
      </c>
      <c r="D5690" t="inlineStr">
        <is>
          <t>NORRBOTTENS LÄN</t>
        </is>
      </c>
      <c r="E5690" t="inlineStr">
        <is>
          <t>ÖVERTORNEÅ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58178-2024</t>
        </is>
      </c>
      <c r="B5691" s="1" t="n">
        <v>45632.46892361111</v>
      </c>
      <c r="C5691" s="1" t="n">
        <v>45895</v>
      </c>
      <c r="D5691" t="inlineStr">
        <is>
          <t>NORRBOTTENS LÄN</t>
        </is>
      </c>
      <c r="E5691" t="inlineStr">
        <is>
          <t>ÖVERTORNEÅ</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36810-2024</t>
        </is>
      </c>
      <c r="B5692" s="1" t="n">
        <v>45538.4730324074</v>
      </c>
      <c r="C5692" s="1" t="n">
        <v>45895</v>
      </c>
      <c r="D5692" t="inlineStr">
        <is>
          <t>NORRBOTTENS LÄN</t>
        </is>
      </c>
      <c r="E5692" t="inlineStr">
        <is>
          <t>PAJALA</t>
        </is>
      </c>
      <c r="G5692" t="n">
        <v>7.4</v>
      </c>
      <c r="H5692" t="n">
        <v>0</v>
      </c>
      <c r="I5692" t="n">
        <v>0</v>
      </c>
      <c r="J5692" t="n">
        <v>0</v>
      </c>
      <c r="K5692" t="n">
        <v>0</v>
      </c>
      <c r="L5692" t="n">
        <v>0</v>
      </c>
      <c r="M5692" t="n">
        <v>0</v>
      </c>
      <c r="N5692" t="n">
        <v>0</v>
      </c>
      <c r="O5692" t="n">
        <v>0</v>
      </c>
      <c r="P5692" t="n">
        <v>0</v>
      </c>
      <c r="Q5692" t="n">
        <v>0</v>
      </c>
      <c r="R5692" s="2" t="inlineStr"/>
    </row>
    <row r="5693" ht="15" customHeight="1">
      <c r="A5693" t="inlineStr">
        <is>
          <t>A 58201-2024</t>
        </is>
      </c>
      <c r="B5693" s="1" t="n">
        <v>45632</v>
      </c>
      <c r="C5693" s="1" t="n">
        <v>45895</v>
      </c>
      <c r="D5693" t="inlineStr">
        <is>
          <t>NORRBOTTENS LÄN</t>
        </is>
      </c>
      <c r="E5693" t="inlineStr">
        <is>
          <t>ÖVERTORNEÅ</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45035-2022</t>
        </is>
      </c>
      <c r="B5694" s="1" t="n">
        <v>44841.66430555555</v>
      </c>
      <c r="C5694" s="1" t="n">
        <v>45895</v>
      </c>
      <c r="D5694" t="inlineStr">
        <is>
          <t>NORRBOTTENS LÄN</t>
        </is>
      </c>
      <c r="E5694" t="inlineStr">
        <is>
          <t>BODEN</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40282-2024</t>
        </is>
      </c>
      <c r="B5695" s="1" t="n">
        <v>45554.66056712963</v>
      </c>
      <c r="C5695" s="1" t="n">
        <v>45895</v>
      </c>
      <c r="D5695" t="inlineStr">
        <is>
          <t>NORRBOTTENS LÄN</t>
        </is>
      </c>
      <c r="E5695" t="inlineStr">
        <is>
          <t>ÄLVSBYN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57892-2023</t>
        </is>
      </c>
      <c r="B5696" s="1" t="n">
        <v>45244</v>
      </c>
      <c r="C5696" s="1" t="n">
        <v>45895</v>
      </c>
      <c r="D5696" t="inlineStr">
        <is>
          <t>NORRBOTTENS LÄN</t>
        </is>
      </c>
      <c r="E5696" t="inlineStr">
        <is>
          <t>PITEÅ</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39959-2025</t>
        </is>
      </c>
      <c r="B5697" s="1" t="n">
        <v>45892</v>
      </c>
      <c r="C5697" s="1" t="n">
        <v>45895</v>
      </c>
      <c r="D5697" t="inlineStr">
        <is>
          <t>NORRBOTTENS LÄN</t>
        </is>
      </c>
      <c r="E5697" t="inlineStr">
        <is>
          <t>KALIX</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39960-2025</t>
        </is>
      </c>
      <c r="B5698" s="1" t="n">
        <v>45892.48996527777</v>
      </c>
      <c r="C5698" s="1" t="n">
        <v>45895</v>
      </c>
      <c r="D5698" t="inlineStr">
        <is>
          <t>NORRBOTTENS LÄN</t>
        </is>
      </c>
      <c r="E5698" t="inlineStr">
        <is>
          <t>GÄLLIVARE</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35019-2025</t>
        </is>
      </c>
      <c r="B5699" s="1" t="n">
        <v>45851.86467592593</v>
      </c>
      <c r="C5699" s="1" t="n">
        <v>45895</v>
      </c>
      <c r="D5699" t="inlineStr">
        <is>
          <t>NORRBOTTENS LÄN</t>
        </is>
      </c>
      <c r="E5699" t="inlineStr">
        <is>
          <t>KALIX</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50820-2024</t>
        </is>
      </c>
      <c r="B5700" s="1" t="n">
        <v>45602</v>
      </c>
      <c r="C5700" s="1" t="n">
        <v>45895</v>
      </c>
      <c r="D5700" t="inlineStr">
        <is>
          <t>NORRBOTTENS LÄN</t>
        </is>
      </c>
      <c r="E5700" t="inlineStr">
        <is>
          <t>JOKKMOKK</t>
        </is>
      </c>
      <c r="F5700" t="inlineStr">
        <is>
          <t>Allmännings- och besparingsskogar</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18436-2025</t>
        </is>
      </c>
      <c r="B5701" s="1" t="n">
        <v>45762</v>
      </c>
      <c r="C5701" s="1" t="n">
        <v>45895</v>
      </c>
      <c r="D5701" t="inlineStr">
        <is>
          <t>NORRBOTTENS LÄN</t>
        </is>
      </c>
      <c r="E5701" t="inlineStr">
        <is>
          <t>BODEN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2826-2025</t>
        </is>
      </c>
      <c r="B5702" s="1" t="n">
        <v>45677.61483796296</v>
      </c>
      <c r="C5702" s="1" t="n">
        <v>45895</v>
      </c>
      <c r="D5702" t="inlineStr">
        <is>
          <t>NORRBOTTENS LÄN</t>
        </is>
      </c>
      <c r="E5702" t="inlineStr">
        <is>
          <t>JOKKMOKK</t>
        </is>
      </c>
      <c r="F5702" t="inlineStr">
        <is>
          <t>Övriga statliga verk och myndigheter</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39891-2025</t>
        </is>
      </c>
      <c r="B5703" s="1" t="n">
        <v>45891.62828703703</v>
      </c>
      <c r="C5703" s="1" t="n">
        <v>45895</v>
      </c>
      <c r="D5703" t="inlineStr">
        <is>
          <t>NORRBOTTENS LÄN</t>
        </is>
      </c>
      <c r="E5703" t="inlineStr">
        <is>
          <t>PITEÅ</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40100-2025</t>
        </is>
      </c>
      <c r="B5704" s="1" t="n">
        <v>45894.48466435185</v>
      </c>
      <c r="C5704" s="1" t="n">
        <v>45895</v>
      </c>
      <c r="D5704" t="inlineStr">
        <is>
          <t>NORRBOTTENS LÄN</t>
        </is>
      </c>
      <c r="E5704" t="inlineStr">
        <is>
          <t>HAPARANDA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40117-2025</t>
        </is>
      </c>
      <c r="B5705" s="1" t="n">
        <v>45894.51857638889</v>
      </c>
      <c r="C5705" s="1" t="n">
        <v>45895</v>
      </c>
      <c r="D5705" t="inlineStr">
        <is>
          <t>NORRBOTTENS LÄN</t>
        </is>
      </c>
      <c r="E5705" t="inlineStr">
        <is>
          <t>BODEN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40123-2025</t>
        </is>
      </c>
      <c r="B5706" s="1" t="n">
        <v>45894.53157407408</v>
      </c>
      <c r="C5706" s="1" t="n">
        <v>45895</v>
      </c>
      <c r="D5706" t="inlineStr">
        <is>
          <t>NORRBOTTENS LÄN</t>
        </is>
      </c>
      <c r="E5706" t="inlineStr">
        <is>
          <t>PITEÅ</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4347-2025</t>
        </is>
      </c>
      <c r="B5707" s="1" t="n">
        <v>45685.92931712963</v>
      </c>
      <c r="C5707" s="1" t="n">
        <v>45895</v>
      </c>
      <c r="D5707" t="inlineStr">
        <is>
          <t>NORRBOTTENS LÄN</t>
        </is>
      </c>
      <c r="E5707" t="inlineStr">
        <is>
          <t>LULEÅ</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39846-2025</t>
        </is>
      </c>
      <c r="B5708" s="1" t="n">
        <v>45891.58376157407</v>
      </c>
      <c r="C5708" s="1" t="n">
        <v>45895</v>
      </c>
      <c r="D5708" t="inlineStr">
        <is>
          <t>NORRBOTTENS LÄN</t>
        </is>
      </c>
      <c r="E5708" t="inlineStr">
        <is>
          <t>JOKKMOKK</t>
        </is>
      </c>
      <c r="F5708" t="inlineStr">
        <is>
          <t>Sveaskog</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59929-2020</t>
        </is>
      </c>
      <c r="B5709" s="1" t="n">
        <v>44148</v>
      </c>
      <c r="C5709" s="1" t="n">
        <v>45895</v>
      </c>
      <c r="D5709" t="inlineStr">
        <is>
          <t>NORRBOTTENS LÄN</t>
        </is>
      </c>
      <c r="E5709" t="inlineStr">
        <is>
          <t>ARVIDSJAUR</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1469-2025</t>
        </is>
      </c>
      <c r="B5710" s="1" t="n">
        <v>45670</v>
      </c>
      <c r="C5710" s="1" t="n">
        <v>45895</v>
      </c>
      <c r="D5710" t="inlineStr">
        <is>
          <t>NORRBOTTENS LÄN</t>
        </is>
      </c>
      <c r="E5710" t="inlineStr">
        <is>
          <t>ÖVERTORNEÅ</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1470-2025</t>
        </is>
      </c>
      <c r="B5711" s="1" t="n">
        <v>45670</v>
      </c>
      <c r="C5711" s="1" t="n">
        <v>45895</v>
      </c>
      <c r="D5711" t="inlineStr">
        <is>
          <t>NORRBOTTENS LÄN</t>
        </is>
      </c>
      <c r="E5711" t="inlineStr">
        <is>
          <t>ÖVERTORNEÅ</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39793-2025</t>
        </is>
      </c>
      <c r="B5712" s="1" t="n">
        <v>45891.48686342593</v>
      </c>
      <c r="C5712" s="1" t="n">
        <v>45895</v>
      </c>
      <c r="D5712" t="inlineStr">
        <is>
          <t>NORRBOTTENS LÄN</t>
        </is>
      </c>
      <c r="E5712" t="inlineStr">
        <is>
          <t>GÄLLIVARE</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39080-2024</t>
        </is>
      </c>
      <c r="B5713" s="1" t="n">
        <v>45548.5446875</v>
      </c>
      <c r="C5713" s="1" t="n">
        <v>45895</v>
      </c>
      <c r="D5713" t="inlineStr">
        <is>
          <t>NORRBOTTENS LÄN</t>
        </is>
      </c>
      <c r="E5713" t="inlineStr">
        <is>
          <t>PAJALA</t>
        </is>
      </c>
      <c r="F5713" t="inlineStr">
        <is>
          <t>Sveaskog</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16336-2023</t>
        </is>
      </c>
      <c r="B5714" s="1" t="n">
        <v>45022</v>
      </c>
      <c r="C5714" s="1" t="n">
        <v>45895</v>
      </c>
      <c r="D5714" t="inlineStr">
        <is>
          <t>NORRBOTTENS LÄN</t>
        </is>
      </c>
      <c r="E5714" t="inlineStr">
        <is>
          <t>JOKKMOKK</t>
        </is>
      </c>
      <c r="F5714" t="inlineStr">
        <is>
          <t>Övriga statliga verk och myndigheter</t>
        </is>
      </c>
      <c r="G5714" t="n">
        <v>130.2</v>
      </c>
      <c r="H5714" t="n">
        <v>0</v>
      </c>
      <c r="I5714" t="n">
        <v>0</v>
      </c>
      <c r="J5714" t="n">
        <v>0</v>
      </c>
      <c r="K5714" t="n">
        <v>0</v>
      </c>
      <c r="L5714" t="n">
        <v>0</v>
      </c>
      <c r="M5714" t="n">
        <v>0</v>
      </c>
      <c r="N5714" t="n">
        <v>0</v>
      </c>
      <c r="O5714" t="n">
        <v>0</v>
      </c>
      <c r="P5714" t="n">
        <v>0</v>
      </c>
      <c r="Q5714" t="n">
        <v>0</v>
      </c>
      <c r="R5714" s="2" t="inlineStr"/>
    </row>
    <row r="5715" ht="15" customHeight="1">
      <c r="A5715" t="inlineStr">
        <is>
          <t>A 59505-2023</t>
        </is>
      </c>
      <c r="B5715" s="1" t="n">
        <v>45254</v>
      </c>
      <c r="C5715" s="1" t="n">
        <v>45895</v>
      </c>
      <c r="D5715" t="inlineStr">
        <is>
          <t>NORRBOTTENS LÄN</t>
        </is>
      </c>
      <c r="E5715" t="inlineStr">
        <is>
          <t>PITEÅ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11809-2024</t>
        </is>
      </c>
      <c r="B5716" s="1" t="n">
        <v>45375</v>
      </c>
      <c r="C5716" s="1" t="n">
        <v>45895</v>
      </c>
      <c r="D5716" t="inlineStr">
        <is>
          <t>NORRBOTTENS LÄN</t>
        </is>
      </c>
      <c r="E5716" t="inlineStr">
        <is>
          <t>PITEÅ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52075-2021</t>
        </is>
      </c>
      <c r="B5717" s="1" t="n">
        <v>44463.40267361111</v>
      </c>
      <c r="C5717" s="1" t="n">
        <v>45895</v>
      </c>
      <c r="D5717" t="inlineStr">
        <is>
          <t>NORRBOTTENS LÄN</t>
        </is>
      </c>
      <c r="E5717" t="inlineStr">
        <is>
          <t>BODEN</t>
        </is>
      </c>
      <c r="F5717" t="inlineStr">
        <is>
          <t>Sveaskog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39808-2025</t>
        </is>
      </c>
      <c r="B5718" s="1" t="n">
        <v>45891.51008101852</v>
      </c>
      <c r="C5718" s="1" t="n">
        <v>45895</v>
      </c>
      <c r="D5718" t="inlineStr">
        <is>
          <t>NORRBOTTENS LÄN</t>
        </is>
      </c>
      <c r="E5718" t="inlineStr">
        <is>
          <t>BODEN</t>
        </is>
      </c>
      <c r="F5718" t="inlineStr">
        <is>
          <t>Sveaskog</t>
        </is>
      </c>
      <c r="G5718" t="n">
        <v>29.2</v>
      </c>
      <c r="H5718" t="n">
        <v>0</v>
      </c>
      <c r="I5718" t="n">
        <v>0</v>
      </c>
      <c r="J5718" t="n">
        <v>0</v>
      </c>
      <c r="K5718" t="n">
        <v>0</v>
      </c>
      <c r="L5718" t="n">
        <v>0</v>
      </c>
      <c r="M5718" t="n">
        <v>0</v>
      </c>
      <c r="N5718" t="n">
        <v>0</v>
      </c>
      <c r="O5718" t="n">
        <v>0</v>
      </c>
      <c r="P5718" t="n">
        <v>0</v>
      </c>
      <c r="Q5718" t="n">
        <v>0</v>
      </c>
      <c r="R5718" s="2" t="inlineStr"/>
    </row>
    <row r="5719" ht="15" customHeight="1">
      <c r="A5719" t="inlineStr">
        <is>
          <t>A 40198-2025</t>
        </is>
      </c>
      <c r="B5719" s="1" t="n">
        <v>45894.66540509259</v>
      </c>
      <c r="C5719" s="1" t="n">
        <v>45895</v>
      </c>
      <c r="D5719" t="inlineStr">
        <is>
          <t>NORRBOTTENS LÄN</t>
        </is>
      </c>
      <c r="E5719" t="inlineStr">
        <is>
          <t>ÖVERTORNEÅ</t>
        </is>
      </c>
      <c r="F5719" t="inlineStr">
        <is>
          <t>Sveaskog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48656-2024</t>
        </is>
      </c>
      <c r="B5720" s="1" t="n">
        <v>45593.48490740741</v>
      </c>
      <c r="C5720" s="1" t="n">
        <v>45895</v>
      </c>
      <c r="D5720" t="inlineStr">
        <is>
          <t>NORRBOTTENS LÄN</t>
        </is>
      </c>
      <c r="E5720" t="inlineStr">
        <is>
          <t>PAJALA</t>
        </is>
      </c>
      <c r="G5720" t="n">
        <v>12.7</v>
      </c>
      <c r="H5720" t="n">
        <v>0</v>
      </c>
      <c r="I5720" t="n">
        <v>0</v>
      </c>
      <c r="J5720" t="n">
        <v>0</v>
      </c>
      <c r="K5720" t="n">
        <v>0</v>
      </c>
      <c r="L5720" t="n">
        <v>0</v>
      </c>
      <c r="M5720" t="n">
        <v>0</v>
      </c>
      <c r="N5720" t="n">
        <v>0</v>
      </c>
      <c r="O5720" t="n">
        <v>0</v>
      </c>
      <c r="P5720" t="n">
        <v>0</v>
      </c>
      <c r="Q5720" t="n">
        <v>0</v>
      </c>
      <c r="R5720" s="2" t="inlineStr"/>
    </row>
    <row r="5721" ht="15" customHeight="1">
      <c r="A5721" t="inlineStr">
        <is>
          <t>A 25901-2025</t>
        </is>
      </c>
      <c r="B5721" s="1" t="n">
        <v>45803</v>
      </c>
      <c r="C5721" s="1" t="n">
        <v>45895</v>
      </c>
      <c r="D5721" t="inlineStr">
        <is>
          <t>NORRBOTTENS LÄN</t>
        </is>
      </c>
      <c r="E5721" t="inlineStr">
        <is>
          <t>BODEN</t>
        </is>
      </c>
      <c r="G5721" t="n">
        <v>9.699999999999999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4390-2025</t>
        </is>
      </c>
      <c r="B5722" s="1" t="n">
        <v>45686.41289351852</v>
      </c>
      <c r="C5722" s="1" t="n">
        <v>45895</v>
      </c>
      <c r="D5722" t="inlineStr">
        <is>
          <t>NORRBOTTENS LÄN</t>
        </is>
      </c>
      <c r="E5722" t="inlineStr">
        <is>
          <t>GÄLLIVARE</t>
        </is>
      </c>
      <c r="F5722" t="inlineStr">
        <is>
          <t>Sveaskog</t>
        </is>
      </c>
      <c r="G5722" t="n">
        <v>12.7</v>
      </c>
      <c r="H5722" t="n">
        <v>0</v>
      </c>
      <c r="I5722" t="n">
        <v>0</v>
      </c>
      <c r="J5722" t="n">
        <v>0</v>
      </c>
      <c r="K5722" t="n">
        <v>0</v>
      </c>
      <c r="L5722" t="n">
        <v>0</v>
      </c>
      <c r="M5722" t="n">
        <v>0</v>
      </c>
      <c r="N5722" t="n">
        <v>0</v>
      </c>
      <c r="O5722" t="n">
        <v>0</v>
      </c>
      <c r="P5722" t="n">
        <v>0</v>
      </c>
      <c r="Q5722" t="n">
        <v>0</v>
      </c>
      <c r="R5722" s="2" t="inlineStr"/>
    </row>
    <row r="5723" ht="15" customHeight="1">
      <c r="A5723" t="inlineStr">
        <is>
          <t>A 40023-2025</t>
        </is>
      </c>
      <c r="B5723" s="1" t="n">
        <v>45894.36493055556</v>
      </c>
      <c r="C5723" s="1" t="n">
        <v>45895</v>
      </c>
      <c r="D5723" t="inlineStr">
        <is>
          <t>NORRBOTTENS LÄN</t>
        </is>
      </c>
      <c r="E5723" t="inlineStr">
        <is>
          <t>BODEN</t>
        </is>
      </c>
      <c r="F5723" t="inlineStr">
        <is>
          <t>SCA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50823-2024</t>
        </is>
      </c>
      <c r="B5724" s="1" t="n">
        <v>45602.57842592592</v>
      </c>
      <c r="C5724" s="1" t="n">
        <v>45895</v>
      </c>
      <c r="D5724" t="inlineStr">
        <is>
          <t>NORRBOTTENS LÄN</t>
        </is>
      </c>
      <c r="E5724" t="inlineStr">
        <is>
          <t>PAJALA</t>
        </is>
      </c>
      <c r="F5724" t="inlineStr">
        <is>
          <t>Sveaskog</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39562-2023</t>
        </is>
      </c>
      <c r="B5725" s="1" t="n">
        <v>45167.3946412037</v>
      </c>
      <c r="C5725" s="1" t="n">
        <v>45895</v>
      </c>
      <c r="D5725" t="inlineStr">
        <is>
          <t>NORRBOTTENS LÄN</t>
        </is>
      </c>
      <c r="E5725" t="inlineStr">
        <is>
          <t>PITEÅ</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37409-2024</t>
        </is>
      </c>
      <c r="B5726" s="1" t="n">
        <v>45540</v>
      </c>
      <c r="C5726" s="1" t="n">
        <v>45895</v>
      </c>
      <c r="D5726" t="inlineStr">
        <is>
          <t>NORRBOTTENS LÄN</t>
        </is>
      </c>
      <c r="E5726" t="inlineStr">
        <is>
          <t>ÖVERTORNEÅ</t>
        </is>
      </c>
      <c r="F5726" t="inlineStr">
        <is>
          <t>Sveaskog</t>
        </is>
      </c>
      <c r="G5726" t="n">
        <v>14.7</v>
      </c>
      <c r="H5726" t="n">
        <v>0</v>
      </c>
      <c r="I5726" t="n">
        <v>0</v>
      </c>
      <c r="J5726" t="n">
        <v>0</v>
      </c>
      <c r="K5726" t="n">
        <v>0</v>
      </c>
      <c r="L5726" t="n">
        <v>0</v>
      </c>
      <c r="M5726" t="n">
        <v>0</v>
      </c>
      <c r="N5726" t="n">
        <v>0</v>
      </c>
      <c r="O5726" t="n">
        <v>0</v>
      </c>
      <c r="P5726" t="n">
        <v>0</v>
      </c>
      <c r="Q5726" t="n">
        <v>0</v>
      </c>
      <c r="R5726" s="2" t="inlineStr"/>
    </row>
    <row r="5727" ht="15" customHeight="1">
      <c r="A5727" t="inlineStr">
        <is>
          <t>A 28074-2024</t>
        </is>
      </c>
      <c r="B5727" s="1" t="n">
        <v>45476.58195601852</v>
      </c>
      <c r="C5727" s="1" t="n">
        <v>45895</v>
      </c>
      <c r="D5727" t="inlineStr">
        <is>
          <t>NORRBOTTENS LÄN</t>
        </is>
      </c>
      <c r="E5727" t="inlineStr">
        <is>
          <t>BODEN</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54274-2023</t>
        </is>
      </c>
      <c r="B5728" s="1" t="n">
        <v>45232.68149305556</v>
      </c>
      <c r="C5728" s="1" t="n">
        <v>45895</v>
      </c>
      <c r="D5728" t="inlineStr">
        <is>
          <t>NORRBOTTENS LÄN</t>
        </is>
      </c>
      <c r="E5728" t="inlineStr">
        <is>
          <t>PITEÅ</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35836-2025</t>
        </is>
      </c>
      <c r="B5729" s="1" t="n">
        <v>45861</v>
      </c>
      <c r="C5729" s="1" t="n">
        <v>45895</v>
      </c>
      <c r="D5729" t="inlineStr">
        <is>
          <t>NORRBOTTENS LÄN</t>
        </is>
      </c>
      <c r="E5729" t="inlineStr">
        <is>
          <t>ÄLVSBYN</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39958-2025</t>
        </is>
      </c>
      <c r="B5730" s="1" t="n">
        <v>45892</v>
      </c>
      <c r="C5730" s="1" t="n">
        <v>45895</v>
      </c>
      <c r="D5730" t="inlineStr">
        <is>
          <t>NORRBOTTENS LÄN</t>
        </is>
      </c>
      <c r="E5730" t="inlineStr">
        <is>
          <t>KALIX</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40085-2025</t>
        </is>
      </c>
      <c r="B5731" s="1" t="n">
        <v>45894.47200231482</v>
      </c>
      <c r="C5731" s="1" t="n">
        <v>45895</v>
      </c>
      <c r="D5731" t="inlineStr">
        <is>
          <t>NORRBOTTENS LÄN</t>
        </is>
      </c>
      <c r="E5731" t="inlineStr">
        <is>
          <t>ÖVERTORNEÅ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40086-2025</t>
        </is>
      </c>
      <c r="B5732" s="1" t="n">
        <v>45894.47443287037</v>
      </c>
      <c r="C5732" s="1" t="n">
        <v>45895</v>
      </c>
      <c r="D5732" t="inlineStr">
        <is>
          <t>NORRBOTTENS LÄN</t>
        </is>
      </c>
      <c r="E5732" t="inlineStr">
        <is>
          <t>PITEÅ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40093-2025</t>
        </is>
      </c>
      <c r="B5733" s="1" t="n">
        <v>45894.47996527778</v>
      </c>
      <c r="C5733" s="1" t="n">
        <v>45895</v>
      </c>
      <c r="D5733" t="inlineStr">
        <is>
          <t>NORRBOTTENS LÄN</t>
        </is>
      </c>
      <c r="E5733" t="inlineStr">
        <is>
          <t>HAPARANDA</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39741-2025</t>
        </is>
      </c>
      <c r="B5734" s="1" t="n">
        <v>45891.37986111111</v>
      </c>
      <c r="C5734" s="1" t="n">
        <v>45895</v>
      </c>
      <c r="D5734" t="inlineStr">
        <is>
          <t>NORRBOTTENS LÄN</t>
        </is>
      </c>
      <c r="E5734" t="inlineStr">
        <is>
          <t>BODEN</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40087-2025</t>
        </is>
      </c>
      <c r="B5735" s="1" t="n">
        <v>45894.47574074074</v>
      </c>
      <c r="C5735" s="1" t="n">
        <v>45895</v>
      </c>
      <c r="D5735" t="inlineStr">
        <is>
          <t>NORRBOTTENS LÄN</t>
        </is>
      </c>
      <c r="E5735" t="inlineStr">
        <is>
          <t>PITEÅ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34799-2025</t>
        </is>
      </c>
      <c r="B5736" s="1" t="n">
        <v>45848.90603009259</v>
      </c>
      <c r="C5736" s="1" t="n">
        <v>45895</v>
      </c>
      <c r="D5736" t="inlineStr">
        <is>
          <t>NORRBOTTENS LÄN</t>
        </is>
      </c>
      <c r="E5736" t="inlineStr">
        <is>
          <t>ÖVERTORNEÅ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40115-2025</t>
        </is>
      </c>
      <c r="B5737" s="1" t="n">
        <v>45893</v>
      </c>
      <c r="C5737" s="1" t="n">
        <v>45895</v>
      </c>
      <c r="D5737" t="inlineStr">
        <is>
          <t>NORRBOTTENS LÄN</t>
        </is>
      </c>
      <c r="E5737" t="inlineStr">
        <is>
          <t>BODEN</t>
        </is>
      </c>
      <c r="F5737" t="inlineStr">
        <is>
          <t>Övriga statliga verk och myndigheter</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40130-2025</t>
        </is>
      </c>
      <c r="B5738" s="1" t="n">
        <v>45894.54615740741</v>
      </c>
      <c r="C5738" s="1" t="n">
        <v>45895</v>
      </c>
      <c r="D5738" t="inlineStr">
        <is>
          <t>NORRBOTTENS LÄN</t>
        </is>
      </c>
      <c r="E5738" t="inlineStr">
        <is>
          <t>BODEN</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39923-2025</t>
        </is>
      </c>
      <c r="B5739" s="1" t="n">
        <v>45891.6709375</v>
      </c>
      <c r="C5739" s="1" t="n">
        <v>45895</v>
      </c>
      <c r="D5739" t="inlineStr">
        <is>
          <t>NORRBOTTENS LÄN</t>
        </is>
      </c>
      <c r="E5739" t="inlineStr">
        <is>
          <t>PAJALA</t>
        </is>
      </c>
      <c r="F5739" t="inlineStr">
        <is>
          <t>Sveaskog</t>
        </is>
      </c>
      <c r="G5739" t="n">
        <v>32.1</v>
      </c>
      <c r="H5739" t="n">
        <v>0</v>
      </c>
      <c r="I5739" t="n">
        <v>0</v>
      </c>
      <c r="J5739" t="n">
        <v>0</v>
      </c>
      <c r="K5739" t="n">
        <v>0</v>
      </c>
      <c r="L5739" t="n">
        <v>0</v>
      </c>
      <c r="M5739" t="n">
        <v>0</v>
      </c>
      <c r="N5739" t="n">
        <v>0</v>
      </c>
      <c r="O5739" t="n">
        <v>0</v>
      </c>
      <c r="P5739" t="n">
        <v>0</v>
      </c>
      <c r="Q5739" t="n">
        <v>0</v>
      </c>
      <c r="R5739" s="2" t="inlineStr"/>
    </row>
    <row r="5740" ht="15" customHeight="1">
      <c r="A5740" t="inlineStr">
        <is>
          <t>A 39932-2025</t>
        </is>
      </c>
      <c r="B5740" s="1" t="n">
        <v>45891</v>
      </c>
      <c r="C5740" s="1" t="n">
        <v>45895</v>
      </c>
      <c r="D5740" t="inlineStr">
        <is>
          <t>NORRBOTTENS LÄN</t>
        </is>
      </c>
      <c r="E5740" t="inlineStr">
        <is>
          <t>ÄLVSBYN</t>
        </is>
      </c>
      <c r="G5740" t="n">
        <v>10.1</v>
      </c>
      <c r="H5740" t="n">
        <v>0</v>
      </c>
      <c r="I5740" t="n">
        <v>0</v>
      </c>
      <c r="J5740" t="n">
        <v>0</v>
      </c>
      <c r="K5740" t="n">
        <v>0</v>
      </c>
      <c r="L5740" t="n">
        <v>0</v>
      </c>
      <c r="M5740" t="n">
        <v>0</v>
      </c>
      <c r="N5740" t="n">
        <v>0</v>
      </c>
      <c r="O5740" t="n">
        <v>0</v>
      </c>
      <c r="P5740" t="n">
        <v>0</v>
      </c>
      <c r="Q5740" t="n">
        <v>0</v>
      </c>
      <c r="R5740" s="2" t="inlineStr"/>
    </row>
    <row r="5741" ht="15" customHeight="1">
      <c r="A5741" t="inlineStr">
        <is>
          <t>A 37720-2025</t>
        </is>
      </c>
      <c r="B5741" s="1" t="n">
        <v>45880</v>
      </c>
      <c r="C5741" s="1" t="n">
        <v>45895</v>
      </c>
      <c r="D5741" t="inlineStr">
        <is>
          <t>NORRBOTTENS LÄN</t>
        </is>
      </c>
      <c r="E5741" t="inlineStr">
        <is>
          <t>PITEÅ</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43-2023</t>
        </is>
      </c>
      <c r="B5742" s="1" t="n">
        <v>44918</v>
      </c>
      <c r="C5742" s="1" t="n">
        <v>45895</v>
      </c>
      <c r="D5742" t="inlineStr">
        <is>
          <t>NORRBOTTENS LÄN</t>
        </is>
      </c>
      <c r="E5742" t="inlineStr">
        <is>
          <t>ÄLVSBYN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38707-2025</t>
        </is>
      </c>
      <c r="B5743" s="1" t="n">
        <v>45885</v>
      </c>
      <c r="C5743" s="1" t="n">
        <v>45895</v>
      </c>
      <c r="D5743" t="inlineStr">
        <is>
          <t>NORRBOTTENS LÄN</t>
        </is>
      </c>
      <c r="E5743" t="inlineStr">
        <is>
          <t>ÄLVSBYN</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44998-2024</t>
        </is>
      </c>
      <c r="B5744" s="1" t="n">
        <v>45575</v>
      </c>
      <c r="C5744" s="1" t="n">
        <v>45895</v>
      </c>
      <c r="D5744" t="inlineStr">
        <is>
          <t>NORRBOTTENS LÄN</t>
        </is>
      </c>
      <c r="E5744" t="inlineStr">
        <is>
          <t>PAJALA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50924-2021</t>
        </is>
      </c>
      <c r="B5745" s="1" t="n">
        <v>44460</v>
      </c>
      <c r="C5745" s="1" t="n">
        <v>45895</v>
      </c>
      <c r="D5745" t="inlineStr">
        <is>
          <t>NORRBOTTENS LÄN</t>
        </is>
      </c>
      <c r="E5745" t="inlineStr">
        <is>
          <t>ÄLVSBYN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40088-2025</t>
        </is>
      </c>
      <c r="B5746" s="1" t="n">
        <v>45894.47658564815</v>
      </c>
      <c r="C5746" s="1" t="n">
        <v>45895</v>
      </c>
      <c r="D5746" t="inlineStr">
        <is>
          <t>NORRBOTTENS LÄN</t>
        </is>
      </c>
      <c r="E5746" t="inlineStr">
        <is>
          <t>PITEÅ</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40089-2025</t>
        </is>
      </c>
      <c r="B5747" s="1" t="n">
        <v>45894.47665509259</v>
      </c>
      <c r="C5747" s="1" t="n">
        <v>45895</v>
      </c>
      <c r="D5747" t="inlineStr">
        <is>
          <t>NORRBOTTENS LÄN</t>
        </is>
      </c>
      <c r="E5747" t="inlineStr">
        <is>
          <t>ÖVERTORNEÅ</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58578-2023</t>
        </is>
      </c>
      <c r="B5748" s="1" t="n">
        <v>45246</v>
      </c>
      <c r="C5748" s="1" t="n">
        <v>45895</v>
      </c>
      <c r="D5748" t="inlineStr">
        <is>
          <t>NORRBOTTENS LÄN</t>
        </is>
      </c>
      <c r="E5748" t="inlineStr">
        <is>
          <t>KALIX</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17900-2025</t>
        </is>
      </c>
      <c r="B5749" s="1" t="n">
        <v>45758.69837962963</v>
      </c>
      <c r="C5749" s="1" t="n">
        <v>45895</v>
      </c>
      <c r="D5749" t="inlineStr">
        <is>
          <t>NORRBOTTENS LÄN</t>
        </is>
      </c>
      <c r="E5749" t="inlineStr">
        <is>
          <t>LULEÅ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55491-2024</t>
        </is>
      </c>
      <c r="B5750" s="1" t="n">
        <v>45622</v>
      </c>
      <c r="C5750" s="1" t="n">
        <v>45895</v>
      </c>
      <c r="D5750" t="inlineStr">
        <is>
          <t>NORRBOTTENS LÄN</t>
        </is>
      </c>
      <c r="E5750" t="inlineStr">
        <is>
          <t>JOKKMOKK</t>
        </is>
      </c>
      <c r="F5750" t="inlineStr">
        <is>
          <t>Allmännings- och besparingsskogar</t>
        </is>
      </c>
      <c r="G5750" t="n">
        <v>25.2</v>
      </c>
      <c r="H5750" t="n">
        <v>0</v>
      </c>
      <c r="I5750" t="n">
        <v>0</v>
      </c>
      <c r="J5750" t="n">
        <v>0</v>
      </c>
      <c r="K5750" t="n">
        <v>0</v>
      </c>
      <c r="L5750" t="n">
        <v>0</v>
      </c>
      <c r="M5750" t="n">
        <v>0</v>
      </c>
      <c r="N5750" t="n">
        <v>0</v>
      </c>
      <c r="O5750" t="n">
        <v>0</v>
      </c>
      <c r="P5750" t="n">
        <v>0</v>
      </c>
      <c r="Q5750" t="n">
        <v>0</v>
      </c>
      <c r="R5750" s="2" t="inlineStr"/>
    </row>
    <row r="5751" ht="15" customHeight="1">
      <c r="A5751" t="inlineStr">
        <is>
          <t>A 23575-2023</t>
        </is>
      </c>
      <c r="B5751" s="1" t="n">
        <v>45077</v>
      </c>
      <c r="C5751" s="1" t="n">
        <v>45895</v>
      </c>
      <c r="D5751" t="inlineStr">
        <is>
          <t>NORRBOTTENS LÄN</t>
        </is>
      </c>
      <c r="E5751" t="inlineStr">
        <is>
          <t>BODEN</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33207-2024</t>
        </is>
      </c>
      <c r="B5752" s="1" t="n">
        <v>45518</v>
      </c>
      <c r="C5752" s="1" t="n">
        <v>45895</v>
      </c>
      <c r="D5752" t="inlineStr">
        <is>
          <t>NORRBOTTENS LÄN</t>
        </is>
      </c>
      <c r="E5752" t="inlineStr">
        <is>
          <t>PITEÅ</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51655-2023</t>
        </is>
      </c>
      <c r="B5753" s="1" t="n">
        <v>45215</v>
      </c>
      <c r="C5753" s="1" t="n">
        <v>45895</v>
      </c>
      <c r="D5753" t="inlineStr">
        <is>
          <t>NORRBOTTENS LÄN</t>
        </is>
      </c>
      <c r="E5753" t="inlineStr">
        <is>
          <t>LULEÅ</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32966-2023</t>
        </is>
      </c>
      <c r="B5754" s="1" t="n">
        <v>45125.54148148148</v>
      </c>
      <c r="C5754" s="1" t="n">
        <v>45895</v>
      </c>
      <c r="D5754" t="inlineStr">
        <is>
          <t>NORRBOTTENS LÄN</t>
        </is>
      </c>
      <c r="E5754" t="inlineStr">
        <is>
          <t>ÄLVSBYN</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55044-2023</t>
        </is>
      </c>
      <c r="B5755" s="1" t="n">
        <v>45237</v>
      </c>
      <c r="C5755" s="1" t="n">
        <v>45895</v>
      </c>
      <c r="D5755" t="inlineStr">
        <is>
          <t>NORRBOTTENS LÄN</t>
        </is>
      </c>
      <c r="E5755" t="inlineStr">
        <is>
          <t>GÄLLIVARE</t>
        </is>
      </c>
      <c r="F5755" t="inlineStr">
        <is>
          <t>Sveaskog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55050-2023</t>
        </is>
      </c>
      <c r="B5756" s="1" t="n">
        <v>45237</v>
      </c>
      <c r="C5756" s="1" t="n">
        <v>45895</v>
      </c>
      <c r="D5756" t="inlineStr">
        <is>
          <t>NORRBOTTENS LÄN</t>
        </is>
      </c>
      <c r="E5756" t="inlineStr">
        <is>
          <t>GÄLLIVARE</t>
        </is>
      </c>
      <c r="F5756" t="inlineStr">
        <is>
          <t>Sveaskog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41661-2023</t>
        </is>
      </c>
      <c r="B5757" s="1" t="n">
        <v>45175.95792824074</v>
      </c>
      <c r="C5757" s="1" t="n">
        <v>45895</v>
      </c>
      <c r="D5757" t="inlineStr">
        <is>
          <t>NORRBOTTENS LÄN</t>
        </is>
      </c>
      <c r="E5757" t="inlineStr">
        <is>
          <t>KALIX</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50607-2024</t>
        </is>
      </c>
      <c r="B5758" s="1" t="n">
        <v>45601</v>
      </c>
      <c r="C5758" s="1" t="n">
        <v>45895</v>
      </c>
      <c r="D5758" t="inlineStr">
        <is>
          <t>NORRBOTTENS LÄN</t>
        </is>
      </c>
      <c r="E5758" t="inlineStr">
        <is>
          <t>ARVIDSJAUR</t>
        </is>
      </c>
      <c r="G5758" t="n">
        <v>10</v>
      </c>
      <c r="H5758" t="n">
        <v>0</v>
      </c>
      <c r="I5758" t="n">
        <v>0</v>
      </c>
      <c r="J5758" t="n">
        <v>0</v>
      </c>
      <c r="K5758" t="n">
        <v>0</v>
      </c>
      <c r="L5758" t="n">
        <v>0</v>
      </c>
      <c r="M5758" t="n">
        <v>0</v>
      </c>
      <c r="N5758" t="n">
        <v>0</v>
      </c>
      <c r="O5758" t="n">
        <v>0</v>
      </c>
      <c r="P5758" t="n">
        <v>0</v>
      </c>
      <c r="Q5758" t="n">
        <v>0</v>
      </c>
      <c r="R5758" s="2" t="inlineStr"/>
    </row>
    <row r="5759" ht="15" customHeight="1">
      <c r="A5759" t="inlineStr">
        <is>
          <t>A 22-2023</t>
        </is>
      </c>
      <c r="B5759" s="1" t="n">
        <v>44918</v>
      </c>
      <c r="C5759" s="1" t="n">
        <v>45895</v>
      </c>
      <c r="D5759" t="inlineStr">
        <is>
          <t>NORRBOTTENS LÄN</t>
        </is>
      </c>
      <c r="E5759" t="inlineStr">
        <is>
          <t>ÄLVSBYN</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26234-2023</t>
        </is>
      </c>
      <c r="B5760" s="1" t="n">
        <v>45086</v>
      </c>
      <c r="C5760" s="1" t="n">
        <v>45895</v>
      </c>
      <c r="D5760" t="inlineStr">
        <is>
          <t>NORRBOTTENS LÄN</t>
        </is>
      </c>
      <c r="E5760" t="inlineStr">
        <is>
          <t>LULEÅ</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7901-2024</t>
        </is>
      </c>
      <c r="B5761" s="1" t="n">
        <v>45350.42581018519</v>
      </c>
      <c r="C5761" s="1" t="n">
        <v>45895</v>
      </c>
      <c r="D5761" t="inlineStr">
        <is>
          <t>NORRBOTTENS LÄN</t>
        </is>
      </c>
      <c r="E5761" t="inlineStr">
        <is>
          <t>PITEÅ</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45049-2024</t>
        </is>
      </c>
      <c r="B5762" s="1" t="n">
        <v>45575.54700231482</v>
      </c>
      <c r="C5762" s="1" t="n">
        <v>45895</v>
      </c>
      <c r="D5762" t="inlineStr">
        <is>
          <t>NORRBOTTENS LÄN</t>
        </is>
      </c>
      <c r="E5762" t="inlineStr">
        <is>
          <t>ÖVERTORNEÅ</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6641-2022</t>
        </is>
      </c>
      <c r="B5763" s="1" t="n">
        <v>44601.93563657408</v>
      </c>
      <c r="C5763" s="1" t="n">
        <v>45895</v>
      </c>
      <c r="D5763" t="inlineStr">
        <is>
          <t>NORRBOTTENS LÄN</t>
        </is>
      </c>
      <c r="E5763" t="inlineStr">
        <is>
          <t>ÖVERKALIX</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404-2023</t>
        </is>
      </c>
      <c r="B5764" s="1" t="n">
        <v>44923</v>
      </c>
      <c r="C5764" s="1" t="n">
        <v>45895</v>
      </c>
      <c r="D5764" t="inlineStr">
        <is>
          <t>NORRBOTTENS LÄN</t>
        </is>
      </c>
      <c r="E5764" t="inlineStr">
        <is>
          <t>GÄLLIVARE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61476-2024</t>
        </is>
      </c>
      <c r="B5765" s="1" t="n">
        <v>45646</v>
      </c>
      <c r="C5765" s="1" t="n">
        <v>45895</v>
      </c>
      <c r="D5765" t="inlineStr">
        <is>
          <t>NORRBOTTENS LÄN</t>
        </is>
      </c>
      <c r="E5765" t="inlineStr">
        <is>
          <t>GÄLLIVARE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61557-2024</t>
        </is>
      </c>
      <c r="B5766" s="1" t="n">
        <v>45646.61081018519</v>
      </c>
      <c r="C5766" s="1" t="n">
        <v>45895</v>
      </c>
      <c r="D5766" t="inlineStr">
        <is>
          <t>NORRBOTTENS LÄN</t>
        </is>
      </c>
      <c r="E5766" t="inlineStr">
        <is>
          <t>LULEÅ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61570-2024</t>
        </is>
      </c>
      <c r="B5767" s="1" t="n">
        <v>45646.61649305555</v>
      </c>
      <c r="C5767" s="1" t="n">
        <v>45895</v>
      </c>
      <c r="D5767" t="inlineStr">
        <is>
          <t>NORRBOTTENS LÄN</t>
        </is>
      </c>
      <c r="E5767" t="inlineStr">
        <is>
          <t>BODEN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55644-2023</t>
        </is>
      </c>
      <c r="B5768" s="1" t="n">
        <v>45238</v>
      </c>
      <c r="C5768" s="1" t="n">
        <v>45895</v>
      </c>
      <c r="D5768" t="inlineStr">
        <is>
          <t>NORRBOTTENS LÄN</t>
        </is>
      </c>
      <c r="E5768" t="inlineStr">
        <is>
          <t>GÄLLIVARE</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52698-2024</t>
        </is>
      </c>
      <c r="B5769" s="1" t="n">
        <v>45610</v>
      </c>
      <c r="C5769" s="1" t="n">
        <v>45895</v>
      </c>
      <c r="D5769" t="inlineStr">
        <is>
          <t>NORRBOTTENS LÄN</t>
        </is>
      </c>
      <c r="E5769" t="inlineStr">
        <is>
          <t>LULEÅ</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49473-2023</t>
        </is>
      </c>
      <c r="B5770" s="1" t="n">
        <v>45205</v>
      </c>
      <c r="C5770" s="1" t="n">
        <v>45895</v>
      </c>
      <c r="D5770" t="inlineStr">
        <is>
          <t>NORRBOTTENS LÄN</t>
        </is>
      </c>
      <c r="E5770" t="inlineStr">
        <is>
          <t>ÖVERKALIX</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13817-2025</t>
        </is>
      </c>
      <c r="B5771" s="1" t="n">
        <v>45737.51363425926</v>
      </c>
      <c r="C5771" s="1" t="n">
        <v>45895</v>
      </c>
      <c r="D5771" t="inlineStr">
        <is>
          <t>NORRBOTTENS LÄN</t>
        </is>
      </c>
      <c r="E5771" t="inlineStr">
        <is>
          <t>KALIX</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13818-2025</t>
        </is>
      </c>
      <c r="B5772" s="1" t="n">
        <v>45737.51363425926</v>
      </c>
      <c r="C5772" s="1" t="n">
        <v>45895</v>
      </c>
      <c r="D5772" t="inlineStr">
        <is>
          <t>NORRBOTTENS LÄN</t>
        </is>
      </c>
      <c r="E5772" t="inlineStr">
        <is>
          <t>KALIX</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13819-2025</t>
        </is>
      </c>
      <c r="B5773" s="1" t="n">
        <v>45737.52472222222</v>
      </c>
      <c r="C5773" s="1" t="n">
        <v>45895</v>
      </c>
      <c r="D5773" t="inlineStr">
        <is>
          <t>NORRBOTTENS LÄN</t>
        </is>
      </c>
      <c r="E5773" t="inlineStr">
        <is>
          <t>KALIX</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54725-2023</t>
        </is>
      </c>
      <c r="B5774" s="1" t="n">
        <v>45229</v>
      </c>
      <c r="C5774" s="1" t="n">
        <v>45895</v>
      </c>
      <c r="D5774" t="inlineStr">
        <is>
          <t>NORRBOTTENS LÄN</t>
        </is>
      </c>
      <c r="E5774" t="inlineStr">
        <is>
          <t>GÄLLIVARE</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18923-2025</t>
        </is>
      </c>
      <c r="B5775" s="1" t="n">
        <v>45764</v>
      </c>
      <c r="C5775" s="1" t="n">
        <v>45895</v>
      </c>
      <c r="D5775" t="inlineStr">
        <is>
          <t>NORRBOTTENS LÄN</t>
        </is>
      </c>
      <c r="E5775" t="inlineStr">
        <is>
          <t>ARJEPLOG</t>
        </is>
      </c>
      <c r="F5775" t="inlineStr">
        <is>
          <t>Sveaskog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14337-2025</t>
        </is>
      </c>
      <c r="B5776" s="1" t="n">
        <v>45740.92456018519</v>
      </c>
      <c r="C5776" s="1" t="n">
        <v>45895</v>
      </c>
      <c r="D5776" t="inlineStr">
        <is>
          <t>NORRBOTTENS LÄN</t>
        </is>
      </c>
      <c r="E5776" t="inlineStr">
        <is>
          <t>PAJALA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17468-2025</t>
        </is>
      </c>
      <c r="B5777" s="1" t="n">
        <v>45757</v>
      </c>
      <c r="C5777" s="1" t="n">
        <v>45895</v>
      </c>
      <c r="D5777" t="inlineStr">
        <is>
          <t>NORRBOTTENS LÄN</t>
        </is>
      </c>
      <c r="E5777" t="inlineStr">
        <is>
          <t>KALIX</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2992-2024</t>
        </is>
      </c>
      <c r="B5778" s="1" t="n">
        <v>45315.72113425926</v>
      </c>
      <c r="C5778" s="1" t="n">
        <v>45895</v>
      </c>
      <c r="D5778" t="inlineStr">
        <is>
          <t>NORRBOTTENS LÄN</t>
        </is>
      </c>
      <c r="E5778" t="inlineStr">
        <is>
          <t>ÖVERKALIX</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38219-2022</t>
        </is>
      </c>
      <c r="B5779" s="1" t="n">
        <v>44812</v>
      </c>
      <c r="C5779" s="1" t="n">
        <v>45895</v>
      </c>
      <c r="D5779" t="inlineStr">
        <is>
          <t>NORRBOTTENS LÄN</t>
        </is>
      </c>
      <c r="E5779" t="inlineStr">
        <is>
          <t>BODEN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49904-2024</t>
        </is>
      </c>
      <c r="B5780" s="1" t="n">
        <v>45597.54983796296</v>
      </c>
      <c r="C5780" s="1" t="n">
        <v>45895</v>
      </c>
      <c r="D5780" t="inlineStr">
        <is>
          <t>NORRBOTTENS LÄN</t>
        </is>
      </c>
      <c r="E5780" t="inlineStr">
        <is>
          <t>HAPARANDA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25387-2023</t>
        </is>
      </c>
      <c r="B5781" s="1" t="n">
        <v>45079</v>
      </c>
      <c r="C5781" s="1" t="n">
        <v>45895</v>
      </c>
      <c r="D5781" t="inlineStr">
        <is>
          <t>NORRBOTTENS LÄN</t>
        </is>
      </c>
      <c r="E5781" t="inlineStr">
        <is>
          <t>BODEN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52783-2021</t>
        </is>
      </c>
      <c r="B5782" s="1" t="n">
        <v>44467.35696759259</v>
      </c>
      <c r="C5782" s="1" t="n">
        <v>45895</v>
      </c>
      <c r="D5782" t="inlineStr">
        <is>
          <t>NORRBOTTENS LÄN</t>
        </is>
      </c>
      <c r="E5782" t="inlineStr">
        <is>
          <t>PAJALA</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60584-2023</t>
        </is>
      </c>
      <c r="B5783" s="1" t="n">
        <v>45259</v>
      </c>
      <c r="C5783" s="1" t="n">
        <v>45895</v>
      </c>
      <c r="D5783" t="inlineStr">
        <is>
          <t>NORRBOTTENS LÄN</t>
        </is>
      </c>
      <c r="E5783" t="inlineStr">
        <is>
          <t>GÄLLIVARE</t>
        </is>
      </c>
      <c r="F5783" t="inlineStr">
        <is>
          <t>SCA</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28444-2023</t>
        </is>
      </c>
      <c r="B5784" s="1" t="n">
        <v>45102.92748842593</v>
      </c>
      <c r="C5784" s="1" t="n">
        <v>45895</v>
      </c>
      <c r="D5784" t="inlineStr">
        <is>
          <t>NORRBOTTENS LÄN</t>
        </is>
      </c>
      <c r="E5784" t="inlineStr">
        <is>
          <t>BODEN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47391-2024</t>
        </is>
      </c>
      <c r="B5785" s="1" t="n">
        <v>45587.47009259259</v>
      </c>
      <c r="C5785" s="1" t="n">
        <v>45895</v>
      </c>
      <c r="D5785" t="inlineStr">
        <is>
          <t>NORRBOTTENS LÄN</t>
        </is>
      </c>
      <c r="E5785" t="inlineStr">
        <is>
          <t>ÄLVSBYN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47862-2024</t>
        </is>
      </c>
      <c r="B5786" s="1" t="n">
        <v>45588</v>
      </c>
      <c r="C5786" s="1" t="n">
        <v>45895</v>
      </c>
      <c r="D5786" t="inlineStr">
        <is>
          <t>NORRBOTTENS LÄN</t>
        </is>
      </c>
      <c r="E5786" t="inlineStr">
        <is>
          <t>GÄLLIVARE</t>
        </is>
      </c>
      <c r="F5786" t="inlineStr">
        <is>
          <t>Allmännings- och besparingsskogar</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48011-2024</t>
        </is>
      </c>
      <c r="B5787" s="1" t="n">
        <v>45589.45561342593</v>
      </c>
      <c r="C5787" s="1" t="n">
        <v>45895</v>
      </c>
      <c r="D5787" t="inlineStr">
        <is>
          <t>NORRBOTTENS LÄN</t>
        </is>
      </c>
      <c r="E5787" t="inlineStr">
        <is>
          <t>KALIX</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48592-2024</t>
        </is>
      </c>
      <c r="B5788" s="1" t="n">
        <v>45593</v>
      </c>
      <c r="C5788" s="1" t="n">
        <v>45895</v>
      </c>
      <c r="D5788" t="inlineStr">
        <is>
          <t>NORRBOTTENS LÄN</t>
        </is>
      </c>
      <c r="E5788" t="inlineStr">
        <is>
          <t>BODEN</t>
        </is>
      </c>
      <c r="F5788" t="inlineStr">
        <is>
          <t>Sveaskog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59325-2022</t>
        </is>
      </c>
      <c r="B5789" s="1" t="n">
        <v>44904</v>
      </c>
      <c r="C5789" s="1" t="n">
        <v>45895</v>
      </c>
      <c r="D5789" t="inlineStr">
        <is>
          <t>NORRBOTTENS LÄN</t>
        </is>
      </c>
      <c r="E5789" t="inlineStr">
        <is>
          <t>ARVIDSJAUR</t>
        </is>
      </c>
      <c r="F5789" t="inlineStr">
        <is>
          <t>Sveaskog</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54100-2023</t>
        </is>
      </c>
      <c r="B5790" s="1" t="n">
        <v>45225</v>
      </c>
      <c r="C5790" s="1" t="n">
        <v>45895</v>
      </c>
      <c r="D5790" t="inlineStr">
        <is>
          <t>NORRBOTTENS LÄN</t>
        </is>
      </c>
      <c r="E5790" t="inlineStr">
        <is>
          <t>PITEÅ</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61761-2024</t>
        </is>
      </c>
      <c r="B5791" s="1" t="n">
        <v>45649</v>
      </c>
      <c r="C5791" s="1" t="n">
        <v>45895</v>
      </c>
      <c r="D5791" t="inlineStr">
        <is>
          <t>NORRBOTTENS LÄN</t>
        </is>
      </c>
      <c r="E5791" t="inlineStr">
        <is>
          <t>JOKKMOKK</t>
        </is>
      </c>
      <c r="F5791" t="inlineStr">
        <is>
          <t>Övriga statliga verk och myndigheter</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61810-2024</t>
        </is>
      </c>
      <c r="B5792" s="1" t="n">
        <v>45649</v>
      </c>
      <c r="C5792" s="1" t="n">
        <v>45895</v>
      </c>
      <c r="D5792" t="inlineStr">
        <is>
          <t>NORRBOTTENS LÄN</t>
        </is>
      </c>
      <c r="E5792" t="inlineStr">
        <is>
          <t>PITEÅ</t>
        </is>
      </c>
      <c r="G5792" t="n">
        <v>31.2</v>
      </c>
      <c r="H5792" t="n">
        <v>0</v>
      </c>
      <c r="I5792" t="n">
        <v>0</v>
      </c>
      <c r="J5792" t="n">
        <v>0</v>
      </c>
      <c r="K5792" t="n">
        <v>0</v>
      </c>
      <c r="L5792" t="n">
        <v>0</v>
      </c>
      <c r="M5792" t="n">
        <v>0</v>
      </c>
      <c r="N5792" t="n">
        <v>0</v>
      </c>
      <c r="O5792" t="n">
        <v>0</v>
      </c>
      <c r="P5792" t="n">
        <v>0</v>
      </c>
      <c r="Q5792" t="n">
        <v>0</v>
      </c>
      <c r="R5792" s="2" t="inlineStr"/>
    </row>
    <row r="5793" ht="15" customHeight="1">
      <c r="A5793" t="inlineStr">
        <is>
          <t>A 50031-2021</t>
        </is>
      </c>
      <c r="B5793" s="1" t="n">
        <v>44454</v>
      </c>
      <c r="C5793" s="1" t="n">
        <v>45895</v>
      </c>
      <c r="D5793" t="inlineStr">
        <is>
          <t>NORRBOTTENS LÄN</t>
        </is>
      </c>
      <c r="E5793" t="inlineStr">
        <is>
          <t>PITEÅ</t>
        </is>
      </c>
      <c r="G5793" t="n">
        <v>10.5</v>
      </c>
      <c r="H5793" t="n">
        <v>0</v>
      </c>
      <c r="I5793" t="n">
        <v>0</v>
      </c>
      <c r="J5793" t="n">
        <v>0</v>
      </c>
      <c r="K5793" t="n">
        <v>0</v>
      </c>
      <c r="L5793" t="n">
        <v>0</v>
      </c>
      <c r="M5793" t="n">
        <v>0</v>
      </c>
      <c r="N5793" t="n">
        <v>0</v>
      </c>
      <c r="O5793" t="n">
        <v>0</v>
      </c>
      <c r="P5793" t="n">
        <v>0</v>
      </c>
      <c r="Q5793" t="n">
        <v>0</v>
      </c>
      <c r="R5793" s="2" t="inlineStr"/>
    </row>
    <row r="5794" ht="15" customHeight="1">
      <c r="A5794" t="inlineStr">
        <is>
          <t>A 7417-2021</t>
        </is>
      </c>
      <c r="B5794" s="1" t="n">
        <v>44239</v>
      </c>
      <c r="C5794" s="1" t="n">
        <v>45895</v>
      </c>
      <c r="D5794" t="inlineStr">
        <is>
          <t>NORRBOTTENS LÄN</t>
        </is>
      </c>
      <c r="E5794" t="inlineStr">
        <is>
          <t>LULEÅ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1476-2023</t>
        </is>
      </c>
      <c r="B5795" s="1" t="n">
        <v>44937.45194444444</v>
      </c>
      <c r="C5795" s="1" t="n">
        <v>45895</v>
      </c>
      <c r="D5795" t="inlineStr">
        <is>
          <t>NORRBOTTENS LÄN</t>
        </is>
      </c>
      <c r="E5795" t="inlineStr">
        <is>
          <t>ÖVERTORNEÅ</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40661-2024</t>
        </is>
      </c>
      <c r="B5796" s="1" t="n">
        <v>45558.34508101852</v>
      </c>
      <c r="C5796" s="1" t="n">
        <v>45895</v>
      </c>
      <c r="D5796" t="inlineStr">
        <is>
          <t>NORRBOTTENS LÄN</t>
        </is>
      </c>
      <c r="E5796" t="inlineStr">
        <is>
          <t>PITEÅ</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13884-2024</t>
        </is>
      </c>
      <c r="B5797" s="1" t="n">
        <v>45391</v>
      </c>
      <c r="C5797" s="1" t="n">
        <v>45895</v>
      </c>
      <c r="D5797" t="inlineStr">
        <is>
          <t>NORRBOTTENS LÄN</t>
        </is>
      </c>
      <c r="E5797" t="inlineStr">
        <is>
          <t>PAJALA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58908-2022</t>
        </is>
      </c>
      <c r="B5798" s="1" t="n">
        <v>44896</v>
      </c>
      <c r="C5798" s="1" t="n">
        <v>45895</v>
      </c>
      <c r="D5798" t="inlineStr">
        <is>
          <t>NORRBOTTENS LÄN</t>
        </is>
      </c>
      <c r="E5798" t="inlineStr">
        <is>
          <t>ÄLVSBYN</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28755-2023</t>
        </is>
      </c>
      <c r="B5799" s="1" t="n">
        <v>45103.9419212963</v>
      </c>
      <c r="C5799" s="1" t="n">
        <v>45895</v>
      </c>
      <c r="D5799" t="inlineStr">
        <is>
          <t>NORRBOTTENS LÄN</t>
        </is>
      </c>
      <c r="E5799" t="inlineStr">
        <is>
          <t>ÄLVSBYN</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21574-2023</t>
        </is>
      </c>
      <c r="B5800" s="1" t="n">
        <v>45063.59164351852</v>
      </c>
      <c r="C5800" s="1" t="n">
        <v>45895</v>
      </c>
      <c r="D5800" t="inlineStr">
        <is>
          <t>NORRBOTTENS LÄN</t>
        </is>
      </c>
      <c r="E5800" t="inlineStr">
        <is>
          <t>KALIX</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42119-2024</t>
        </is>
      </c>
      <c r="B5801" s="1" t="n">
        <v>45562.3905787037</v>
      </c>
      <c r="C5801" s="1" t="n">
        <v>45895</v>
      </c>
      <c r="D5801" t="inlineStr">
        <is>
          <t>NORRBOTTENS LÄN</t>
        </is>
      </c>
      <c r="E5801" t="inlineStr">
        <is>
          <t>ÖVERKALIX</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28839-2023</t>
        </is>
      </c>
      <c r="B5802" s="1" t="n">
        <v>45104</v>
      </c>
      <c r="C5802" s="1" t="n">
        <v>45895</v>
      </c>
      <c r="D5802" t="inlineStr">
        <is>
          <t>NORRBOTTENS LÄN</t>
        </is>
      </c>
      <c r="E5802" t="inlineStr">
        <is>
          <t>ÖVERTORNEÅ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10664-2023</t>
        </is>
      </c>
      <c r="B5803" s="1" t="n">
        <v>44988</v>
      </c>
      <c r="C5803" s="1" t="n">
        <v>45895</v>
      </c>
      <c r="D5803" t="inlineStr">
        <is>
          <t>NORRBOTTENS LÄN</t>
        </is>
      </c>
      <c r="E5803" t="inlineStr">
        <is>
          <t>ARVIDSJAUR</t>
        </is>
      </c>
      <c r="F5803" t="inlineStr">
        <is>
          <t>Sveaskog</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14405-2023</t>
        </is>
      </c>
      <c r="B5804" s="1" t="n">
        <v>45012.49284722222</v>
      </c>
      <c r="C5804" s="1" t="n">
        <v>45895</v>
      </c>
      <c r="D5804" t="inlineStr">
        <is>
          <t>NORRBOTTENS LÄN</t>
        </is>
      </c>
      <c r="E5804" t="inlineStr">
        <is>
          <t>PAJALA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49091-2024</t>
        </is>
      </c>
      <c r="B5805" s="1" t="n">
        <v>45594</v>
      </c>
      <c r="C5805" s="1" t="n">
        <v>45895</v>
      </c>
      <c r="D5805" t="inlineStr">
        <is>
          <t>NORRBOTTENS LÄN</t>
        </is>
      </c>
      <c r="E5805" t="inlineStr">
        <is>
          <t>ÖVERKALIX</t>
        </is>
      </c>
      <c r="F5805" t="inlineStr">
        <is>
          <t>Sveaskog</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8026-2023</t>
        </is>
      </c>
      <c r="B5806" s="1" t="n">
        <v>44973.94396990741</v>
      </c>
      <c r="C5806" s="1" t="n">
        <v>45895</v>
      </c>
      <c r="D5806" t="inlineStr">
        <is>
          <t>NORRBOTTENS LÄN</t>
        </is>
      </c>
      <c r="E5806" t="inlineStr">
        <is>
          <t>ÖVERKALIX</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51705-2024</t>
        </is>
      </c>
      <c r="B5807" s="1" t="n">
        <v>45607.3625462963</v>
      </c>
      <c r="C5807" s="1" t="n">
        <v>45895</v>
      </c>
      <c r="D5807" t="inlineStr">
        <is>
          <t>NORRBOTTENS LÄN</t>
        </is>
      </c>
      <c r="E5807" t="inlineStr">
        <is>
          <t>PITEÅ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51817-2024</t>
        </is>
      </c>
      <c r="B5808" s="1" t="n">
        <v>45607.49136574074</v>
      </c>
      <c r="C5808" s="1" t="n">
        <v>45895</v>
      </c>
      <c r="D5808" t="inlineStr">
        <is>
          <t>NORRBOTTENS LÄN</t>
        </is>
      </c>
      <c r="E5808" t="inlineStr">
        <is>
          <t>PAJALA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34693-2022</t>
        </is>
      </c>
      <c r="B5809" s="1" t="n">
        <v>44795</v>
      </c>
      <c r="C5809" s="1" t="n">
        <v>45895</v>
      </c>
      <c r="D5809" t="inlineStr">
        <is>
          <t>NORRBOTTENS LÄN</t>
        </is>
      </c>
      <c r="E5809" t="inlineStr">
        <is>
          <t>KIRUNA</t>
        </is>
      </c>
      <c r="G5809" t="n">
        <v>12.3</v>
      </c>
      <c r="H5809" t="n">
        <v>0</v>
      </c>
      <c r="I5809" t="n">
        <v>0</v>
      </c>
      <c r="J5809" t="n">
        <v>0</v>
      </c>
      <c r="K5809" t="n">
        <v>0</v>
      </c>
      <c r="L5809" t="n">
        <v>0</v>
      </c>
      <c r="M5809" t="n">
        <v>0</v>
      </c>
      <c r="N5809" t="n">
        <v>0</v>
      </c>
      <c r="O5809" t="n">
        <v>0</v>
      </c>
      <c r="P5809" t="n">
        <v>0</v>
      </c>
      <c r="Q5809" t="n">
        <v>0</v>
      </c>
      <c r="R5809" s="2" t="inlineStr"/>
    </row>
    <row r="5810" ht="15" customHeight="1">
      <c r="A5810" t="inlineStr">
        <is>
          <t>A 1908-2024</t>
        </is>
      </c>
      <c r="B5810" s="1" t="n">
        <v>45308</v>
      </c>
      <c r="C5810" s="1" t="n">
        <v>45895</v>
      </c>
      <c r="D5810" t="inlineStr">
        <is>
          <t>NORRBOTTENS LÄN</t>
        </is>
      </c>
      <c r="E5810" t="inlineStr">
        <is>
          <t>PITEÅ</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40106-2023</t>
        </is>
      </c>
      <c r="B5811" s="1" t="n">
        <v>45168.93785879629</v>
      </c>
      <c r="C5811" s="1" t="n">
        <v>45895</v>
      </c>
      <c r="D5811" t="inlineStr">
        <is>
          <t>NORRBOTTENS LÄN</t>
        </is>
      </c>
      <c r="E5811" t="inlineStr">
        <is>
          <t>JOKKMOKK</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10801-2024</t>
        </is>
      </c>
      <c r="B5812" s="1" t="n">
        <v>45369</v>
      </c>
      <c r="C5812" s="1" t="n">
        <v>45895</v>
      </c>
      <c r="D5812" t="inlineStr">
        <is>
          <t>NORRBOTTENS LÄN</t>
        </is>
      </c>
      <c r="E5812" t="inlineStr">
        <is>
          <t>PAJALA</t>
        </is>
      </c>
      <c r="F5812" t="inlineStr">
        <is>
          <t>Allmännings- och besparingsskogar</t>
        </is>
      </c>
      <c r="G5812" t="n">
        <v>16.6</v>
      </c>
      <c r="H5812" t="n">
        <v>0</v>
      </c>
      <c r="I5812" t="n">
        <v>0</v>
      </c>
      <c r="J5812" t="n">
        <v>0</v>
      </c>
      <c r="K5812" t="n">
        <v>0</v>
      </c>
      <c r="L5812" t="n">
        <v>0</v>
      </c>
      <c r="M5812" t="n">
        <v>0</v>
      </c>
      <c r="N5812" t="n">
        <v>0</v>
      </c>
      <c r="O5812" t="n">
        <v>0</v>
      </c>
      <c r="P5812" t="n">
        <v>0</v>
      </c>
      <c r="Q5812" t="n">
        <v>0</v>
      </c>
      <c r="R5812" s="2" t="inlineStr"/>
    </row>
    <row r="5813" ht="15" customHeight="1">
      <c r="A5813" t="inlineStr">
        <is>
          <t>A 61202-2022</t>
        </is>
      </c>
      <c r="B5813" s="1" t="n">
        <v>44915</v>
      </c>
      <c r="C5813" s="1" t="n">
        <v>45895</v>
      </c>
      <c r="D5813" t="inlineStr">
        <is>
          <t>NORRBOTTENS LÄN</t>
        </is>
      </c>
      <c r="E5813" t="inlineStr">
        <is>
          <t>ARVIDSJAUR</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36039-2023</t>
        </is>
      </c>
      <c r="B5814" s="1" t="n">
        <v>45148</v>
      </c>
      <c r="C5814" s="1" t="n">
        <v>45895</v>
      </c>
      <c r="D5814" t="inlineStr">
        <is>
          <t>NORRBOTTENS LÄN</t>
        </is>
      </c>
      <c r="E5814" t="inlineStr">
        <is>
          <t>GÄLLIVARE</t>
        </is>
      </c>
      <c r="F5814" t="inlineStr">
        <is>
          <t>Allmännings- och besparingsskogar</t>
        </is>
      </c>
      <c r="G5814" t="n">
        <v>24.3</v>
      </c>
      <c r="H5814" t="n">
        <v>0</v>
      </c>
      <c r="I5814" t="n">
        <v>0</v>
      </c>
      <c r="J5814" t="n">
        <v>0</v>
      </c>
      <c r="K5814" t="n">
        <v>0</v>
      </c>
      <c r="L5814" t="n">
        <v>0</v>
      </c>
      <c r="M5814" t="n">
        <v>0</v>
      </c>
      <c r="N5814" t="n">
        <v>0</v>
      </c>
      <c r="O5814" t="n">
        <v>0</v>
      </c>
      <c r="P5814" t="n">
        <v>0</v>
      </c>
      <c r="Q5814" t="n">
        <v>0</v>
      </c>
      <c r="R5814" s="2" t="inlineStr"/>
    </row>
    <row r="5815" ht="15" customHeight="1">
      <c r="A5815" t="inlineStr">
        <is>
          <t>A 59695-2024</t>
        </is>
      </c>
      <c r="B5815" s="1" t="n">
        <v>45639</v>
      </c>
      <c r="C5815" s="1" t="n">
        <v>45895</v>
      </c>
      <c r="D5815" t="inlineStr">
        <is>
          <t>NORRBOTTENS LÄN</t>
        </is>
      </c>
      <c r="E5815" t="inlineStr">
        <is>
          <t>GÄLLIVARE</t>
        </is>
      </c>
      <c r="F5815" t="inlineStr">
        <is>
          <t>Sveaskog</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23204-2024</t>
        </is>
      </c>
      <c r="B5816" s="1" t="n">
        <v>45451</v>
      </c>
      <c r="C5816" s="1" t="n">
        <v>45895</v>
      </c>
      <c r="D5816" t="inlineStr">
        <is>
          <t>NORRBOTTENS LÄN</t>
        </is>
      </c>
      <c r="E5816" t="inlineStr">
        <is>
          <t>JOKKMOKK</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54614-2020</t>
        </is>
      </c>
      <c r="B5817" s="1" t="n">
        <v>44127</v>
      </c>
      <c r="C5817" s="1" t="n">
        <v>45895</v>
      </c>
      <c r="D5817" t="inlineStr">
        <is>
          <t>NORRBOTTENS LÄN</t>
        </is>
      </c>
      <c r="E5817" t="inlineStr">
        <is>
          <t>BODEN</t>
        </is>
      </c>
      <c r="G5817" t="n">
        <v>46.8</v>
      </c>
      <c r="H5817" t="n">
        <v>0</v>
      </c>
      <c r="I5817" t="n">
        <v>0</v>
      </c>
      <c r="J5817" t="n">
        <v>0</v>
      </c>
      <c r="K5817" t="n">
        <v>0</v>
      </c>
      <c r="L5817" t="n">
        <v>0</v>
      </c>
      <c r="M5817" t="n">
        <v>0</v>
      </c>
      <c r="N5817" t="n">
        <v>0</v>
      </c>
      <c r="O5817" t="n">
        <v>0</v>
      </c>
      <c r="P5817" t="n">
        <v>0</v>
      </c>
      <c r="Q5817" t="n">
        <v>0</v>
      </c>
      <c r="R5817" s="2" t="inlineStr"/>
    </row>
    <row r="5818" ht="15" customHeight="1">
      <c r="A5818" t="inlineStr">
        <is>
          <t>A 34143-2023</t>
        </is>
      </c>
      <c r="B5818" s="1" t="n">
        <v>45136</v>
      </c>
      <c r="C5818" s="1" t="n">
        <v>45895</v>
      </c>
      <c r="D5818" t="inlineStr">
        <is>
          <t>NORRBOTTENS LÄN</t>
        </is>
      </c>
      <c r="E5818" t="inlineStr">
        <is>
          <t>ÖVERTORNEÅ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34144-2023</t>
        </is>
      </c>
      <c r="B5819" s="1" t="n">
        <v>45136.45347222222</v>
      </c>
      <c r="C5819" s="1" t="n">
        <v>45895</v>
      </c>
      <c r="D5819" t="inlineStr">
        <is>
          <t>NORRBOTTENS LÄN</t>
        </is>
      </c>
      <c r="E5819" t="inlineStr">
        <is>
          <t>ÖVERTORNEÅ</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60217-2024</t>
        </is>
      </c>
      <c r="B5820" s="1" t="n">
        <v>45642.68560185185</v>
      </c>
      <c r="C5820" s="1" t="n">
        <v>45895</v>
      </c>
      <c r="D5820" t="inlineStr">
        <is>
          <t>NORRBOTTENS LÄN</t>
        </is>
      </c>
      <c r="E5820" t="inlineStr">
        <is>
          <t>HAPARANDA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23232-2024</t>
        </is>
      </c>
      <c r="B5821" s="1" t="n">
        <v>45453</v>
      </c>
      <c r="C5821" s="1" t="n">
        <v>45895</v>
      </c>
      <c r="D5821" t="inlineStr">
        <is>
          <t>NORRBOTTENS LÄN</t>
        </is>
      </c>
      <c r="E5821" t="inlineStr">
        <is>
          <t>BODEN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60085-2024</t>
        </is>
      </c>
      <c r="B5822" s="1" t="n">
        <v>45639</v>
      </c>
      <c r="C5822" s="1" t="n">
        <v>45895</v>
      </c>
      <c r="D5822" t="inlineStr">
        <is>
          <t>NORRBOTTENS LÄN</t>
        </is>
      </c>
      <c r="E5822" t="inlineStr">
        <is>
          <t>BODEN</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36797-2023</t>
        </is>
      </c>
      <c r="B5823" s="1" t="n">
        <v>45154.39217592592</v>
      </c>
      <c r="C5823" s="1" t="n">
        <v>45895</v>
      </c>
      <c r="D5823" t="inlineStr">
        <is>
          <t>NORRBOTTENS LÄN</t>
        </is>
      </c>
      <c r="E5823" t="inlineStr">
        <is>
          <t>ÖVERKALIX</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63850-2023</t>
        </is>
      </c>
      <c r="B5824" s="1" t="n">
        <v>45278.48112268518</v>
      </c>
      <c r="C5824" s="1" t="n">
        <v>45895</v>
      </c>
      <c r="D5824" t="inlineStr">
        <is>
          <t>NORRBOTTENS LÄN</t>
        </is>
      </c>
      <c r="E5824" t="inlineStr">
        <is>
          <t>HAPARANDA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59232-2024</t>
        </is>
      </c>
      <c r="B5825" s="1" t="n">
        <v>45637</v>
      </c>
      <c r="C5825" s="1" t="n">
        <v>45895</v>
      </c>
      <c r="D5825" t="inlineStr">
        <is>
          <t>NORRBOTTENS LÄN</t>
        </is>
      </c>
      <c r="E5825" t="inlineStr">
        <is>
          <t>GÄLLIVARE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2700-2025</t>
        </is>
      </c>
      <c r="B5826" s="1" t="n">
        <v>45677.40685185185</v>
      </c>
      <c r="C5826" s="1" t="n">
        <v>45895</v>
      </c>
      <c r="D5826" t="inlineStr">
        <is>
          <t>NORRBOTTENS LÄN</t>
        </is>
      </c>
      <c r="E5826" t="inlineStr">
        <is>
          <t>LULEÅ</t>
        </is>
      </c>
      <c r="F5826" t="inlineStr">
        <is>
          <t>SCA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62174-2024</t>
        </is>
      </c>
      <c r="B5827" s="1" t="n">
        <v>45657.72934027778</v>
      </c>
      <c r="C5827" s="1" t="n">
        <v>45895</v>
      </c>
      <c r="D5827" t="inlineStr">
        <is>
          <t>NORRBOTTENS LÄN</t>
        </is>
      </c>
      <c r="E5827" t="inlineStr">
        <is>
          <t>PAJALA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115-2025</t>
        </is>
      </c>
      <c r="B5828" s="1" t="n">
        <v>45659.51613425926</v>
      </c>
      <c r="C5828" s="1" t="n">
        <v>45895</v>
      </c>
      <c r="D5828" t="inlineStr">
        <is>
          <t>NORRBOTTENS LÄN</t>
        </is>
      </c>
      <c r="E5828" t="inlineStr">
        <is>
          <t>LULEÅ</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4412-2023</t>
        </is>
      </c>
      <c r="B5829" s="1" t="n">
        <v>44956.38069444444</v>
      </c>
      <c r="C5829" s="1" t="n">
        <v>45895</v>
      </c>
      <c r="D5829" t="inlineStr">
        <is>
          <t>NORRBOTTENS LÄN</t>
        </is>
      </c>
      <c r="E5829" t="inlineStr">
        <is>
          <t>KALIX</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12462-2025</t>
        </is>
      </c>
      <c r="B5830" s="1" t="n">
        <v>45730.53193287037</v>
      </c>
      <c r="C5830" s="1" t="n">
        <v>45895</v>
      </c>
      <c r="D5830" t="inlineStr">
        <is>
          <t>NORRBOTTENS LÄN</t>
        </is>
      </c>
      <c r="E5830" t="inlineStr">
        <is>
          <t>KALIX</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41870-2024</t>
        </is>
      </c>
      <c r="B5831" s="1" t="n">
        <v>45561</v>
      </c>
      <c r="C5831" s="1" t="n">
        <v>45895</v>
      </c>
      <c r="D5831" t="inlineStr">
        <is>
          <t>NORRBOTTENS LÄN</t>
        </is>
      </c>
      <c r="E5831" t="inlineStr">
        <is>
          <t>GÄLLIVARE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41871-2024</t>
        </is>
      </c>
      <c r="B5832" s="1" t="n">
        <v>45561.46952546296</v>
      </c>
      <c r="C5832" s="1" t="n">
        <v>45895</v>
      </c>
      <c r="D5832" t="inlineStr">
        <is>
          <t>NORRBOTTENS LÄN</t>
        </is>
      </c>
      <c r="E5832" t="inlineStr">
        <is>
          <t>PAJALA</t>
        </is>
      </c>
      <c r="G5832" t="n">
        <v>25.1</v>
      </c>
      <c r="H5832" t="n">
        <v>0</v>
      </c>
      <c r="I5832" t="n">
        <v>0</v>
      </c>
      <c r="J5832" t="n">
        <v>0</v>
      </c>
      <c r="K5832" t="n">
        <v>0</v>
      </c>
      <c r="L5832" t="n">
        <v>0</v>
      </c>
      <c r="M5832" t="n">
        <v>0</v>
      </c>
      <c r="N5832" t="n">
        <v>0</v>
      </c>
      <c r="O5832" t="n">
        <v>0</v>
      </c>
      <c r="P5832" t="n">
        <v>0</v>
      </c>
      <c r="Q5832" t="n">
        <v>0</v>
      </c>
      <c r="R5832" s="2" t="inlineStr"/>
    </row>
    <row r="5833" ht="15" customHeight="1">
      <c r="A5833" t="inlineStr">
        <is>
          <t>A 63772-2023</t>
        </is>
      </c>
      <c r="B5833" s="1" t="n">
        <v>45275</v>
      </c>
      <c r="C5833" s="1" t="n">
        <v>45895</v>
      </c>
      <c r="D5833" t="inlineStr">
        <is>
          <t>NORRBOTTENS LÄN</t>
        </is>
      </c>
      <c r="E5833" t="inlineStr">
        <is>
          <t>PAJALA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54848-2024</t>
        </is>
      </c>
      <c r="B5834" s="1" t="n">
        <v>45618</v>
      </c>
      <c r="C5834" s="1" t="n">
        <v>45895</v>
      </c>
      <c r="D5834" t="inlineStr">
        <is>
          <t>NORRBOTTENS LÄN</t>
        </is>
      </c>
      <c r="E5834" t="inlineStr">
        <is>
          <t>ÄLVSBYN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63800-2023</t>
        </is>
      </c>
      <c r="B5835" s="1" t="n">
        <v>45278.42076388889</v>
      </c>
      <c r="C5835" s="1" t="n">
        <v>45895</v>
      </c>
      <c r="D5835" t="inlineStr">
        <is>
          <t>NORRBOTTENS LÄN</t>
        </is>
      </c>
      <c r="E5835" t="inlineStr">
        <is>
          <t>HAPARANDA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3310-2025</t>
        </is>
      </c>
      <c r="B5836" s="1" t="n">
        <v>45679.6761574074</v>
      </c>
      <c r="C5836" s="1" t="n">
        <v>45895</v>
      </c>
      <c r="D5836" t="inlineStr">
        <is>
          <t>NORRBOTTENS LÄN</t>
        </is>
      </c>
      <c r="E5836" t="inlineStr">
        <is>
          <t>KALIX</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37657-2023</t>
        </is>
      </c>
      <c r="B5837" s="1" t="n">
        <v>45159</v>
      </c>
      <c r="C5837" s="1" t="n">
        <v>45895</v>
      </c>
      <c r="D5837" t="inlineStr">
        <is>
          <t>NORRBOTTENS LÄN</t>
        </is>
      </c>
      <c r="E5837" t="inlineStr">
        <is>
          <t>KALIX</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18652-2024</t>
        </is>
      </c>
      <c r="B5838" s="1" t="n">
        <v>45425</v>
      </c>
      <c r="C5838" s="1" t="n">
        <v>45895</v>
      </c>
      <c r="D5838" t="inlineStr">
        <is>
          <t>NORRBOTTENS LÄN</t>
        </is>
      </c>
      <c r="E5838" t="inlineStr">
        <is>
          <t>HAPARANDA</t>
        </is>
      </c>
      <c r="F5838" t="inlineStr">
        <is>
          <t>Kommuner</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6396-2024</t>
        </is>
      </c>
      <c r="B5839" s="1" t="n">
        <v>45338</v>
      </c>
      <c r="C5839" s="1" t="n">
        <v>45895</v>
      </c>
      <c r="D5839" t="inlineStr">
        <is>
          <t>NORRBOTTENS LÄN</t>
        </is>
      </c>
      <c r="E5839" t="inlineStr">
        <is>
          <t>BODEN</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30690-2024</t>
        </is>
      </c>
      <c r="B5840" s="1" t="n">
        <v>45495</v>
      </c>
      <c r="C5840" s="1" t="n">
        <v>45895</v>
      </c>
      <c r="D5840" t="inlineStr">
        <is>
          <t>NORRBOTTENS LÄN</t>
        </is>
      </c>
      <c r="E5840" t="inlineStr">
        <is>
          <t>ÄLVSBYN</t>
        </is>
      </c>
      <c r="F5840" t="inlineStr">
        <is>
          <t>SCA</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70336-2021</t>
        </is>
      </c>
      <c r="B5841" s="1" t="n">
        <v>44536</v>
      </c>
      <c r="C5841" s="1" t="n">
        <v>45895</v>
      </c>
      <c r="D5841" t="inlineStr">
        <is>
          <t>NORRBOTTENS LÄN</t>
        </is>
      </c>
      <c r="E5841" t="inlineStr">
        <is>
          <t>HAPARANDA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8229-2024</t>
        </is>
      </c>
      <c r="B5842" s="1" t="n">
        <v>45351</v>
      </c>
      <c r="C5842" s="1" t="n">
        <v>45895</v>
      </c>
      <c r="D5842" t="inlineStr">
        <is>
          <t>NORRBOTTENS LÄN</t>
        </is>
      </c>
      <c r="E5842" t="inlineStr">
        <is>
          <t>LULEÅ</t>
        </is>
      </c>
      <c r="G5842" t="n">
        <v>14.8</v>
      </c>
      <c r="H5842" t="n">
        <v>0</v>
      </c>
      <c r="I5842" t="n">
        <v>0</v>
      </c>
      <c r="J5842" t="n">
        <v>0</v>
      </c>
      <c r="K5842" t="n">
        <v>0</v>
      </c>
      <c r="L5842" t="n">
        <v>0</v>
      </c>
      <c r="M5842" t="n">
        <v>0</v>
      </c>
      <c r="N5842" t="n">
        <v>0</v>
      </c>
      <c r="O5842" t="n">
        <v>0</v>
      </c>
      <c r="P5842" t="n">
        <v>0</v>
      </c>
      <c r="Q5842" t="n">
        <v>0</v>
      </c>
      <c r="R5842" s="2" t="inlineStr"/>
    </row>
    <row r="5843" ht="15" customHeight="1">
      <c r="A5843" t="inlineStr">
        <is>
          <t>A 11964-2024</t>
        </is>
      </c>
      <c r="B5843" s="1" t="n">
        <v>45376.92693287037</v>
      </c>
      <c r="C5843" s="1" t="n">
        <v>45895</v>
      </c>
      <c r="D5843" t="inlineStr">
        <is>
          <t>NORRBOTTENS LÄN</t>
        </is>
      </c>
      <c r="E5843" t="inlineStr">
        <is>
          <t>PITEÅ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33597-2024</t>
        </is>
      </c>
      <c r="B5844" s="1" t="n">
        <v>45520</v>
      </c>
      <c r="C5844" s="1" t="n">
        <v>45895</v>
      </c>
      <c r="D5844" t="inlineStr">
        <is>
          <t>NORRBOTTENS LÄN</t>
        </is>
      </c>
      <c r="E5844" t="inlineStr">
        <is>
          <t>PITEÅ</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52087-2022</t>
        </is>
      </c>
      <c r="B5845" s="1" t="n">
        <v>44873</v>
      </c>
      <c r="C5845" s="1" t="n">
        <v>45895</v>
      </c>
      <c r="D5845" t="inlineStr">
        <is>
          <t>NORRBOTTENS LÄN</t>
        </is>
      </c>
      <c r="E5845" t="inlineStr">
        <is>
          <t>ÄLVSBYN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15515-2024</t>
        </is>
      </c>
      <c r="B5846" s="1" t="n">
        <v>45401</v>
      </c>
      <c r="C5846" s="1" t="n">
        <v>45895</v>
      </c>
      <c r="D5846" t="inlineStr">
        <is>
          <t>NORRBOTTENS LÄN</t>
        </is>
      </c>
      <c r="E5846" t="inlineStr">
        <is>
          <t>KALIX</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44326-2024</t>
        </is>
      </c>
      <c r="B5847" s="1" t="n">
        <v>45573.59427083333</v>
      </c>
      <c r="C5847" s="1" t="n">
        <v>45895</v>
      </c>
      <c r="D5847" t="inlineStr">
        <is>
          <t>NORRBOTTENS LÄN</t>
        </is>
      </c>
      <c r="E5847" t="inlineStr">
        <is>
          <t>GÄLLIVARE</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37819-2024</t>
        </is>
      </c>
      <c r="B5848" s="1" t="n">
        <v>45544</v>
      </c>
      <c r="C5848" s="1" t="n">
        <v>45895</v>
      </c>
      <c r="D5848" t="inlineStr">
        <is>
          <t>NORRBOTTENS LÄN</t>
        </is>
      </c>
      <c r="E5848" t="inlineStr">
        <is>
          <t>PITEÅ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61488-2022</t>
        </is>
      </c>
      <c r="B5849" s="1" t="n">
        <v>44910</v>
      </c>
      <c r="C5849" s="1" t="n">
        <v>45895</v>
      </c>
      <c r="D5849" t="inlineStr">
        <is>
          <t>NORRBOTTENS LÄN</t>
        </is>
      </c>
      <c r="E5849" t="inlineStr">
        <is>
          <t>BODEN</t>
        </is>
      </c>
      <c r="F5849" t="inlineStr">
        <is>
          <t>Sveaskog</t>
        </is>
      </c>
      <c r="G5849" t="n">
        <v>18.6</v>
      </c>
      <c r="H5849" t="n">
        <v>0</v>
      </c>
      <c r="I5849" t="n">
        <v>0</v>
      </c>
      <c r="J5849" t="n">
        <v>0</v>
      </c>
      <c r="K5849" t="n">
        <v>0</v>
      </c>
      <c r="L5849" t="n">
        <v>0</v>
      </c>
      <c r="M5849" t="n">
        <v>0</v>
      </c>
      <c r="N5849" t="n">
        <v>0</v>
      </c>
      <c r="O5849" t="n">
        <v>0</v>
      </c>
      <c r="P5849" t="n">
        <v>0</v>
      </c>
      <c r="Q5849" t="n">
        <v>0</v>
      </c>
      <c r="R5849" s="2" t="inlineStr"/>
    </row>
    <row r="5850" ht="15" customHeight="1">
      <c r="A5850" t="inlineStr">
        <is>
          <t>A 29457-2023</t>
        </is>
      </c>
      <c r="B5850" s="1" t="n">
        <v>45106</v>
      </c>
      <c r="C5850" s="1" t="n">
        <v>45895</v>
      </c>
      <c r="D5850" t="inlineStr">
        <is>
          <t>NORRBOTTENS LÄN</t>
        </is>
      </c>
      <c r="E5850" t="inlineStr">
        <is>
          <t>LULEÅ</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2219-2024</t>
        </is>
      </c>
      <c r="B5851" s="1" t="n">
        <v>45309.86796296296</v>
      </c>
      <c r="C5851" s="1" t="n">
        <v>45895</v>
      </c>
      <c r="D5851" t="inlineStr">
        <is>
          <t>NORRBOTTENS LÄN</t>
        </is>
      </c>
      <c r="E5851" t="inlineStr">
        <is>
          <t>PITEÅ</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40974-2024</t>
        </is>
      </c>
      <c r="B5852" s="1" t="n">
        <v>45558.6815162037</v>
      </c>
      <c r="C5852" s="1" t="n">
        <v>45895</v>
      </c>
      <c r="D5852" t="inlineStr">
        <is>
          <t>NORRBOTTENS LÄN</t>
        </is>
      </c>
      <c r="E5852" t="inlineStr">
        <is>
          <t>LULEÅ</t>
        </is>
      </c>
      <c r="F5852" t="inlineStr">
        <is>
          <t>Övriga Aktiebolag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40729-2024</t>
        </is>
      </c>
      <c r="B5853" s="1" t="n">
        <v>45558</v>
      </c>
      <c r="C5853" s="1" t="n">
        <v>45895</v>
      </c>
      <c r="D5853" t="inlineStr">
        <is>
          <t>NORRBOTTENS LÄN</t>
        </is>
      </c>
      <c r="E5853" t="inlineStr">
        <is>
          <t>PITEÅ</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56312-2022</t>
        </is>
      </c>
      <c r="B5854" s="1" t="n">
        <v>44890</v>
      </c>
      <c r="C5854" s="1" t="n">
        <v>45895</v>
      </c>
      <c r="D5854" t="inlineStr">
        <is>
          <t>NORRBOTTENS LÄN</t>
        </is>
      </c>
      <c r="E5854" t="inlineStr">
        <is>
          <t>PITEÅ</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54506-2023</t>
        </is>
      </c>
      <c r="B5855" s="1" t="n">
        <v>45226</v>
      </c>
      <c r="C5855" s="1" t="n">
        <v>45895</v>
      </c>
      <c r="D5855" t="inlineStr">
        <is>
          <t>NORRBOTTENS LÄN</t>
        </is>
      </c>
      <c r="E5855" t="inlineStr">
        <is>
          <t>KALIX</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52289-2024</t>
        </is>
      </c>
      <c r="B5856" s="1" t="n">
        <v>45608.69555555555</v>
      </c>
      <c r="C5856" s="1" t="n">
        <v>45895</v>
      </c>
      <c r="D5856" t="inlineStr">
        <is>
          <t>NORRBOTTENS LÄN</t>
        </is>
      </c>
      <c r="E5856" t="inlineStr">
        <is>
          <t>JOKKMOKK</t>
        </is>
      </c>
      <c r="F5856" t="inlineStr">
        <is>
          <t>Allmännings- och besparingsskogar</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25720-2023</t>
        </is>
      </c>
      <c r="B5857" s="1" t="n">
        <v>45090</v>
      </c>
      <c r="C5857" s="1" t="n">
        <v>45895</v>
      </c>
      <c r="D5857" t="inlineStr">
        <is>
          <t>NORRBOTTENS LÄN</t>
        </is>
      </c>
      <c r="E5857" t="inlineStr">
        <is>
          <t>JOKKMOKK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48747-2024</t>
        </is>
      </c>
      <c r="B5858" s="1" t="n">
        <v>45593</v>
      </c>
      <c r="C5858" s="1" t="n">
        <v>45895</v>
      </c>
      <c r="D5858" t="inlineStr">
        <is>
          <t>NORRBOTTENS LÄN</t>
        </is>
      </c>
      <c r="E5858" t="inlineStr">
        <is>
          <t>ÖVERKALIX</t>
        </is>
      </c>
      <c r="G5858" t="n">
        <v>13.2</v>
      </c>
      <c r="H5858" t="n">
        <v>0</v>
      </c>
      <c r="I5858" t="n">
        <v>0</v>
      </c>
      <c r="J5858" t="n">
        <v>0</v>
      </c>
      <c r="K5858" t="n">
        <v>0</v>
      </c>
      <c r="L5858" t="n">
        <v>0</v>
      </c>
      <c r="M5858" t="n">
        <v>0</v>
      </c>
      <c r="N5858" t="n">
        <v>0</v>
      </c>
      <c r="O5858" t="n">
        <v>0</v>
      </c>
      <c r="P5858" t="n">
        <v>0</v>
      </c>
      <c r="Q5858" t="n">
        <v>0</v>
      </c>
      <c r="R5858" s="2" t="inlineStr"/>
    </row>
    <row r="5859" ht="15" customHeight="1">
      <c r="A5859" t="inlineStr">
        <is>
          <t>A 11018-2024</t>
        </is>
      </c>
      <c r="B5859" s="1" t="n">
        <v>45370</v>
      </c>
      <c r="C5859" s="1" t="n">
        <v>45895</v>
      </c>
      <c r="D5859" t="inlineStr">
        <is>
          <t>NORRBOTTENS LÄN</t>
        </is>
      </c>
      <c r="E5859" t="inlineStr">
        <is>
          <t>PITEÅ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25947-2024</t>
        </is>
      </c>
      <c r="B5860" s="1" t="n">
        <v>45467</v>
      </c>
      <c r="C5860" s="1" t="n">
        <v>45895</v>
      </c>
      <c r="D5860" t="inlineStr">
        <is>
          <t>NORRBOTTENS LÄN</t>
        </is>
      </c>
      <c r="E5860" t="inlineStr">
        <is>
          <t>PAJALA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5129-2025</t>
        </is>
      </c>
      <c r="B5861" s="1" t="n">
        <v>45691.56939814815</v>
      </c>
      <c r="C5861" s="1" t="n">
        <v>45895</v>
      </c>
      <c r="D5861" t="inlineStr">
        <is>
          <t>NORRBOTTENS LÄN</t>
        </is>
      </c>
      <c r="E5861" t="inlineStr">
        <is>
          <t>BODEN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33373-2023</t>
        </is>
      </c>
      <c r="B5862" s="1" t="n">
        <v>45117</v>
      </c>
      <c r="C5862" s="1" t="n">
        <v>45895</v>
      </c>
      <c r="D5862" t="inlineStr">
        <is>
          <t>NORRBOTTENS LÄN</t>
        </is>
      </c>
      <c r="E5862" t="inlineStr">
        <is>
          <t>GÄLLIVARE</t>
        </is>
      </c>
      <c r="F5862" t="inlineStr">
        <is>
          <t>Allmännings- och besparingsskogar</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59884-2024</t>
        </is>
      </c>
      <c r="B5863" s="1" t="n">
        <v>45641.49390046296</v>
      </c>
      <c r="C5863" s="1" t="n">
        <v>45895</v>
      </c>
      <c r="D5863" t="inlineStr">
        <is>
          <t>NORRBOTTENS LÄN</t>
        </is>
      </c>
      <c r="E5863" t="inlineStr">
        <is>
          <t>KALIX</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58386-2024</t>
        </is>
      </c>
      <c r="B5864" s="1" t="n">
        <v>45633</v>
      </c>
      <c r="C5864" s="1" t="n">
        <v>45895</v>
      </c>
      <c r="D5864" t="inlineStr">
        <is>
          <t>NORRBOTTENS LÄN</t>
        </is>
      </c>
      <c r="E5864" t="inlineStr">
        <is>
          <t>ÖVERTORNEÅ</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30105-2023</t>
        </is>
      </c>
      <c r="B5865" s="1" t="n">
        <v>45099</v>
      </c>
      <c r="C5865" s="1" t="n">
        <v>45895</v>
      </c>
      <c r="D5865" t="inlineStr">
        <is>
          <t>NORRBOTTENS LÄN</t>
        </is>
      </c>
      <c r="E5865" t="inlineStr">
        <is>
          <t>BODEN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24666-2024</t>
        </is>
      </c>
      <c r="B5866" s="1" t="n">
        <v>45460</v>
      </c>
      <c r="C5866" s="1" t="n">
        <v>45895</v>
      </c>
      <c r="D5866" t="inlineStr">
        <is>
          <t>NORRBOTTENS LÄN</t>
        </is>
      </c>
      <c r="E5866" t="inlineStr">
        <is>
          <t>ÖVERTORNEÅ</t>
        </is>
      </c>
      <c r="F5866" t="inlineStr">
        <is>
          <t>Sveaskog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33323-2023</t>
        </is>
      </c>
      <c r="B5867" s="1" t="n">
        <v>45127.92231481482</v>
      </c>
      <c r="C5867" s="1" t="n">
        <v>45895</v>
      </c>
      <c r="D5867" t="inlineStr">
        <is>
          <t>NORRBOTTENS LÄN</t>
        </is>
      </c>
      <c r="E5867" t="inlineStr">
        <is>
          <t>ÖVERTORNEÅ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13329-2025</t>
        </is>
      </c>
      <c r="B5868" s="1" t="n">
        <v>45735</v>
      </c>
      <c r="C5868" s="1" t="n">
        <v>45895</v>
      </c>
      <c r="D5868" t="inlineStr">
        <is>
          <t>NORRBOTTENS LÄN</t>
        </is>
      </c>
      <c r="E5868" t="inlineStr">
        <is>
          <t>ÄLVSBYN</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39893-2024</t>
        </is>
      </c>
      <c r="B5869" s="1" t="n">
        <v>45553.47987268519</v>
      </c>
      <c r="C5869" s="1" t="n">
        <v>45895</v>
      </c>
      <c r="D5869" t="inlineStr">
        <is>
          <t>NORRBOTTENS LÄN</t>
        </is>
      </c>
      <c r="E5869" t="inlineStr">
        <is>
          <t>HAPARANDA</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61588-2024</t>
        </is>
      </c>
      <c r="B5870" s="1" t="n">
        <v>45646.6295949074</v>
      </c>
      <c r="C5870" s="1" t="n">
        <v>45895</v>
      </c>
      <c r="D5870" t="inlineStr">
        <is>
          <t>NORRBOTTENS LÄN</t>
        </is>
      </c>
      <c r="E5870" t="inlineStr">
        <is>
          <t>BODEN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20340-2023</t>
        </is>
      </c>
      <c r="B5871" s="1" t="n">
        <v>45054</v>
      </c>
      <c r="C5871" s="1" t="n">
        <v>45895</v>
      </c>
      <c r="D5871" t="inlineStr">
        <is>
          <t>NORRBOTTENS LÄN</t>
        </is>
      </c>
      <c r="E5871" t="inlineStr">
        <is>
          <t>LULEÅ</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54526-2024</t>
        </is>
      </c>
      <c r="B5872" s="1" t="n">
        <v>45617.60194444445</v>
      </c>
      <c r="C5872" s="1" t="n">
        <v>45895</v>
      </c>
      <c r="D5872" t="inlineStr">
        <is>
          <t>NORRBOTTENS LÄN</t>
        </is>
      </c>
      <c r="E5872" t="inlineStr">
        <is>
          <t>PITEÅ</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20350-2023</t>
        </is>
      </c>
      <c r="B5873" s="1" t="n">
        <v>45054</v>
      </c>
      <c r="C5873" s="1" t="n">
        <v>45895</v>
      </c>
      <c r="D5873" t="inlineStr">
        <is>
          <t>NORRBOTTENS LÄN</t>
        </is>
      </c>
      <c r="E5873" t="inlineStr">
        <is>
          <t>KALIX</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25930-2023</t>
        </is>
      </c>
      <c r="B5874" s="1" t="n">
        <v>45090.67743055556</v>
      </c>
      <c r="C5874" s="1" t="n">
        <v>45895</v>
      </c>
      <c r="D5874" t="inlineStr">
        <is>
          <t>NORRBOTTENS LÄN</t>
        </is>
      </c>
      <c r="E5874" t="inlineStr">
        <is>
          <t>PITEÅ</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30787-2024</t>
        </is>
      </c>
      <c r="B5875" s="1" t="n">
        <v>45496.95108796296</v>
      </c>
      <c r="C5875" s="1" t="n">
        <v>45895</v>
      </c>
      <c r="D5875" t="inlineStr">
        <is>
          <t>NORRBOTTENS LÄN</t>
        </is>
      </c>
      <c r="E5875" t="inlineStr">
        <is>
          <t>LULEÅ</t>
        </is>
      </c>
      <c r="F5875" t="inlineStr">
        <is>
          <t>Naturvårdsverket</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6718-2024</t>
        </is>
      </c>
      <c r="B5876" s="1" t="n">
        <v>45342</v>
      </c>
      <c r="C5876" s="1" t="n">
        <v>45895</v>
      </c>
      <c r="D5876" t="inlineStr">
        <is>
          <t>NORRBOTTENS LÄN</t>
        </is>
      </c>
      <c r="E5876" t="inlineStr">
        <is>
          <t>LULEÅ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11294-2024</t>
        </is>
      </c>
      <c r="B5877" s="1" t="n">
        <v>45371</v>
      </c>
      <c r="C5877" s="1" t="n">
        <v>45895</v>
      </c>
      <c r="D5877" t="inlineStr">
        <is>
          <t>NORRBOTTENS LÄN</t>
        </is>
      </c>
      <c r="E5877" t="inlineStr">
        <is>
          <t>LULEÅ</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18712-2025</t>
        </is>
      </c>
      <c r="B5878" s="1" t="n">
        <v>45763</v>
      </c>
      <c r="C5878" s="1" t="n">
        <v>45895</v>
      </c>
      <c r="D5878" t="inlineStr">
        <is>
          <t>NORRBOTTENS LÄN</t>
        </is>
      </c>
      <c r="E5878" t="inlineStr">
        <is>
          <t>KIRUNA</t>
        </is>
      </c>
      <c r="G5878" t="n">
        <v>66.5</v>
      </c>
      <c r="H5878" t="n">
        <v>0</v>
      </c>
      <c r="I5878" t="n">
        <v>0</v>
      </c>
      <c r="J5878" t="n">
        <v>0</v>
      </c>
      <c r="K5878" t="n">
        <v>0</v>
      </c>
      <c r="L5878" t="n">
        <v>0</v>
      </c>
      <c r="M5878" t="n">
        <v>0</v>
      </c>
      <c r="N5878" t="n">
        <v>0</v>
      </c>
      <c r="O5878" t="n">
        <v>0</v>
      </c>
      <c r="P5878" t="n">
        <v>0</v>
      </c>
      <c r="Q5878" t="n">
        <v>0</v>
      </c>
      <c r="R5878" s="2" t="inlineStr"/>
    </row>
    <row r="5879" ht="15" customHeight="1">
      <c r="A5879" t="inlineStr">
        <is>
          <t>A 5382-2025</t>
        </is>
      </c>
      <c r="B5879" s="1" t="n">
        <v>45692.61486111111</v>
      </c>
      <c r="C5879" s="1" t="n">
        <v>45895</v>
      </c>
      <c r="D5879" t="inlineStr">
        <is>
          <t>NORRBOTTENS LÄN</t>
        </is>
      </c>
      <c r="E5879" t="inlineStr">
        <is>
          <t>ÖVERKALIX</t>
        </is>
      </c>
      <c r="F5879" t="inlineStr">
        <is>
          <t>SCA</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5385-2025</t>
        </is>
      </c>
      <c r="B5880" s="1" t="n">
        <v>45692</v>
      </c>
      <c r="C5880" s="1" t="n">
        <v>45895</v>
      </c>
      <c r="D5880" t="inlineStr">
        <is>
          <t>NORRBOTTENS LÄN</t>
        </is>
      </c>
      <c r="E5880" t="inlineStr">
        <is>
          <t>ÖVERKALIX</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18090-2025</t>
        </is>
      </c>
      <c r="B5881" s="1" t="n">
        <v>45761</v>
      </c>
      <c r="C5881" s="1" t="n">
        <v>45895</v>
      </c>
      <c r="D5881" t="inlineStr">
        <is>
          <t>NORRBOTTENS LÄN</t>
        </is>
      </c>
      <c r="E5881" t="inlineStr">
        <is>
          <t>ÄLVSBYN</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6806-2025</t>
        </is>
      </c>
      <c r="B5882" s="1" t="n">
        <v>45700.68622685185</v>
      </c>
      <c r="C5882" s="1" t="n">
        <v>45895</v>
      </c>
      <c r="D5882" t="inlineStr">
        <is>
          <t>NORRBOTTENS LÄN</t>
        </is>
      </c>
      <c r="E5882" t="inlineStr">
        <is>
          <t>HAPARANDA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6810-2025</t>
        </is>
      </c>
      <c r="B5883" s="1" t="n">
        <v>45700</v>
      </c>
      <c r="C5883" s="1" t="n">
        <v>45895</v>
      </c>
      <c r="D5883" t="inlineStr">
        <is>
          <t>NORRBOTTENS LÄN</t>
        </is>
      </c>
      <c r="E5883" t="inlineStr">
        <is>
          <t>ÖVERKALIX</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15151-2025</t>
        </is>
      </c>
      <c r="B5884" s="1" t="n">
        <v>45744</v>
      </c>
      <c r="C5884" s="1" t="n">
        <v>45895</v>
      </c>
      <c r="D5884" t="inlineStr">
        <is>
          <t>NORRBOTTENS LÄN</t>
        </is>
      </c>
      <c r="E5884" t="inlineStr">
        <is>
          <t>GÄLLIVARE</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15157-2025</t>
        </is>
      </c>
      <c r="B5885" s="1" t="n">
        <v>45744.46895833333</v>
      </c>
      <c r="C5885" s="1" t="n">
        <v>45895</v>
      </c>
      <c r="D5885" t="inlineStr">
        <is>
          <t>NORRBOTTENS LÄN</t>
        </is>
      </c>
      <c r="E5885" t="inlineStr">
        <is>
          <t>BODEN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28757-2023</t>
        </is>
      </c>
      <c r="B5886" s="1" t="n">
        <v>45103</v>
      </c>
      <c r="C5886" s="1" t="n">
        <v>45895</v>
      </c>
      <c r="D5886" t="inlineStr">
        <is>
          <t>NORRBOTTENS LÄN</t>
        </is>
      </c>
      <c r="E5886" t="inlineStr">
        <is>
          <t>ÄLVSBYN</t>
        </is>
      </c>
      <c r="F5886" t="inlineStr">
        <is>
          <t>SCA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54153-2023</t>
        </is>
      </c>
      <c r="B5887" s="1" t="n">
        <v>45232</v>
      </c>
      <c r="C5887" s="1" t="n">
        <v>45895</v>
      </c>
      <c r="D5887" t="inlineStr">
        <is>
          <t>NORRBOTTENS LÄN</t>
        </is>
      </c>
      <c r="E5887" t="inlineStr">
        <is>
          <t>BODEN</t>
        </is>
      </c>
      <c r="F5887" t="inlineStr">
        <is>
          <t>Sveaskog</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64972-2023</t>
        </is>
      </c>
      <c r="B5888" s="1" t="n">
        <v>45285.40947916666</v>
      </c>
      <c r="C5888" s="1" t="n">
        <v>45895</v>
      </c>
      <c r="D5888" t="inlineStr">
        <is>
          <t>NORRBOTTENS LÄN</t>
        </is>
      </c>
      <c r="E5888" t="inlineStr">
        <is>
          <t>PITEÅ</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25503-2024</t>
        </is>
      </c>
      <c r="B5889" s="1" t="n">
        <v>45463.48306712963</v>
      </c>
      <c r="C5889" s="1" t="n">
        <v>45895</v>
      </c>
      <c r="D5889" t="inlineStr">
        <is>
          <t>NORRBOTTENS LÄN</t>
        </is>
      </c>
      <c r="E5889" t="inlineStr">
        <is>
          <t>GÄLLIVARE</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42854-2024</t>
        </is>
      </c>
      <c r="B5890" s="1" t="n">
        <v>45566.64958333333</v>
      </c>
      <c r="C5890" s="1" t="n">
        <v>45895</v>
      </c>
      <c r="D5890" t="inlineStr">
        <is>
          <t>NORRBOTTENS LÄN</t>
        </is>
      </c>
      <c r="E5890" t="inlineStr">
        <is>
          <t>LULEÅ</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19533-2025</t>
        </is>
      </c>
      <c r="B5891" s="1" t="n">
        <v>45770.47331018518</v>
      </c>
      <c r="C5891" s="1" t="n">
        <v>45895</v>
      </c>
      <c r="D5891" t="inlineStr">
        <is>
          <t>NORRBOTTENS LÄN</t>
        </is>
      </c>
      <c r="E5891" t="inlineStr">
        <is>
          <t>LULEÅ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2452-2024</t>
        </is>
      </c>
      <c r="B5892" s="1" t="n">
        <v>45312</v>
      </c>
      <c r="C5892" s="1" t="n">
        <v>45895</v>
      </c>
      <c r="D5892" t="inlineStr">
        <is>
          <t>NORRBOTTENS LÄN</t>
        </is>
      </c>
      <c r="E5892" t="inlineStr">
        <is>
          <t>PITEÅ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15848-2022</t>
        </is>
      </c>
      <c r="B5893" s="1" t="n">
        <v>44664</v>
      </c>
      <c r="C5893" s="1" t="n">
        <v>45895</v>
      </c>
      <c r="D5893" t="inlineStr">
        <is>
          <t>NORRBOTTENS LÄN</t>
        </is>
      </c>
      <c r="E5893" t="inlineStr">
        <is>
          <t>LULEÅ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32616-2024</t>
        </is>
      </c>
      <c r="B5894" s="1" t="n">
        <v>45513.67081018518</v>
      </c>
      <c r="C5894" s="1" t="n">
        <v>45895</v>
      </c>
      <c r="D5894" t="inlineStr">
        <is>
          <t>NORRBOTTENS LÄN</t>
        </is>
      </c>
      <c r="E5894" t="inlineStr">
        <is>
          <t>ÖVERKALIX</t>
        </is>
      </c>
      <c r="F5894" t="inlineStr">
        <is>
          <t>Sveaskog</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283-2024</t>
        </is>
      </c>
      <c r="B5895" s="1" t="n">
        <v>45295.4080787037</v>
      </c>
      <c r="C5895" s="1" t="n">
        <v>45895</v>
      </c>
      <c r="D5895" t="inlineStr">
        <is>
          <t>NORRBOTTENS LÄN</t>
        </is>
      </c>
      <c r="E5895" t="inlineStr">
        <is>
          <t>KALIX</t>
        </is>
      </c>
      <c r="F5895" t="inlineStr">
        <is>
          <t>Sveaskog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2237-2023</t>
        </is>
      </c>
      <c r="B5896" s="1" t="n">
        <v>44942.46430555556</v>
      </c>
      <c r="C5896" s="1" t="n">
        <v>45895</v>
      </c>
      <c r="D5896" t="inlineStr">
        <is>
          <t>NORRBOTTENS LÄN</t>
        </is>
      </c>
      <c r="E5896" t="inlineStr">
        <is>
          <t>GÄLLIVARE</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4768-2024</t>
        </is>
      </c>
      <c r="B5897" s="1" t="n">
        <v>45328</v>
      </c>
      <c r="C5897" s="1" t="n">
        <v>45895</v>
      </c>
      <c r="D5897" t="inlineStr">
        <is>
          <t>NORRBOTTENS LÄN</t>
        </is>
      </c>
      <c r="E5897" t="inlineStr">
        <is>
          <t>LULEÅ</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29212-2024</t>
        </is>
      </c>
      <c r="B5898" s="1" t="n">
        <v>45482</v>
      </c>
      <c r="C5898" s="1" t="n">
        <v>45895</v>
      </c>
      <c r="D5898" t="inlineStr">
        <is>
          <t>NORRBOTTENS LÄN</t>
        </is>
      </c>
      <c r="E5898" t="inlineStr">
        <is>
          <t>JOKKMOKK</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44540-2024</t>
        </is>
      </c>
      <c r="B5899" s="1" t="n">
        <v>45574.45646990741</v>
      </c>
      <c r="C5899" s="1" t="n">
        <v>45895</v>
      </c>
      <c r="D5899" t="inlineStr">
        <is>
          <t>NORRBOTTENS LÄN</t>
        </is>
      </c>
      <c r="E5899" t="inlineStr">
        <is>
          <t>ÖVERTORNEÅ</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32153-2023</t>
        </is>
      </c>
      <c r="B5900" s="1" t="n">
        <v>45119.70763888889</v>
      </c>
      <c r="C5900" s="1" t="n">
        <v>45895</v>
      </c>
      <c r="D5900" t="inlineStr">
        <is>
          <t>NORRBOTTENS LÄN</t>
        </is>
      </c>
      <c r="E5900" t="inlineStr">
        <is>
          <t>PITEÅ</t>
        </is>
      </c>
      <c r="F5900" t="inlineStr">
        <is>
          <t>Sveaskog</t>
        </is>
      </c>
      <c r="G5900" t="n">
        <v>18.5</v>
      </c>
      <c r="H5900" t="n">
        <v>0</v>
      </c>
      <c r="I5900" t="n">
        <v>0</v>
      </c>
      <c r="J5900" t="n">
        <v>0</v>
      </c>
      <c r="K5900" t="n">
        <v>0</v>
      </c>
      <c r="L5900" t="n">
        <v>0</v>
      </c>
      <c r="M5900" t="n">
        <v>0</v>
      </c>
      <c r="N5900" t="n">
        <v>0</v>
      </c>
      <c r="O5900" t="n">
        <v>0</v>
      </c>
      <c r="P5900" t="n">
        <v>0</v>
      </c>
      <c r="Q5900" t="n">
        <v>0</v>
      </c>
      <c r="R5900" s="2" t="inlineStr"/>
    </row>
    <row r="5901" ht="15" customHeight="1">
      <c r="A5901" t="inlineStr">
        <is>
          <t>A 36515-2024</t>
        </is>
      </c>
      <c r="B5901" s="1" t="n">
        <v>45537</v>
      </c>
      <c r="C5901" s="1" t="n">
        <v>45895</v>
      </c>
      <c r="D5901" t="inlineStr">
        <is>
          <t>NORRBOTTENS LÄN</t>
        </is>
      </c>
      <c r="E5901" t="inlineStr">
        <is>
          <t>PITEÅ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26472-2024</t>
        </is>
      </c>
      <c r="B5902" s="1" t="n">
        <v>45469</v>
      </c>
      <c r="C5902" s="1" t="n">
        <v>45895</v>
      </c>
      <c r="D5902" t="inlineStr">
        <is>
          <t>NORRBOTTENS LÄN</t>
        </is>
      </c>
      <c r="E5902" t="inlineStr">
        <is>
          <t>ARJEPLOG</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26486-2024</t>
        </is>
      </c>
      <c r="B5903" s="1" t="n">
        <v>45469</v>
      </c>
      <c r="C5903" s="1" t="n">
        <v>45895</v>
      </c>
      <c r="D5903" t="inlineStr">
        <is>
          <t>NORRBOTTENS LÄN</t>
        </is>
      </c>
      <c r="E5903" t="inlineStr">
        <is>
          <t>ARJEPLOG</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46931-2024</t>
        </is>
      </c>
      <c r="B5904" s="1" t="n">
        <v>45584.99240740741</v>
      </c>
      <c r="C5904" s="1" t="n">
        <v>45895</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47017-2024</t>
        </is>
      </c>
      <c r="B5905" s="1" t="n">
        <v>45586.39534722222</v>
      </c>
      <c r="C5905" s="1" t="n">
        <v>45895</v>
      </c>
      <c r="D5905" t="inlineStr">
        <is>
          <t>NORRBOTTENS LÄN</t>
        </is>
      </c>
      <c r="E5905" t="inlineStr">
        <is>
          <t>PITEÅ</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56448-2022</t>
        </is>
      </c>
      <c r="B5906" s="1" t="n">
        <v>44892.82552083334</v>
      </c>
      <c r="C5906" s="1" t="n">
        <v>45895</v>
      </c>
      <c r="D5906" t="inlineStr">
        <is>
          <t>NORRBOTTENS LÄN</t>
        </is>
      </c>
      <c r="E5906" t="inlineStr">
        <is>
          <t>PAJALA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28928-2024</t>
        </is>
      </c>
      <c r="B5907" s="1" t="n">
        <v>45481</v>
      </c>
      <c r="C5907" s="1" t="n">
        <v>45895</v>
      </c>
      <c r="D5907" t="inlineStr">
        <is>
          <t>NORRBOTTENS LÄN</t>
        </is>
      </c>
      <c r="E5907" t="inlineStr">
        <is>
          <t>ÖVERTORNEÅ</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30026-2023</t>
        </is>
      </c>
      <c r="B5908" s="1" t="n">
        <v>45110.31878472222</v>
      </c>
      <c r="C5908" s="1" t="n">
        <v>45895</v>
      </c>
      <c r="D5908" t="inlineStr">
        <is>
          <t>NORRBOTTENS LÄN</t>
        </is>
      </c>
      <c r="E5908" t="inlineStr">
        <is>
          <t>GÄLLIVARE</t>
        </is>
      </c>
      <c r="F5908" t="inlineStr">
        <is>
          <t>Sveaskog</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60400-2022</t>
        </is>
      </c>
      <c r="B5909" s="1" t="n">
        <v>44910.92200231482</v>
      </c>
      <c r="C5909" s="1" t="n">
        <v>45895</v>
      </c>
      <c r="D5909" t="inlineStr">
        <is>
          <t>NORRBOTTENS LÄN</t>
        </is>
      </c>
      <c r="E5909" t="inlineStr">
        <is>
          <t>ÖVERKALIX</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54970-2024</t>
        </is>
      </c>
      <c r="B5910" s="1" t="n">
        <v>45620</v>
      </c>
      <c r="C5910" s="1" t="n">
        <v>45895</v>
      </c>
      <c r="D5910" t="inlineStr">
        <is>
          <t>NORRBOTTENS LÄN</t>
        </is>
      </c>
      <c r="E5910" t="inlineStr">
        <is>
          <t>PITEÅ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42167-2024</t>
        </is>
      </c>
      <c r="B5911" s="1" t="n">
        <v>45562.46512731481</v>
      </c>
      <c r="C5911" s="1" t="n">
        <v>45895</v>
      </c>
      <c r="D5911" t="inlineStr">
        <is>
          <t>NORRBOTTENS LÄN</t>
        </is>
      </c>
      <c r="E5911" t="inlineStr">
        <is>
          <t>HAPARANDA</t>
        </is>
      </c>
      <c r="G5911" t="n">
        <v>11.1</v>
      </c>
      <c r="H5911" t="n">
        <v>0</v>
      </c>
      <c r="I5911" t="n">
        <v>0</v>
      </c>
      <c r="J5911" t="n">
        <v>0</v>
      </c>
      <c r="K5911" t="n">
        <v>0</v>
      </c>
      <c r="L5911" t="n">
        <v>0</v>
      </c>
      <c r="M5911" t="n">
        <v>0</v>
      </c>
      <c r="N5911" t="n">
        <v>0</v>
      </c>
      <c r="O5911" t="n">
        <v>0</v>
      </c>
      <c r="P5911" t="n">
        <v>0</v>
      </c>
      <c r="Q5911" t="n">
        <v>0</v>
      </c>
      <c r="R5911" s="2" t="inlineStr"/>
    </row>
    <row r="5912" ht="15" customHeight="1">
      <c r="A5912" t="inlineStr">
        <is>
          <t>A 25340-2024</t>
        </is>
      </c>
      <c r="B5912" s="1" t="n">
        <v>45462</v>
      </c>
      <c r="C5912" s="1" t="n">
        <v>45895</v>
      </c>
      <c r="D5912" t="inlineStr">
        <is>
          <t>NORRBOTTENS LÄN</t>
        </is>
      </c>
      <c r="E5912" t="inlineStr">
        <is>
          <t>LULEÅ</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32853-2024</t>
        </is>
      </c>
      <c r="B5913" s="1" t="n">
        <v>45516.63964120371</v>
      </c>
      <c r="C5913" s="1" t="n">
        <v>45895</v>
      </c>
      <c r="D5913" t="inlineStr">
        <is>
          <t>NORRBOTTENS LÄN</t>
        </is>
      </c>
      <c r="E5913" t="inlineStr">
        <is>
          <t>JOKKMOKK</t>
        </is>
      </c>
      <c r="F5913" t="inlineStr">
        <is>
          <t>Sveaskog</t>
        </is>
      </c>
      <c r="G5913" t="n">
        <v>40.4</v>
      </c>
      <c r="H5913" t="n">
        <v>0</v>
      </c>
      <c r="I5913" t="n">
        <v>0</v>
      </c>
      <c r="J5913" t="n">
        <v>0</v>
      </c>
      <c r="K5913" t="n">
        <v>0</v>
      </c>
      <c r="L5913" t="n">
        <v>0</v>
      </c>
      <c r="M5913" t="n">
        <v>0</v>
      </c>
      <c r="N5913" t="n">
        <v>0</v>
      </c>
      <c r="O5913" t="n">
        <v>0</v>
      </c>
      <c r="P5913" t="n">
        <v>0</v>
      </c>
      <c r="Q5913" t="n">
        <v>0</v>
      </c>
      <c r="R5913" s="2" t="inlineStr"/>
    </row>
    <row r="5914" ht="15" customHeight="1">
      <c r="A5914" t="inlineStr">
        <is>
          <t>A 52154-2024</t>
        </is>
      </c>
      <c r="B5914" s="1" t="n">
        <v>45608</v>
      </c>
      <c r="C5914" s="1" t="n">
        <v>45895</v>
      </c>
      <c r="D5914" t="inlineStr">
        <is>
          <t>NORRBOTTENS LÄN</t>
        </is>
      </c>
      <c r="E5914" t="inlineStr">
        <is>
          <t>ÖVERKALIX</t>
        </is>
      </c>
      <c r="F5914" t="inlineStr">
        <is>
          <t>SCA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19284-2025</t>
        </is>
      </c>
      <c r="B5915" s="1" t="n">
        <v>45769</v>
      </c>
      <c r="C5915" s="1" t="n">
        <v>45895</v>
      </c>
      <c r="D5915" t="inlineStr">
        <is>
          <t>NORRBOTTENS LÄN</t>
        </is>
      </c>
      <c r="E5915" t="inlineStr">
        <is>
          <t>BODEN</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16221-2024</t>
        </is>
      </c>
      <c r="B5916" s="1" t="n">
        <v>45406.9640625</v>
      </c>
      <c r="C5916" s="1" t="n">
        <v>45895</v>
      </c>
      <c r="D5916" t="inlineStr">
        <is>
          <t>NORRBOTTENS LÄN</t>
        </is>
      </c>
      <c r="E5916" t="inlineStr">
        <is>
          <t>KALIX</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16222-2024</t>
        </is>
      </c>
      <c r="B5917" s="1" t="n">
        <v>45406</v>
      </c>
      <c r="C5917" s="1" t="n">
        <v>45895</v>
      </c>
      <c r="D5917" t="inlineStr">
        <is>
          <t>NORRBOTTENS LÄN</t>
        </is>
      </c>
      <c r="E5917" t="inlineStr">
        <is>
          <t>BODEN</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59911-2024</t>
        </is>
      </c>
      <c r="B5918" s="1" t="n">
        <v>45641.70442129629</v>
      </c>
      <c r="C5918" s="1" t="n">
        <v>45895</v>
      </c>
      <c r="D5918" t="inlineStr">
        <is>
          <t>NORRBOTTENS LÄN</t>
        </is>
      </c>
      <c r="E5918" t="inlineStr">
        <is>
          <t>ÖVERKALIX</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41789-2024</t>
        </is>
      </c>
      <c r="B5919" s="1" t="n">
        <v>45561</v>
      </c>
      <c r="C5919" s="1" t="n">
        <v>45895</v>
      </c>
      <c r="D5919" t="inlineStr">
        <is>
          <t>NORRBOTTENS LÄN</t>
        </is>
      </c>
      <c r="E5919" t="inlineStr">
        <is>
          <t>BODEN</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57608-2023</t>
        </is>
      </c>
      <c r="B5920" s="1" t="n">
        <v>45246.55990740741</v>
      </c>
      <c r="C5920" s="1" t="n">
        <v>45895</v>
      </c>
      <c r="D5920" t="inlineStr">
        <is>
          <t>NORRBOTTENS LÄN</t>
        </is>
      </c>
      <c r="E5920" t="inlineStr">
        <is>
          <t>PAJALA</t>
        </is>
      </c>
      <c r="F5920" t="inlineStr">
        <is>
          <t>Sveaskog</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29237-2024</t>
        </is>
      </c>
      <c r="B5921" s="1" t="n">
        <v>45482.92732638889</v>
      </c>
      <c r="C5921" s="1" t="n">
        <v>45895</v>
      </c>
      <c r="D5921" t="inlineStr">
        <is>
          <t>NORRBOTTENS LÄN</t>
        </is>
      </c>
      <c r="E5921" t="inlineStr">
        <is>
          <t>LULEÅ</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31488-2023</t>
        </is>
      </c>
      <c r="B5922" s="1" t="n">
        <v>45114</v>
      </c>
      <c r="C5922" s="1" t="n">
        <v>45895</v>
      </c>
      <c r="D5922" t="inlineStr">
        <is>
          <t>NORRBOTTENS LÄN</t>
        </is>
      </c>
      <c r="E5922" t="inlineStr">
        <is>
          <t>PITEÅ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51745-2024</t>
        </is>
      </c>
      <c r="B5923" s="1" t="n">
        <v>45607.41652777778</v>
      </c>
      <c r="C5923" s="1" t="n">
        <v>45895</v>
      </c>
      <c r="D5923" t="inlineStr">
        <is>
          <t>NORRBOTTENS LÄN</t>
        </is>
      </c>
      <c r="E5923" t="inlineStr">
        <is>
          <t>ÖVERKALIX</t>
        </is>
      </c>
      <c r="G5923" t="n">
        <v>17.5</v>
      </c>
      <c r="H5923" t="n">
        <v>0</v>
      </c>
      <c r="I5923" t="n">
        <v>0</v>
      </c>
      <c r="J5923" t="n">
        <v>0</v>
      </c>
      <c r="K5923" t="n">
        <v>0</v>
      </c>
      <c r="L5923" t="n">
        <v>0</v>
      </c>
      <c r="M5923" t="n">
        <v>0</v>
      </c>
      <c r="N5923" t="n">
        <v>0</v>
      </c>
      <c r="O5923" t="n">
        <v>0</v>
      </c>
      <c r="P5923" t="n">
        <v>0</v>
      </c>
      <c r="Q5923" t="n">
        <v>0</v>
      </c>
      <c r="R5923" s="2" t="inlineStr"/>
    </row>
    <row r="5924" ht="15" customHeight="1">
      <c r="A5924" t="inlineStr">
        <is>
          <t>A 60106-2024</t>
        </is>
      </c>
      <c r="B5924" s="1" t="n">
        <v>45642.56950231481</v>
      </c>
      <c r="C5924" s="1" t="n">
        <v>45895</v>
      </c>
      <c r="D5924" t="inlineStr">
        <is>
          <t>NORRBOTTENS LÄN</t>
        </is>
      </c>
      <c r="E5924" t="inlineStr">
        <is>
          <t>LULEÅ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60108-2024</t>
        </is>
      </c>
      <c r="B5925" s="1" t="n">
        <v>45642.57230324074</v>
      </c>
      <c r="C5925" s="1" t="n">
        <v>45895</v>
      </c>
      <c r="D5925" t="inlineStr">
        <is>
          <t>NORRBOTTENS LÄN</t>
        </is>
      </c>
      <c r="E5925" t="inlineStr">
        <is>
          <t>PITEÅ</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33923-2024</t>
        </is>
      </c>
      <c r="B5926" s="1" t="n">
        <v>45523</v>
      </c>
      <c r="C5926" s="1" t="n">
        <v>45895</v>
      </c>
      <c r="D5926" t="inlineStr">
        <is>
          <t>NORRBOTTENS LÄN</t>
        </is>
      </c>
      <c r="E5926" t="inlineStr">
        <is>
          <t>PITEÅ</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1446-2024</t>
        </is>
      </c>
      <c r="B5927" s="1" t="n">
        <v>45303</v>
      </c>
      <c r="C5927" s="1" t="n">
        <v>45895</v>
      </c>
      <c r="D5927" t="inlineStr">
        <is>
          <t>NORRBOTTENS LÄN</t>
        </is>
      </c>
      <c r="E5927" t="inlineStr">
        <is>
          <t>HAPARANDA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12685-2023</t>
        </is>
      </c>
      <c r="B5928" s="1" t="n">
        <v>44999</v>
      </c>
      <c r="C5928" s="1" t="n">
        <v>45895</v>
      </c>
      <c r="D5928" t="inlineStr">
        <is>
          <t>NORRBOTTENS LÄN</t>
        </is>
      </c>
      <c r="E5928" t="inlineStr">
        <is>
          <t>LULEÅ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32371-2023</t>
        </is>
      </c>
      <c r="B5929" s="1" t="n">
        <v>45110</v>
      </c>
      <c r="C5929" s="1" t="n">
        <v>45895</v>
      </c>
      <c r="D5929" t="inlineStr">
        <is>
          <t>NORRBOTTENS LÄN</t>
        </is>
      </c>
      <c r="E5929" t="inlineStr">
        <is>
          <t>PITEÅ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58585-2022</t>
        </is>
      </c>
      <c r="B5930" s="1" t="n">
        <v>44894</v>
      </c>
      <c r="C5930" s="1" t="n">
        <v>45895</v>
      </c>
      <c r="D5930" t="inlineStr">
        <is>
          <t>NORRBOTTENS LÄN</t>
        </is>
      </c>
      <c r="E5930" t="inlineStr">
        <is>
          <t>KALIX</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10735-2024</t>
        </is>
      </c>
      <c r="B5931" s="1" t="n">
        <v>45369</v>
      </c>
      <c r="C5931" s="1" t="n">
        <v>45895</v>
      </c>
      <c r="D5931" t="inlineStr">
        <is>
          <t>NORRBOTTENS LÄN</t>
        </is>
      </c>
      <c r="E5931" t="inlineStr">
        <is>
          <t>HAPARANDA</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16030-2024</t>
        </is>
      </c>
      <c r="B5932" s="1" t="n">
        <v>45405.71074074074</v>
      </c>
      <c r="C5932" s="1" t="n">
        <v>45895</v>
      </c>
      <c r="D5932" t="inlineStr">
        <is>
          <t>NORRBOTTENS LÄN</t>
        </is>
      </c>
      <c r="E5932" t="inlineStr">
        <is>
          <t>HAPARANDA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16035-2024</t>
        </is>
      </c>
      <c r="B5933" s="1" t="n">
        <v>45405.71791666667</v>
      </c>
      <c r="C5933" s="1" t="n">
        <v>45895</v>
      </c>
      <c r="D5933" t="inlineStr">
        <is>
          <t>NORRBOTTENS LÄN</t>
        </is>
      </c>
      <c r="E5933" t="inlineStr">
        <is>
          <t>HAPARANDA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53185-2022</t>
        </is>
      </c>
      <c r="B5934" s="1" t="n">
        <v>44876.57346064815</v>
      </c>
      <c r="C5934" s="1" t="n">
        <v>45895</v>
      </c>
      <c r="D5934" t="inlineStr">
        <is>
          <t>NORRBOTTENS LÄN</t>
        </is>
      </c>
      <c r="E5934" t="inlineStr">
        <is>
          <t>LULEÅ</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58547-2024</t>
        </is>
      </c>
      <c r="B5935" s="1" t="n">
        <v>45635.45822916667</v>
      </c>
      <c r="C5935" s="1" t="n">
        <v>45895</v>
      </c>
      <c r="D5935" t="inlineStr">
        <is>
          <t>NORRBOTTENS LÄN</t>
        </is>
      </c>
      <c r="E5935" t="inlineStr">
        <is>
          <t>LULEÅ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3206-2025</t>
        </is>
      </c>
      <c r="B5936" s="1" t="n">
        <v>45679</v>
      </c>
      <c r="C5936" s="1" t="n">
        <v>45895</v>
      </c>
      <c r="D5936" t="inlineStr">
        <is>
          <t>NORRBOTTENS LÄN</t>
        </is>
      </c>
      <c r="E5936" t="inlineStr">
        <is>
          <t>JOKKMOKK</t>
        </is>
      </c>
      <c r="F5936" t="inlineStr">
        <is>
          <t>SCA</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762-2025</t>
        </is>
      </c>
      <c r="B5937" s="1" t="n">
        <v>45665.45089120371</v>
      </c>
      <c r="C5937" s="1" t="n">
        <v>45895</v>
      </c>
      <c r="D5937" t="inlineStr">
        <is>
          <t>NORRBOTTENS LÄN</t>
        </is>
      </c>
      <c r="E5937" t="inlineStr">
        <is>
          <t>KALIX</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49204-2024</t>
        </is>
      </c>
      <c r="B5938" s="1" t="n">
        <v>45595</v>
      </c>
      <c r="C5938" s="1" t="n">
        <v>45895</v>
      </c>
      <c r="D5938" t="inlineStr">
        <is>
          <t>NORRBOTTENS LÄN</t>
        </is>
      </c>
      <c r="E5938" t="inlineStr">
        <is>
          <t>ARVIDSJAUR</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804-2025</t>
        </is>
      </c>
      <c r="B5939" s="1" t="n">
        <v>45664</v>
      </c>
      <c r="C5939" s="1" t="n">
        <v>45895</v>
      </c>
      <c r="D5939" t="inlineStr">
        <is>
          <t>NORRBOTTENS LÄN</t>
        </is>
      </c>
      <c r="E5939" t="inlineStr">
        <is>
          <t>LULEÅ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814-2025</t>
        </is>
      </c>
      <c r="B5940" s="1" t="n">
        <v>45664</v>
      </c>
      <c r="C5940" s="1" t="n">
        <v>45895</v>
      </c>
      <c r="D5940" t="inlineStr">
        <is>
          <t>NORRBOTTENS LÄN</t>
        </is>
      </c>
      <c r="E5940" t="inlineStr">
        <is>
          <t>LULEÅ</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36113-2024</t>
        </is>
      </c>
      <c r="B5941" s="1" t="n">
        <v>45534.30302083334</v>
      </c>
      <c r="C5941" s="1" t="n">
        <v>45895</v>
      </c>
      <c r="D5941" t="inlineStr">
        <is>
          <t>NORRBOTTENS LÄN</t>
        </is>
      </c>
      <c r="E5941" t="inlineStr">
        <is>
          <t>JOKKMOKK</t>
        </is>
      </c>
      <c r="F5941" t="inlineStr">
        <is>
          <t>Sveaskog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2208-2024</t>
        </is>
      </c>
      <c r="B5942" s="1" t="n">
        <v>45309</v>
      </c>
      <c r="C5942" s="1" t="n">
        <v>45895</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19757-2025</t>
        </is>
      </c>
      <c r="B5943" s="1" t="n">
        <v>45770</v>
      </c>
      <c r="C5943" s="1" t="n">
        <v>45895</v>
      </c>
      <c r="D5943" t="inlineStr">
        <is>
          <t>NORRBOTTENS LÄN</t>
        </is>
      </c>
      <c r="E5943" t="inlineStr">
        <is>
          <t>BODEN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17125-2024</t>
        </is>
      </c>
      <c r="B5944" s="1" t="n">
        <v>45412</v>
      </c>
      <c r="C5944" s="1" t="n">
        <v>45895</v>
      </c>
      <c r="D5944" t="inlineStr">
        <is>
          <t>NORRBOTTENS LÄN</t>
        </is>
      </c>
      <c r="E5944" t="inlineStr">
        <is>
          <t>LULEÅ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38088-2023</t>
        </is>
      </c>
      <c r="B5945" s="1" t="n">
        <v>45160.96331018519</v>
      </c>
      <c r="C5945" s="1" t="n">
        <v>45895</v>
      </c>
      <c r="D5945" t="inlineStr">
        <is>
          <t>NORRBOTTENS LÄN</t>
        </is>
      </c>
      <c r="E5945" t="inlineStr">
        <is>
          <t>ÖVERKALIX</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29310-2023</t>
        </is>
      </c>
      <c r="B5946" s="1" t="n">
        <v>45105.92538194444</v>
      </c>
      <c r="C5946" s="1" t="n">
        <v>45895</v>
      </c>
      <c r="D5946" t="inlineStr">
        <is>
          <t>NORRBOTTENS LÄN</t>
        </is>
      </c>
      <c r="E5946" t="inlineStr">
        <is>
          <t>KALIX</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23736-2024</t>
        </is>
      </c>
      <c r="B5947" s="1" t="n">
        <v>45454</v>
      </c>
      <c r="C5947" s="1" t="n">
        <v>45895</v>
      </c>
      <c r="D5947" t="inlineStr">
        <is>
          <t>NORRBOTTENS LÄN</t>
        </is>
      </c>
      <c r="E5947" t="inlineStr">
        <is>
          <t>ARVIDSJAUR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38751-2022</t>
        </is>
      </c>
      <c r="B5948" s="1" t="n">
        <v>44813</v>
      </c>
      <c r="C5948" s="1" t="n">
        <v>45895</v>
      </c>
      <c r="D5948" t="inlineStr">
        <is>
          <t>NORRBOTTENS LÄN</t>
        </is>
      </c>
      <c r="E5948" t="inlineStr">
        <is>
          <t>PITEÅ</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53290-2023</t>
        </is>
      </c>
      <c r="B5949" s="1" t="n">
        <v>45229</v>
      </c>
      <c r="C5949" s="1" t="n">
        <v>45895</v>
      </c>
      <c r="D5949" t="inlineStr">
        <is>
          <t>NORRBOTTENS LÄN</t>
        </is>
      </c>
      <c r="E5949" t="inlineStr">
        <is>
          <t>HAPARANDA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23706-2024</t>
        </is>
      </c>
      <c r="B5950" s="1" t="n">
        <v>45454</v>
      </c>
      <c r="C5950" s="1" t="n">
        <v>45895</v>
      </c>
      <c r="D5950" t="inlineStr">
        <is>
          <t>NORRBOTTENS LÄN</t>
        </is>
      </c>
      <c r="E5950" t="inlineStr">
        <is>
          <t>BODEN</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33827-2024</t>
        </is>
      </c>
      <c r="B5951" s="1" t="n">
        <v>45520</v>
      </c>
      <c r="C5951" s="1" t="n">
        <v>45895</v>
      </c>
      <c r="D5951" t="inlineStr">
        <is>
          <t>NORRBOTTENS LÄN</t>
        </is>
      </c>
      <c r="E5951" t="inlineStr">
        <is>
          <t>JOKKMOKK</t>
        </is>
      </c>
      <c r="F5951" t="inlineStr">
        <is>
          <t>SCA</t>
        </is>
      </c>
      <c r="G5951" t="n">
        <v>12.8</v>
      </c>
      <c r="H5951" t="n">
        <v>0</v>
      </c>
      <c r="I5951" t="n">
        <v>0</v>
      </c>
      <c r="J5951" t="n">
        <v>0</v>
      </c>
      <c r="K5951" t="n">
        <v>0</v>
      </c>
      <c r="L5951" t="n">
        <v>0</v>
      </c>
      <c r="M5951" t="n">
        <v>0</v>
      </c>
      <c r="N5951" t="n">
        <v>0</v>
      </c>
      <c r="O5951" t="n">
        <v>0</v>
      </c>
      <c r="P5951" t="n">
        <v>0</v>
      </c>
      <c r="Q5951" t="n">
        <v>0</v>
      </c>
      <c r="R5951" s="2" t="inlineStr"/>
    </row>
    <row r="5952" ht="15" customHeight="1">
      <c r="A5952" t="inlineStr">
        <is>
          <t>A 19582-2025</t>
        </is>
      </c>
      <c r="B5952" s="1" t="n">
        <v>45770.56481481482</v>
      </c>
      <c r="C5952" s="1" t="n">
        <v>45895</v>
      </c>
      <c r="D5952" t="inlineStr">
        <is>
          <t>NORRBOTTENS LÄN</t>
        </is>
      </c>
      <c r="E5952" t="inlineStr">
        <is>
          <t>BODEN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3270-2025</t>
        </is>
      </c>
      <c r="B5953" s="1" t="n">
        <v>45679</v>
      </c>
      <c r="C5953" s="1" t="n">
        <v>45895</v>
      </c>
      <c r="D5953" t="inlineStr">
        <is>
          <t>NORRBOTTENS LÄN</t>
        </is>
      </c>
      <c r="E5953" t="inlineStr">
        <is>
          <t>GÄLLIVARE</t>
        </is>
      </c>
      <c r="F5953" t="inlineStr">
        <is>
          <t>Sveaskog</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20270-2025</t>
        </is>
      </c>
      <c r="B5954" s="1" t="n">
        <v>45773.71444444444</v>
      </c>
      <c r="C5954" s="1" t="n">
        <v>45895</v>
      </c>
      <c r="D5954" t="inlineStr">
        <is>
          <t>NORRBOTTENS LÄN</t>
        </is>
      </c>
      <c r="E5954" t="inlineStr">
        <is>
          <t>JOKKMOKK</t>
        </is>
      </c>
      <c r="G5954" t="n">
        <v>90.09999999999999</v>
      </c>
      <c r="H5954" t="n">
        <v>0</v>
      </c>
      <c r="I5954" t="n">
        <v>0</v>
      </c>
      <c r="J5954" t="n">
        <v>0</v>
      </c>
      <c r="K5954" t="n">
        <v>0</v>
      </c>
      <c r="L5954" t="n">
        <v>0</v>
      </c>
      <c r="M5954" t="n">
        <v>0</v>
      </c>
      <c r="N5954" t="n">
        <v>0</v>
      </c>
      <c r="O5954" t="n">
        <v>0</v>
      </c>
      <c r="P5954" t="n">
        <v>0</v>
      </c>
      <c r="Q5954" t="n">
        <v>0</v>
      </c>
      <c r="R5954" s="2" t="inlineStr"/>
    </row>
    <row r="5955" ht="15" customHeight="1">
      <c r="A5955" t="inlineStr">
        <is>
          <t>A 9650-2024</t>
        </is>
      </c>
      <c r="B5955" s="1" t="n">
        <v>45362</v>
      </c>
      <c r="C5955" s="1" t="n">
        <v>45895</v>
      </c>
      <c r="D5955" t="inlineStr">
        <is>
          <t>NORRBOTTENS LÄN</t>
        </is>
      </c>
      <c r="E5955" t="inlineStr">
        <is>
          <t>GÄLLIVARE</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48608-2024</t>
        </is>
      </c>
      <c r="B5956" s="1" t="n">
        <v>45593.45075231481</v>
      </c>
      <c r="C5956" s="1" t="n">
        <v>45895</v>
      </c>
      <c r="D5956" t="inlineStr">
        <is>
          <t>NORRBOTTENS LÄN</t>
        </is>
      </c>
      <c r="E5956" t="inlineStr">
        <is>
          <t>ARVIDSJAUR</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46442-2023</t>
        </is>
      </c>
      <c r="B5957" s="1" t="n">
        <v>45197.59248842593</v>
      </c>
      <c r="C5957" s="1" t="n">
        <v>45895</v>
      </c>
      <c r="D5957" t="inlineStr">
        <is>
          <t>NORRBOTTENS LÄN</t>
        </is>
      </c>
      <c r="E5957" t="inlineStr">
        <is>
          <t>JOKKMOKK</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52564-2024</t>
        </is>
      </c>
      <c r="B5958" s="1" t="n">
        <v>45609</v>
      </c>
      <c r="C5958" s="1" t="n">
        <v>45895</v>
      </c>
      <c r="D5958" t="inlineStr">
        <is>
          <t>NORRBOTTENS LÄN</t>
        </is>
      </c>
      <c r="E5958" t="inlineStr">
        <is>
          <t>JOKKMOKK</t>
        </is>
      </c>
      <c r="F5958" t="inlineStr">
        <is>
          <t>Allmännings- och besparingsskogar</t>
        </is>
      </c>
      <c r="G5958" t="n">
        <v>16.5</v>
      </c>
      <c r="H5958" t="n">
        <v>0</v>
      </c>
      <c r="I5958" t="n">
        <v>0</v>
      </c>
      <c r="J5958" t="n">
        <v>0</v>
      </c>
      <c r="K5958" t="n">
        <v>0</v>
      </c>
      <c r="L5958" t="n">
        <v>0</v>
      </c>
      <c r="M5958" t="n">
        <v>0</v>
      </c>
      <c r="N5958" t="n">
        <v>0</v>
      </c>
      <c r="O5958" t="n">
        <v>0</v>
      </c>
      <c r="P5958" t="n">
        <v>0</v>
      </c>
      <c r="Q5958" t="n">
        <v>0</v>
      </c>
      <c r="R5958" s="2" t="inlineStr"/>
    </row>
    <row r="5959" ht="15" customHeight="1">
      <c r="A5959" t="inlineStr">
        <is>
          <t>A 2732-2025</t>
        </is>
      </c>
      <c r="B5959" s="1" t="n">
        <v>45677.44833333333</v>
      </c>
      <c r="C5959" s="1" t="n">
        <v>45895</v>
      </c>
      <c r="D5959" t="inlineStr">
        <is>
          <t>NORRBOTTENS LÄN</t>
        </is>
      </c>
      <c r="E5959" t="inlineStr">
        <is>
          <t>BODEN</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3806-2025</t>
        </is>
      </c>
      <c r="B5960" s="1" t="n">
        <v>45681.67431712963</v>
      </c>
      <c r="C5960" s="1" t="n">
        <v>45895</v>
      </c>
      <c r="D5960" t="inlineStr">
        <is>
          <t>NORRBOTTENS LÄN</t>
        </is>
      </c>
      <c r="E5960" t="inlineStr">
        <is>
          <t>KALIX</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2541-2025</t>
        </is>
      </c>
      <c r="B5961" s="1" t="n">
        <v>45673</v>
      </c>
      <c r="C5961" s="1" t="n">
        <v>45895</v>
      </c>
      <c r="D5961" t="inlineStr">
        <is>
          <t>NORRBOTTENS LÄN</t>
        </is>
      </c>
      <c r="E5961" t="inlineStr">
        <is>
          <t>KALIX</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48291-2023</t>
        </is>
      </c>
      <c r="B5962" s="1" t="n">
        <v>45201</v>
      </c>
      <c r="C5962" s="1" t="n">
        <v>45895</v>
      </c>
      <c r="D5962" t="inlineStr">
        <is>
          <t>NORRBOTTENS LÄN</t>
        </is>
      </c>
      <c r="E5962" t="inlineStr">
        <is>
          <t>ARVIDSJAUR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22328-2021</t>
        </is>
      </c>
      <c r="B5963" s="1" t="n">
        <v>44321</v>
      </c>
      <c r="C5963" s="1" t="n">
        <v>45895</v>
      </c>
      <c r="D5963" t="inlineStr">
        <is>
          <t>NORRBOTTENS LÄN</t>
        </is>
      </c>
      <c r="E5963" t="inlineStr">
        <is>
          <t>ARVIDSJAUR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15573-2024</t>
        </is>
      </c>
      <c r="B5964" s="1" t="n">
        <v>45401</v>
      </c>
      <c r="C5964" s="1" t="n">
        <v>45895</v>
      </c>
      <c r="D5964" t="inlineStr">
        <is>
          <t>NORRBOTTENS LÄN</t>
        </is>
      </c>
      <c r="E5964" t="inlineStr">
        <is>
          <t>PAJALA</t>
        </is>
      </c>
      <c r="F5964" t="inlineStr">
        <is>
          <t>Allmännings- och besparingsskogar</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18569-2024</t>
        </is>
      </c>
      <c r="B5965" s="1" t="n">
        <v>45425</v>
      </c>
      <c r="C5965" s="1" t="n">
        <v>45895</v>
      </c>
      <c r="D5965" t="inlineStr">
        <is>
          <t>NORRBOTTENS LÄN</t>
        </is>
      </c>
      <c r="E5965" t="inlineStr">
        <is>
          <t>BODEN</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57860-2022</t>
        </is>
      </c>
      <c r="B5966" s="1" t="n">
        <v>44898.98259259259</v>
      </c>
      <c r="C5966" s="1" t="n">
        <v>45895</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55266-2024</t>
        </is>
      </c>
      <c r="B5967" s="1" t="n">
        <v>45621</v>
      </c>
      <c r="C5967" s="1" t="n">
        <v>45895</v>
      </c>
      <c r="D5967" t="inlineStr">
        <is>
          <t>NORRBOTTENS LÄN</t>
        </is>
      </c>
      <c r="E5967" t="inlineStr">
        <is>
          <t>ARJEPLOG</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6986-2025</t>
        </is>
      </c>
      <c r="B5968" s="1" t="n">
        <v>45701</v>
      </c>
      <c r="C5968" s="1" t="n">
        <v>45895</v>
      </c>
      <c r="D5968" t="inlineStr">
        <is>
          <t>NORRBOTTENS LÄN</t>
        </is>
      </c>
      <c r="E5968" t="inlineStr">
        <is>
          <t>LULEÅ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19968-2025</t>
        </is>
      </c>
      <c r="B5969" s="1" t="n">
        <v>45771.68158564815</v>
      </c>
      <c r="C5969" s="1" t="n">
        <v>45895</v>
      </c>
      <c r="D5969" t="inlineStr">
        <is>
          <t>NORRBOTTENS LÄN</t>
        </is>
      </c>
      <c r="E5969" t="inlineStr">
        <is>
          <t>BODEN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16952-2023</t>
        </is>
      </c>
      <c r="B5970" s="1" t="n">
        <v>45033</v>
      </c>
      <c r="C5970" s="1" t="n">
        <v>45895</v>
      </c>
      <c r="D5970" t="inlineStr">
        <is>
          <t>NORRBOTTENS LÄN</t>
        </is>
      </c>
      <c r="E5970" t="inlineStr">
        <is>
          <t>GÄLLIVARE</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33034-2023</t>
        </is>
      </c>
      <c r="B5971" s="1" t="n">
        <v>45125.95043981481</v>
      </c>
      <c r="C5971" s="1" t="n">
        <v>45895</v>
      </c>
      <c r="D5971" t="inlineStr">
        <is>
          <t>NORRBOTTENS LÄN</t>
        </is>
      </c>
      <c r="E5971" t="inlineStr">
        <is>
          <t>BODEN</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19362-2021</t>
        </is>
      </c>
      <c r="B5972" s="1" t="n">
        <v>44307</v>
      </c>
      <c r="C5972" s="1" t="n">
        <v>45895</v>
      </c>
      <c r="D5972" t="inlineStr">
        <is>
          <t>NORRBOTTENS LÄN</t>
        </is>
      </c>
      <c r="E5972" t="inlineStr">
        <is>
          <t>HAPARANDA</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6574-2025</t>
        </is>
      </c>
      <c r="B5973" s="1" t="n">
        <v>45699.85717592593</v>
      </c>
      <c r="C5973" s="1" t="n">
        <v>45895</v>
      </c>
      <c r="D5973" t="inlineStr">
        <is>
          <t>NORRBOTTENS LÄN</t>
        </is>
      </c>
      <c r="E5973" t="inlineStr">
        <is>
          <t>PITEÅ</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56545-2024</t>
        </is>
      </c>
      <c r="B5974" s="1" t="n">
        <v>45625.56842592593</v>
      </c>
      <c r="C5974" s="1" t="n">
        <v>45895</v>
      </c>
      <c r="D5974" t="inlineStr">
        <is>
          <t>NORRBOTTENS LÄN</t>
        </is>
      </c>
      <c r="E5974" t="inlineStr">
        <is>
          <t>ÖVERTORNEÅ</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56581-2024</t>
        </is>
      </c>
      <c r="B5975" s="1" t="n">
        <v>45625</v>
      </c>
      <c r="C5975" s="1" t="n">
        <v>45895</v>
      </c>
      <c r="D5975" t="inlineStr">
        <is>
          <t>NORRBOTTENS LÄN</t>
        </is>
      </c>
      <c r="E5975" t="inlineStr">
        <is>
          <t>BODEN</t>
        </is>
      </c>
      <c r="G5975" t="n">
        <v>10.7</v>
      </c>
      <c r="H5975" t="n">
        <v>0</v>
      </c>
      <c r="I5975" t="n">
        <v>0</v>
      </c>
      <c r="J5975" t="n">
        <v>0</v>
      </c>
      <c r="K5975" t="n">
        <v>0</v>
      </c>
      <c r="L5975" t="n">
        <v>0</v>
      </c>
      <c r="M5975" t="n">
        <v>0</v>
      </c>
      <c r="N5975" t="n">
        <v>0</v>
      </c>
      <c r="O5975" t="n">
        <v>0</v>
      </c>
      <c r="P5975" t="n">
        <v>0</v>
      </c>
      <c r="Q5975" t="n">
        <v>0</v>
      </c>
      <c r="R5975" s="2" t="inlineStr"/>
    </row>
    <row r="5976" ht="15" customHeight="1">
      <c r="A5976" t="inlineStr">
        <is>
          <t>A 46838-2024</t>
        </is>
      </c>
      <c r="B5976" s="1" t="n">
        <v>45583</v>
      </c>
      <c r="C5976" s="1" t="n">
        <v>45895</v>
      </c>
      <c r="D5976" t="inlineStr">
        <is>
          <t>NORRBOTTENS LÄN</t>
        </is>
      </c>
      <c r="E5976" t="inlineStr">
        <is>
          <t>ÄLVSBYN</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62140-2024</t>
        </is>
      </c>
      <c r="B5977" s="1" t="n">
        <v>45646</v>
      </c>
      <c r="C5977" s="1" t="n">
        <v>45895</v>
      </c>
      <c r="D5977" t="inlineStr">
        <is>
          <t>NORRBOTTENS LÄN</t>
        </is>
      </c>
      <c r="E5977" t="inlineStr">
        <is>
          <t>BODEN</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588-2025</t>
        </is>
      </c>
      <c r="B5978" s="1" t="n">
        <v>45664.58152777778</v>
      </c>
      <c r="C5978" s="1" t="n">
        <v>45895</v>
      </c>
      <c r="D5978" t="inlineStr">
        <is>
          <t>NORRBOTTENS LÄN</t>
        </is>
      </c>
      <c r="E5978" t="inlineStr">
        <is>
          <t>PITEÅ</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597-2025</t>
        </is>
      </c>
      <c r="B5979" s="1" t="n">
        <v>45664</v>
      </c>
      <c r="C5979" s="1" t="n">
        <v>45895</v>
      </c>
      <c r="D5979" t="inlineStr">
        <is>
          <t>NORRBOTTENS LÄN</t>
        </is>
      </c>
      <c r="E5979" t="inlineStr">
        <is>
          <t>PITEÅ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695-2025</t>
        </is>
      </c>
      <c r="B5980" s="1" t="n">
        <v>45663</v>
      </c>
      <c r="C5980" s="1" t="n">
        <v>45895</v>
      </c>
      <c r="D5980" t="inlineStr">
        <is>
          <t>NORRBOTTENS LÄN</t>
        </is>
      </c>
      <c r="E5980" t="inlineStr">
        <is>
          <t>LULEÅ</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49865-2023</t>
        </is>
      </c>
      <c r="B5981" s="1" t="n">
        <v>45212.95538194444</v>
      </c>
      <c r="C5981" s="1" t="n">
        <v>45895</v>
      </c>
      <c r="D5981" t="inlineStr">
        <is>
          <t>NORRBOTTENS LÄN</t>
        </is>
      </c>
      <c r="E5981" t="inlineStr">
        <is>
          <t>ÖVERKALIX</t>
        </is>
      </c>
      <c r="F5981" t="inlineStr">
        <is>
          <t>SCA</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49875-2023</t>
        </is>
      </c>
      <c r="B5982" s="1" t="n">
        <v>45212</v>
      </c>
      <c r="C5982" s="1" t="n">
        <v>45895</v>
      </c>
      <c r="D5982" t="inlineStr">
        <is>
          <t>NORRBOTTENS LÄN</t>
        </is>
      </c>
      <c r="E5982" t="inlineStr">
        <is>
          <t>GÄLLIVARE</t>
        </is>
      </c>
      <c r="F5982" t="inlineStr">
        <is>
          <t>SCA</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55226-2024</t>
        </is>
      </c>
      <c r="B5983" s="1" t="n">
        <v>45621.57475694444</v>
      </c>
      <c r="C5983" s="1" t="n">
        <v>45895</v>
      </c>
      <c r="D5983" t="inlineStr">
        <is>
          <t>NORRBOTTENS LÄN</t>
        </is>
      </c>
      <c r="E5983" t="inlineStr">
        <is>
          <t>ÖVERKALIX</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20789-2022</t>
        </is>
      </c>
      <c r="B5984" s="1" t="n">
        <v>44701</v>
      </c>
      <c r="C5984" s="1" t="n">
        <v>45895</v>
      </c>
      <c r="D5984" t="inlineStr">
        <is>
          <t>NORRBOTTENS LÄN</t>
        </is>
      </c>
      <c r="E5984" t="inlineStr">
        <is>
          <t>ARJEPLOG</t>
        </is>
      </c>
      <c r="G5984" t="n">
        <v>20.3</v>
      </c>
      <c r="H5984" t="n">
        <v>0</v>
      </c>
      <c r="I5984" t="n">
        <v>0</v>
      </c>
      <c r="J5984" t="n">
        <v>0</v>
      </c>
      <c r="K5984" t="n">
        <v>0</v>
      </c>
      <c r="L5984" t="n">
        <v>0</v>
      </c>
      <c r="M5984" t="n">
        <v>0</v>
      </c>
      <c r="N5984" t="n">
        <v>0</v>
      </c>
      <c r="O5984" t="n">
        <v>0</v>
      </c>
      <c r="P5984" t="n">
        <v>0</v>
      </c>
      <c r="Q5984" t="n">
        <v>0</v>
      </c>
      <c r="R5984" s="2" t="inlineStr"/>
    </row>
    <row r="5985" ht="15" customHeight="1">
      <c r="A5985" t="inlineStr">
        <is>
          <t>A 19082-2025</t>
        </is>
      </c>
      <c r="B5985" s="1" t="n">
        <v>45766</v>
      </c>
      <c r="C5985" s="1" t="n">
        <v>45895</v>
      </c>
      <c r="D5985" t="inlineStr">
        <is>
          <t>NORRBOTTENS LÄN</t>
        </is>
      </c>
      <c r="E5985" t="inlineStr">
        <is>
          <t>BODEN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43673-2024</t>
        </is>
      </c>
      <c r="B5986" s="1" t="n">
        <v>45569</v>
      </c>
      <c r="C5986" s="1" t="n">
        <v>45895</v>
      </c>
      <c r="D5986" t="inlineStr">
        <is>
          <t>NORRBOTTENS LÄN</t>
        </is>
      </c>
      <c r="E5986" t="inlineStr">
        <is>
          <t>KALIX</t>
        </is>
      </c>
      <c r="G5986" t="n">
        <v>8.300000000000001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30141-2023</t>
        </is>
      </c>
      <c r="B5987" s="1" t="n">
        <v>45099</v>
      </c>
      <c r="C5987" s="1" t="n">
        <v>45895</v>
      </c>
      <c r="D5987" t="inlineStr">
        <is>
          <t>NORRBOTTENS LÄN</t>
        </is>
      </c>
      <c r="E5987" t="inlineStr">
        <is>
          <t>HAPARANDA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11-2025</t>
        </is>
      </c>
      <c r="B5988" s="1" t="n">
        <v>45658.64216435186</v>
      </c>
      <c r="C5988" s="1" t="n">
        <v>45895</v>
      </c>
      <c r="D5988" t="inlineStr">
        <is>
          <t>NORRBOTTENS LÄN</t>
        </is>
      </c>
      <c r="E5988" t="inlineStr">
        <is>
          <t>KALIX</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1355-2024</t>
        </is>
      </c>
      <c r="B5989" s="1" t="n">
        <v>45303</v>
      </c>
      <c r="C5989" s="1" t="n">
        <v>45895</v>
      </c>
      <c r="D5989" t="inlineStr">
        <is>
          <t>NORRBOTTENS LÄN</t>
        </is>
      </c>
      <c r="E5989" t="inlineStr">
        <is>
          <t>ARVIDSJAUR</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57559-2024</t>
        </is>
      </c>
      <c r="B5990" s="1" t="n">
        <v>45630</v>
      </c>
      <c r="C5990" s="1" t="n">
        <v>45895</v>
      </c>
      <c r="D5990" t="inlineStr">
        <is>
          <t>NORRBOTTENS LÄN</t>
        </is>
      </c>
      <c r="E5990" t="inlineStr">
        <is>
          <t>PAJALA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15742-2025</t>
        </is>
      </c>
      <c r="B5991" s="1" t="n">
        <v>45748</v>
      </c>
      <c r="C5991" s="1" t="n">
        <v>45895</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53230-2024</t>
        </is>
      </c>
      <c r="B5992" s="1" t="n">
        <v>45613.6241087963</v>
      </c>
      <c r="C5992" s="1" t="n">
        <v>45895</v>
      </c>
      <c r="D5992" t="inlineStr">
        <is>
          <t>NORRBOTTENS LÄN</t>
        </is>
      </c>
      <c r="E5992" t="inlineStr">
        <is>
          <t>PAJALA</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14409-2023</t>
        </is>
      </c>
      <c r="B5993" s="1" t="n">
        <v>45012.50460648148</v>
      </c>
      <c r="C5993" s="1" t="n">
        <v>45895</v>
      </c>
      <c r="D5993" t="inlineStr">
        <is>
          <t>NORRBOTTENS LÄN</t>
        </is>
      </c>
      <c r="E5993" t="inlineStr">
        <is>
          <t>PAJALA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58394-2024</t>
        </is>
      </c>
      <c r="B5994" s="1" t="n">
        <v>45633.96009259259</v>
      </c>
      <c r="C5994" s="1" t="n">
        <v>45895</v>
      </c>
      <c r="D5994" t="inlineStr">
        <is>
          <t>NORRBOTTENS LÄN</t>
        </is>
      </c>
      <c r="E5994" t="inlineStr">
        <is>
          <t>ÖVERTORNEÅ</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61866-2023</t>
        </is>
      </c>
      <c r="B5995" s="1" t="n">
        <v>45264</v>
      </c>
      <c r="C5995" s="1" t="n">
        <v>45895</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2234-2024</t>
        </is>
      </c>
      <c r="B5996" s="1" t="n">
        <v>45309.94634259259</v>
      </c>
      <c r="C5996" s="1" t="n">
        <v>45895</v>
      </c>
      <c r="D5996" t="inlineStr">
        <is>
          <t>NORRBOTTENS LÄN</t>
        </is>
      </c>
      <c r="E5996" t="inlineStr">
        <is>
          <t>PAJALA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26773-2022</t>
        </is>
      </c>
      <c r="B5997" s="1" t="n">
        <v>44732</v>
      </c>
      <c r="C5997" s="1" t="n">
        <v>45895</v>
      </c>
      <c r="D5997" t="inlineStr">
        <is>
          <t>NORRBOTTENS LÄN</t>
        </is>
      </c>
      <c r="E5997" t="inlineStr">
        <is>
          <t>ARJEPLOG</t>
        </is>
      </c>
      <c r="F5997" t="inlineStr">
        <is>
          <t>Övriga statliga verk och myndigheter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58545-2024</t>
        </is>
      </c>
      <c r="B5998" s="1" t="n">
        <v>45635.45800925926</v>
      </c>
      <c r="C5998" s="1" t="n">
        <v>45895</v>
      </c>
      <c r="D5998" t="inlineStr">
        <is>
          <t>NORRBOTTENS LÄN</t>
        </is>
      </c>
      <c r="E5998" t="inlineStr">
        <is>
          <t>ÖVERTORNEÅ</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58182-2024</t>
        </is>
      </c>
      <c r="B5999" s="1" t="n">
        <v>45632.47152777778</v>
      </c>
      <c r="C5999" s="1" t="n">
        <v>45895</v>
      </c>
      <c r="D5999" t="inlineStr">
        <is>
          <t>NORRBOTTENS LÄN</t>
        </is>
      </c>
      <c r="E5999" t="inlineStr">
        <is>
          <t>KALIX</t>
        </is>
      </c>
      <c r="G5999" t="n">
        <v>17.4</v>
      </c>
      <c r="H5999" t="n">
        <v>0</v>
      </c>
      <c r="I5999" t="n">
        <v>0</v>
      </c>
      <c r="J5999" t="n">
        <v>0</v>
      </c>
      <c r="K5999" t="n">
        <v>0</v>
      </c>
      <c r="L5999" t="n">
        <v>0</v>
      </c>
      <c r="M5999" t="n">
        <v>0</v>
      </c>
      <c r="N5999" t="n">
        <v>0</v>
      </c>
      <c r="O5999" t="n">
        <v>0</v>
      </c>
      <c r="P5999" t="n">
        <v>0</v>
      </c>
      <c r="Q5999" t="n">
        <v>0</v>
      </c>
      <c r="R5999" s="2" t="inlineStr"/>
    </row>
    <row r="6000" ht="15" customHeight="1">
      <c r="A6000" t="inlineStr">
        <is>
          <t>A 46585-2024</t>
        </is>
      </c>
      <c r="B6000" s="1" t="n">
        <v>45582.76248842593</v>
      </c>
      <c r="C6000" s="1" t="n">
        <v>45895</v>
      </c>
      <c r="D6000" t="inlineStr">
        <is>
          <t>NORRBOTTENS LÄN</t>
        </is>
      </c>
      <c r="E6000" t="inlineStr">
        <is>
          <t>KALIX</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6790-2025</t>
        </is>
      </c>
      <c r="B6001" s="1" t="n">
        <v>45700.6628587963</v>
      </c>
      <c r="C6001" s="1" t="n">
        <v>45895</v>
      </c>
      <c r="D6001" t="inlineStr">
        <is>
          <t>NORRBOTTENS LÄN</t>
        </is>
      </c>
      <c r="E6001" t="inlineStr">
        <is>
          <t>ÖVERTORNEÅ</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61756-2024</t>
        </is>
      </c>
      <c r="B6002" s="1" t="n">
        <v>45649.40401620371</v>
      </c>
      <c r="C6002" s="1" t="n">
        <v>45895</v>
      </c>
      <c r="D6002" t="inlineStr">
        <is>
          <t>NORRBOTTENS LÄN</t>
        </is>
      </c>
      <c r="E6002" t="inlineStr">
        <is>
          <t>BODEN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61771-2024</t>
        </is>
      </c>
      <c r="B6003" s="1" t="n">
        <v>45649.45635416666</v>
      </c>
      <c r="C6003" s="1" t="n">
        <v>45895</v>
      </c>
      <c r="D6003" t="inlineStr">
        <is>
          <t>NORRBOTTENS LÄN</t>
        </is>
      </c>
      <c r="E6003" t="inlineStr">
        <is>
          <t>BODEN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39020-2024</t>
        </is>
      </c>
      <c r="B6004" s="1" t="n">
        <v>45548</v>
      </c>
      <c r="C6004" s="1" t="n">
        <v>45895</v>
      </c>
      <c r="D6004" t="inlineStr">
        <is>
          <t>NORRBOTTENS LÄN</t>
        </is>
      </c>
      <c r="E6004" t="inlineStr">
        <is>
          <t>ÄLVSBYN</t>
        </is>
      </c>
      <c r="F6004" t="inlineStr">
        <is>
          <t>Sveaskog</t>
        </is>
      </c>
      <c r="G6004" t="n">
        <v>9.4</v>
      </c>
      <c r="H6004" t="n">
        <v>0</v>
      </c>
      <c r="I6004" t="n">
        <v>0</v>
      </c>
      <c r="J6004" t="n">
        <v>0</v>
      </c>
      <c r="K6004" t="n">
        <v>0</v>
      </c>
      <c r="L6004" t="n">
        <v>0</v>
      </c>
      <c r="M6004" t="n">
        <v>0</v>
      </c>
      <c r="N6004" t="n">
        <v>0</v>
      </c>
      <c r="O6004" t="n">
        <v>0</v>
      </c>
      <c r="P6004" t="n">
        <v>0</v>
      </c>
      <c r="Q6004" t="n">
        <v>0</v>
      </c>
      <c r="R6004" s="2" t="inlineStr"/>
    </row>
    <row r="6005" ht="15" customHeight="1">
      <c r="A6005" t="inlineStr">
        <is>
          <t>A 61772-2024</t>
        </is>
      </c>
      <c r="B6005" s="1" t="n">
        <v>45649</v>
      </c>
      <c r="C6005" s="1" t="n">
        <v>45895</v>
      </c>
      <c r="D6005" t="inlineStr">
        <is>
          <t>NORRBOTTENS LÄN</t>
        </is>
      </c>
      <c r="E6005" t="inlineStr">
        <is>
          <t>BODEN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48484-2024</t>
        </is>
      </c>
      <c r="B6006" s="1" t="n">
        <v>45592.36651620371</v>
      </c>
      <c r="C6006" s="1" t="n">
        <v>45895</v>
      </c>
      <c r="D6006" t="inlineStr">
        <is>
          <t>NORRBOTTENS LÄN</t>
        </is>
      </c>
      <c r="E6006" t="inlineStr">
        <is>
          <t>PAJALA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48561-2024</t>
        </is>
      </c>
      <c r="B6007" s="1" t="n">
        <v>45593.38583333333</v>
      </c>
      <c r="C6007" s="1" t="n">
        <v>45895</v>
      </c>
      <c r="D6007" t="inlineStr">
        <is>
          <t>NORRBOTTENS LÄN</t>
        </is>
      </c>
      <c r="E6007" t="inlineStr">
        <is>
          <t>ÖVERKALIX</t>
        </is>
      </c>
      <c r="F6007" t="inlineStr">
        <is>
          <t>SCA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24509-2024</t>
        </is>
      </c>
      <c r="B6008" s="1" t="n">
        <v>45460</v>
      </c>
      <c r="C6008" s="1" t="n">
        <v>45895</v>
      </c>
      <c r="D6008" t="inlineStr">
        <is>
          <t>NORRBOTTENS LÄN</t>
        </is>
      </c>
      <c r="E6008" t="inlineStr">
        <is>
          <t>PITEÅ</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5451-2025</t>
        </is>
      </c>
      <c r="B6009" s="1" t="n">
        <v>45692.91950231481</v>
      </c>
      <c r="C6009" s="1" t="n">
        <v>45895</v>
      </c>
      <c r="D6009" t="inlineStr">
        <is>
          <t>NORRBOTTENS LÄN</t>
        </is>
      </c>
      <c r="E6009" t="inlineStr">
        <is>
          <t>BODEN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58504-2024</t>
        </is>
      </c>
      <c r="B6010" s="1" t="n">
        <v>45635.41479166667</v>
      </c>
      <c r="C6010" s="1" t="n">
        <v>45895</v>
      </c>
      <c r="D6010" t="inlineStr">
        <is>
          <t>NORRBOTTENS LÄN</t>
        </is>
      </c>
      <c r="E6010" t="inlineStr">
        <is>
          <t>BODEN</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8928-2025</t>
        </is>
      </c>
      <c r="B6011" s="1" t="n">
        <v>45712</v>
      </c>
      <c r="C6011" s="1" t="n">
        <v>45895</v>
      </c>
      <c r="D6011" t="inlineStr">
        <is>
          <t>NORRBOTTENS LÄN</t>
        </is>
      </c>
      <c r="E6011" t="inlineStr">
        <is>
          <t>LULEÅ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50862-2023</t>
        </is>
      </c>
      <c r="B6012" s="1" t="n">
        <v>45218</v>
      </c>
      <c r="C6012" s="1" t="n">
        <v>45895</v>
      </c>
      <c r="D6012" t="inlineStr">
        <is>
          <t>NORRBOTTENS LÄN</t>
        </is>
      </c>
      <c r="E6012" t="inlineStr">
        <is>
          <t>ÖVERKALIX</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10713-2023</t>
        </is>
      </c>
      <c r="B6013" s="1" t="n">
        <v>44984</v>
      </c>
      <c r="C6013" s="1" t="n">
        <v>45895</v>
      </c>
      <c r="D6013" t="inlineStr">
        <is>
          <t>NORRBOTTENS LÄN</t>
        </is>
      </c>
      <c r="E6013" t="inlineStr">
        <is>
          <t>PITEÅ</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11998-2025</t>
        </is>
      </c>
      <c r="B6014" s="1" t="n">
        <v>45728</v>
      </c>
      <c r="C6014" s="1" t="n">
        <v>45895</v>
      </c>
      <c r="D6014" t="inlineStr">
        <is>
          <t>NORRBOTTENS LÄN</t>
        </is>
      </c>
      <c r="E6014" t="inlineStr">
        <is>
          <t>ARVIDSJAUR</t>
        </is>
      </c>
      <c r="F6014" t="inlineStr">
        <is>
          <t>Allmännings- och besparingsskogar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1572-2025</t>
        </is>
      </c>
      <c r="B6015" s="1" t="n">
        <v>45670.55724537037</v>
      </c>
      <c r="C6015" s="1" t="n">
        <v>45895</v>
      </c>
      <c r="D6015" t="inlineStr">
        <is>
          <t>NORRBOTTENS LÄN</t>
        </is>
      </c>
      <c r="E6015" t="inlineStr">
        <is>
          <t>LULEÅ</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39816-2024</t>
        </is>
      </c>
      <c r="B6016" s="1" t="n">
        <v>45553.3859837963</v>
      </c>
      <c r="C6016" s="1" t="n">
        <v>45895</v>
      </c>
      <c r="D6016" t="inlineStr">
        <is>
          <t>NORRBOTTENS LÄN</t>
        </is>
      </c>
      <c r="E6016" t="inlineStr">
        <is>
          <t>LULEÅ</t>
        </is>
      </c>
      <c r="F6016" t="inlineStr">
        <is>
          <t>Naturvårdsverket</t>
        </is>
      </c>
      <c r="G6016" t="n">
        <v>11.1</v>
      </c>
      <c r="H6016" t="n">
        <v>0</v>
      </c>
      <c r="I6016" t="n">
        <v>0</v>
      </c>
      <c r="J6016" t="n">
        <v>0</v>
      </c>
      <c r="K6016" t="n">
        <v>0</v>
      </c>
      <c r="L6016" t="n">
        <v>0</v>
      </c>
      <c r="M6016" t="n">
        <v>0</v>
      </c>
      <c r="N6016" t="n">
        <v>0</v>
      </c>
      <c r="O6016" t="n">
        <v>0</v>
      </c>
      <c r="P6016" t="n">
        <v>0</v>
      </c>
      <c r="Q6016" t="n">
        <v>0</v>
      </c>
      <c r="R6016" s="2" t="inlineStr"/>
    </row>
    <row r="6017" ht="15" customHeight="1">
      <c r="A6017" t="inlineStr">
        <is>
          <t>A 62801-2023</t>
        </is>
      </c>
      <c r="B6017" s="1" t="n">
        <v>45268</v>
      </c>
      <c r="C6017" s="1" t="n">
        <v>45895</v>
      </c>
      <c r="D6017" t="inlineStr">
        <is>
          <t>NORRBOTTENS LÄN</t>
        </is>
      </c>
      <c r="E6017" t="inlineStr">
        <is>
          <t>ARJEPLOG</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62819-2023</t>
        </is>
      </c>
      <c r="B6018" s="1" t="n">
        <v>45271.92641203704</v>
      </c>
      <c r="C6018" s="1" t="n">
        <v>45895</v>
      </c>
      <c r="D6018" t="inlineStr">
        <is>
          <t>NORRBOTTENS LÄN</t>
        </is>
      </c>
      <c r="E6018" t="inlineStr">
        <is>
          <t>PITEÅ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50889-2024</t>
        </is>
      </c>
      <c r="B6019" s="1" t="n">
        <v>45602.6681712963</v>
      </c>
      <c r="C6019" s="1" t="n">
        <v>45895</v>
      </c>
      <c r="D6019" t="inlineStr">
        <is>
          <t>NORRBOTTENS LÄN</t>
        </is>
      </c>
      <c r="E6019" t="inlineStr">
        <is>
          <t>ARVIDSJAUR</t>
        </is>
      </c>
      <c r="F6019" t="inlineStr">
        <is>
          <t>Sveaskog</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38751-2024</t>
        </is>
      </c>
      <c r="B6020" s="1" t="n">
        <v>45547.42896990741</v>
      </c>
      <c r="C6020" s="1" t="n">
        <v>45895</v>
      </c>
      <c r="D6020" t="inlineStr">
        <is>
          <t>NORRBOTTENS LÄN</t>
        </is>
      </c>
      <c r="E6020" t="inlineStr">
        <is>
          <t>GÄLLIVARE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60786-2024</t>
        </is>
      </c>
      <c r="B6021" s="1" t="n">
        <v>45644</v>
      </c>
      <c r="C6021" s="1" t="n">
        <v>45895</v>
      </c>
      <c r="D6021" t="inlineStr">
        <is>
          <t>NORRBOTTENS LÄN</t>
        </is>
      </c>
      <c r="E6021" t="inlineStr">
        <is>
          <t>ÖVERKALIX</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52735-2024</t>
        </is>
      </c>
      <c r="B6022" s="1" t="n">
        <v>45610</v>
      </c>
      <c r="C6022" s="1" t="n">
        <v>45895</v>
      </c>
      <c r="D6022" t="inlineStr">
        <is>
          <t>NORRBOTTENS LÄN</t>
        </is>
      </c>
      <c r="E6022" t="inlineStr">
        <is>
          <t>HAPARANDA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68514-2021</t>
        </is>
      </c>
      <c r="B6023" s="1" t="n">
        <v>44529</v>
      </c>
      <c r="C6023" s="1" t="n">
        <v>45895</v>
      </c>
      <c r="D6023" t="inlineStr">
        <is>
          <t>NORRBOTTENS LÄN</t>
        </is>
      </c>
      <c r="E6023" t="inlineStr">
        <is>
          <t>BODEN</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23774-2023</t>
        </is>
      </c>
      <c r="B6024" s="1" t="n">
        <v>45077</v>
      </c>
      <c r="C6024" s="1" t="n">
        <v>45895</v>
      </c>
      <c r="D6024" t="inlineStr">
        <is>
          <t>NORRBOTTENS LÄN</t>
        </is>
      </c>
      <c r="E6024" t="inlineStr">
        <is>
          <t>GÄLLIVARE</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34402-2023</t>
        </is>
      </c>
      <c r="B6025" s="1" t="n">
        <v>45139.54393518518</v>
      </c>
      <c r="C6025" s="1" t="n">
        <v>45895</v>
      </c>
      <c r="D6025" t="inlineStr">
        <is>
          <t>NORRBOTTENS LÄN</t>
        </is>
      </c>
      <c r="E6025" t="inlineStr">
        <is>
          <t>ÖVERTORNEÅ</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40660-2024</t>
        </is>
      </c>
      <c r="B6026" s="1" t="n">
        <v>45558</v>
      </c>
      <c r="C6026" s="1" t="n">
        <v>45895</v>
      </c>
      <c r="D6026" t="inlineStr">
        <is>
          <t>NORRBOTTENS LÄN</t>
        </is>
      </c>
      <c r="E6026" t="inlineStr">
        <is>
          <t>ÖVERKALIX</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33115-2024</t>
        </is>
      </c>
      <c r="B6027" s="1" t="n">
        <v>45517.9303125</v>
      </c>
      <c r="C6027" s="1" t="n">
        <v>45895</v>
      </c>
      <c r="D6027" t="inlineStr">
        <is>
          <t>NORRBOTTENS LÄN</t>
        </is>
      </c>
      <c r="E6027" t="inlineStr">
        <is>
          <t>PITEÅ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44527-2024</t>
        </is>
      </c>
      <c r="B6028" s="1" t="n">
        <v>45574.44518518518</v>
      </c>
      <c r="C6028" s="1" t="n">
        <v>45895</v>
      </c>
      <c r="D6028" t="inlineStr">
        <is>
          <t>NORRBOTTENS LÄN</t>
        </is>
      </c>
      <c r="E6028" t="inlineStr">
        <is>
          <t>PITEÅ</t>
        </is>
      </c>
      <c r="F6028" t="inlineStr">
        <is>
          <t>Sveaskog</t>
        </is>
      </c>
      <c r="G6028" t="n">
        <v>12.2</v>
      </c>
      <c r="H6028" t="n">
        <v>0</v>
      </c>
      <c r="I6028" t="n">
        <v>0</v>
      </c>
      <c r="J6028" t="n">
        <v>0</v>
      </c>
      <c r="K6028" t="n">
        <v>0</v>
      </c>
      <c r="L6028" t="n">
        <v>0</v>
      </c>
      <c r="M6028" t="n">
        <v>0</v>
      </c>
      <c r="N6028" t="n">
        <v>0</v>
      </c>
      <c r="O6028" t="n">
        <v>0</v>
      </c>
      <c r="P6028" t="n">
        <v>0</v>
      </c>
      <c r="Q6028" t="n">
        <v>0</v>
      </c>
      <c r="R6028" s="2" t="inlineStr"/>
    </row>
    <row r="6029" ht="15" customHeight="1">
      <c r="A6029" t="inlineStr">
        <is>
          <t>A 28357-2023</t>
        </is>
      </c>
      <c r="B6029" s="1" t="n">
        <v>45099.9296412037</v>
      </c>
      <c r="C6029" s="1" t="n">
        <v>45895</v>
      </c>
      <c r="D6029" t="inlineStr">
        <is>
          <t>NORRBOTTENS LÄN</t>
        </is>
      </c>
      <c r="E6029" t="inlineStr">
        <is>
          <t>BODEN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54296-2024</t>
        </is>
      </c>
      <c r="B6030" s="1" t="n">
        <v>45617</v>
      </c>
      <c r="C6030" s="1" t="n">
        <v>45895</v>
      </c>
      <c r="D6030" t="inlineStr">
        <is>
          <t>NORRBOTTENS LÄN</t>
        </is>
      </c>
      <c r="E6030" t="inlineStr">
        <is>
          <t>KALIX</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51981-2022</t>
        </is>
      </c>
      <c r="B6031" s="1" t="n">
        <v>44872</v>
      </c>
      <c r="C6031" s="1" t="n">
        <v>45895</v>
      </c>
      <c r="D6031" t="inlineStr">
        <is>
          <t>NORRBOTTENS LÄN</t>
        </is>
      </c>
      <c r="E6031" t="inlineStr">
        <is>
          <t>ÄLVSBYN</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8297-2025</t>
        </is>
      </c>
      <c r="B6032" s="1" t="n">
        <v>45708.58085648148</v>
      </c>
      <c r="C6032" s="1" t="n">
        <v>45895</v>
      </c>
      <c r="D6032" t="inlineStr">
        <is>
          <t>NORRBOTTENS LÄN</t>
        </is>
      </c>
      <c r="E6032" t="inlineStr">
        <is>
          <t>KALIX</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10377-2025</t>
        </is>
      </c>
      <c r="B6033" s="1" t="n">
        <v>45720.5630787037</v>
      </c>
      <c r="C6033" s="1" t="n">
        <v>45895</v>
      </c>
      <c r="D6033" t="inlineStr">
        <is>
          <t>NORRBOTTENS LÄN</t>
        </is>
      </c>
      <c r="E6033" t="inlineStr">
        <is>
          <t>LULEÅ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27778-2023</t>
        </is>
      </c>
      <c r="B6034" s="1" t="n">
        <v>45098</v>
      </c>
      <c r="C6034" s="1" t="n">
        <v>45895</v>
      </c>
      <c r="D6034" t="inlineStr">
        <is>
          <t>NORRBOTTENS LÄN</t>
        </is>
      </c>
      <c r="E6034" t="inlineStr">
        <is>
          <t>ARVIDSJAUR</t>
        </is>
      </c>
      <c r="F6034" t="inlineStr">
        <is>
          <t>Sveaskog</t>
        </is>
      </c>
      <c r="G6034" t="n">
        <v>15.2</v>
      </c>
      <c r="H6034" t="n">
        <v>0</v>
      </c>
      <c r="I6034" t="n">
        <v>0</v>
      </c>
      <c r="J6034" t="n">
        <v>0</v>
      </c>
      <c r="K6034" t="n">
        <v>0</v>
      </c>
      <c r="L6034" t="n">
        <v>0</v>
      </c>
      <c r="M6034" t="n">
        <v>0</v>
      </c>
      <c r="N6034" t="n">
        <v>0</v>
      </c>
      <c r="O6034" t="n">
        <v>0</v>
      </c>
      <c r="P6034" t="n">
        <v>0</v>
      </c>
      <c r="Q6034" t="n">
        <v>0</v>
      </c>
      <c r="R6034" s="2" t="inlineStr"/>
    </row>
    <row r="6035" ht="15" customHeight="1">
      <c r="A6035" t="inlineStr">
        <is>
          <t>A 21544-2024</t>
        </is>
      </c>
      <c r="B6035" s="1" t="n">
        <v>45441</v>
      </c>
      <c r="C6035" s="1" t="n">
        <v>45895</v>
      </c>
      <c r="D6035" t="inlineStr">
        <is>
          <t>NORRBOTTENS LÄN</t>
        </is>
      </c>
      <c r="E6035" t="inlineStr">
        <is>
          <t>ÖVERTORNEÅ</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15017-2022</t>
        </is>
      </c>
      <c r="B6036" s="1" t="n">
        <v>44657</v>
      </c>
      <c r="C6036" s="1" t="n">
        <v>45895</v>
      </c>
      <c r="D6036" t="inlineStr">
        <is>
          <t>NORRBOTTENS LÄN</t>
        </is>
      </c>
      <c r="E6036" t="inlineStr">
        <is>
          <t>BODEN</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7553-2024</t>
        </is>
      </c>
      <c r="B6037" s="1" t="n">
        <v>45348.42881944445</v>
      </c>
      <c r="C6037" s="1" t="n">
        <v>45895</v>
      </c>
      <c r="D6037" t="inlineStr">
        <is>
          <t>NORRBOTTENS LÄN</t>
        </is>
      </c>
      <c r="E6037" t="inlineStr">
        <is>
          <t>PITEÅ</t>
        </is>
      </c>
      <c r="F6037" t="inlineStr">
        <is>
          <t>Sveaskog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53040-2024</t>
        </is>
      </c>
      <c r="B6038" s="1" t="n">
        <v>45611.43986111111</v>
      </c>
      <c r="C6038" s="1" t="n">
        <v>45895</v>
      </c>
      <c r="D6038" t="inlineStr">
        <is>
          <t>NORRBOTTENS LÄN</t>
        </is>
      </c>
      <c r="E6038" t="inlineStr">
        <is>
          <t>PAJALA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20080-2024</t>
        </is>
      </c>
      <c r="B6039" s="1" t="n">
        <v>45434</v>
      </c>
      <c r="C6039" s="1" t="n">
        <v>45895</v>
      </c>
      <c r="D6039" t="inlineStr">
        <is>
          <t>NORRBOTTENS LÄN</t>
        </is>
      </c>
      <c r="E6039" t="inlineStr">
        <is>
          <t>PITEÅ</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33847-2023</t>
        </is>
      </c>
      <c r="B6040" s="1" t="n">
        <v>45121</v>
      </c>
      <c r="C6040" s="1" t="n">
        <v>45895</v>
      </c>
      <c r="D6040" t="inlineStr">
        <is>
          <t>NORRBOTTENS LÄN</t>
        </is>
      </c>
      <c r="E6040" t="inlineStr">
        <is>
          <t>GÄLLIVARE</t>
        </is>
      </c>
      <c r="F6040" t="inlineStr">
        <is>
          <t>Övriga statliga verk och myndigheter</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44398-2023</t>
        </is>
      </c>
      <c r="B6041" s="1" t="n">
        <v>45188</v>
      </c>
      <c r="C6041" s="1" t="n">
        <v>45895</v>
      </c>
      <c r="D6041" t="inlineStr">
        <is>
          <t>NORRBOTTENS LÄN</t>
        </is>
      </c>
      <c r="E6041" t="inlineStr">
        <is>
          <t>GÄLLIVARE</t>
        </is>
      </c>
      <c r="F6041" t="inlineStr">
        <is>
          <t>SCA</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2392-2023</t>
        </is>
      </c>
      <c r="B6042" s="1" t="n">
        <v>44942</v>
      </c>
      <c r="C6042" s="1" t="n">
        <v>45895</v>
      </c>
      <c r="D6042" t="inlineStr">
        <is>
          <t>NORRBOTTENS LÄN</t>
        </is>
      </c>
      <c r="E6042" t="inlineStr">
        <is>
          <t>PITEÅ</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7033-2023</t>
        </is>
      </c>
      <c r="B6043" s="1" t="n">
        <v>44968</v>
      </c>
      <c r="C6043" s="1" t="n">
        <v>45895</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36715-2024</t>
        </is>
      </c>
      <c r="B6044" s="1" t="n">
        <v>45537.82020833333</v>
      </c>
      <c r="C6044" s="1" t="n">
        <v>45895</v>
      </c>
      <c r="D6044" t="inlineStr">
        <is>
          <t>NORRBOTTENS LÄN</t>
        </is>
      </c>
      <c r="E6044" t="inlineStr">
        <is>
          <t>KALIX</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52075-2023</t>
        </is>
      </c>
      <c r="B6045" s="1" t="n">
        <v>45223</v>
      </c>
      <c r="C6045" s="1" t="n">
        <v>45895</v>
      </c>
      <c r="D6045" t="inlineStr">
        <is>
          <t>NORRBOTTENS LÄN</t>
        </is>
      </c>
      <c r="E6045" t="inlineStr">
        <is>
          <t>ÖVERKALIX</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20723-2021</t>
        </is>
      </c>
      <c r="B6046" s="1" t="n">
        <v>44316.52800925926</v>
      </c>
      <c r="C6046" s="1" t="n">
        <v>45895</v>
      </c>
      <c r="D6046" t="inlineStr">
        <is>
          <t>NORRBOTTENS LÄN</t>
        </is>
      </c>
      <c r="E6046" t="inlineStr">
        <is>
          <t>LULEÅ</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20317-2023</t>
        </is>
      </c>
      <c r="B6047" s="1" t="n">
        <v>45054</v>
      </c>
      <c r="C6047" s="1" t="n">
        <v>45895</v>
      </c>
      <c r="D6047" t="inlineStr">
        <is>
          <t>NORRBOTTENS LÄN</t>
        </is>
      </c>
      <c r="E6047" t="inlineStr">
        <is>
          <t>KALIX</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8802-2025</t>
        </is>
      </c>
      <c r="B6048" s="1" t="n">
        <v>45712.65888888889</v>
      </c>
      <c r="C6048" s="1" t="n">
        <v>45895</v>
      </c>
      <c r="D6048" t="inlineStr">
        <is>
          <t>NORRBOTTENS LÄN</t>
        </is>
      </c>
      <c r="E6048" t="inlineStr">
        <is>
          <t>KALIX</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43173-2023</t>
        </is>
      </c>
      <c r="B6049" s="1" t="n">
        <v>45180</v>
      </c>
      <c r="C6049" s="1" t="n">
        <v>45895</v>
      </c>
      <c r="D6049" t="inlineStr">
        <is>
          <t>NORRBOTTENS LÄN</t>
        </is>
      </c>
      <c r="E6049" t="inlineStr">
        <is>
          <t>ÖVERKALIX</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5481-2025</t>
        </is>
      </c>
      <c r="B6050" s="1" t="n">
        <v>45693</v>
      </c>
      <c r="C6050" s="1" t="n">
        <v>45895</v>
      </c>
      <c r="D6050" t="inlineStr">
        <is>
          <t>NORRBOTTENS LÄN</t>
        </is>
      </c>
      <c r="E6050" t="inlineStr">
        <is>
          <t>GÄLLIVARE</t>
        </is>
      </c>
      <c r="F6050" t="inlineStr">
        <is>
          <t>SCA</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277-2023</t>
        </is>
      </c>
      <c r="B6051" s="1" t="n">
        <v>44928.92290509259</v>
      </c>
      <c r="C6051" s="1" t="n">
        <v>45895</v>
      </c>
      <c r="D6051" t="inlineStr">
        <is>
          <t>NORRBOTTENS LÄN</t>
        </is>
      </c>
      <c r="E6051" t="inlineStr">
        <is>
          <t>HAPARANDA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5533-2024</t>
        </is>
      </c>
      <c r="B6052" s="1" t="n">
        <v>45334</v>
      </c>
      <c r="C6052" s="1" t="n">
        <v>45895</v>
      </c>
      <c r="D6052" t="inlineStr">
        <is>
          <t>NORRBOTTENS LÄN</t>
        </is>
      </c>
      <c r="E6052" t="inlineStr">
        <is>
          <t>KIRUNA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8767-2025</t>
        </is>
      </c>
      <c r="B6053" s="1" t="n">
        <v>45712.58931712963</v>
      </c>
      <c r="C6053" s="1" t="n">
        <v>45895</v>
      </c>
      <c r="D6053" t="inlineStr">
        <is>
          <t>NORRBOTTENS LÄN</t>
        </is>
      </c>
      <c r="E6053" t="inlineStr">
        <is>
          <t>LULEÅ</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58999-2023</t>
        </is>
      </c>
      <c r="B6054" s="1" t="n">
        <v>45225</v>
      </c>
      <c r="C6054" s="1" t="n">
        <v>45895</v>
      </c>
      <c r="D6054" t="inlineStr">
        <is>
          <t>NORRBOTTENS LÄN</t>
        </is>
      </c>
      <c r="E6054" t="inlineStr">
        <is>
          <t>KALIX</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2993-2024</t>
        </is>
      </c>
      <c r="B6055" s="1" t="n">
        <v>45315.72337962963</v>
      </c>
      <c r="C6055" s="1" t="n">
        <v>45895</v>
      </c>
      <c r="D6055" t="inlineStr">
        <is>
          <t>NORRBOTTENS LÄN</t>
        </is>
      </c>
      <c r="E6055" t="inlineStr">
        <is>
          <t>ÖVERKALIX</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12261-2025</t>
        </is>
      </c>
      <c r="B6056" s="1" t="n">
        <v>45729</v>
      </c>
      <c r="C6056" s="1" t="n">
        <v>45895</v>
      </c>
      <c r="D6056" t="inlineStr">
        <is>
          <t>NORRBOTTENS LÄN</t>
        </is>
      </c>
      <c r="E6056" t="inlineStr">
        <is>
          <t>PITEÅ</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61487-2023</t>
        </is>
      </c>
      <c r="B6057" s="1" t="n">
        <v>45264</v>
      </c>
      <c r="C6057" s="1" t="n">
        <v>45895</v>
      </c>
      <c r="D6057" t="inlineStr">
        <is>
          <t>NORRBOTTENS LÄN</t>
        </is>
      </c>
      <c r="E6057" t="inlineStr">
        <is>
          <t>BODEN</t>
        </is>
      </c>
      <c r="F6057" t="inlineStr">
        <is>
          <t>SCA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12927-2024</t>
        </is>
      </c>
      <c r="B6058" s="1" t="n">
        <v>45385.44969907407</v>
      </c>
      <c r="C6058" s="1" t="n">
        <v>45895</v>
      </c>
      <c r="D6058" t="inlineStr">
        <is>
          <t>NORRBOTTENS LÄN</t>
        </is>
      </c>
      <c r="E6058" t="inlineStr">
        <is>
          <t>KALIX</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9634-2022</t>
        </is>
      </c>
      <c r="B6059" s="1" t="n">
        <v>44617</v>
      </c>
      <c r="C6059" s="1" t="n">
        <v>45895</v>
      </c>
      <c r="D6059" t="inlineStr">
        <is>
          <t>NORRBOTTENS LÄN</t>
        </is>
      </c>
      <c r="E6059" t="inlineStr">
        <is>
          <t>ÄLVSBYN</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23131-2021</t>
        </is>
      </c>
      <c r="B6060" s="1" t="n">
        <v>44330</v>
      </c>
      <c r="C6060" s="1" t="n">
        <v>45895</v>
      </c>
      <c r="D6060" t="inlineStr">
        <is>
          <t>NORRBOTTENS LÄN</t>
        </is>
      </c>
      <c r="E6060" t="inlineStr">
        <is>
          <t>BODEN</t>
        </is>
      </c>
      <c r="G6060" t="n">
        <v>15.8</v>
      </c>
      <c r="H6060" t="n">
        <v>0</v>
      </c>
      <c r="I6060" t="n">
        <v>0</v>
      </c>
      <c r="J6060" t="n">
        <v>0</v>
      </c>
      <c r="K6060" t="n">
        <v>0</v>
      </c>
      <c r="L6060" t="n">
        <v>0</v>
      </c>
      <c r="M6060" t="n">
        <v>0</v>
      </c>
      <c r="N6060" t="n">
        <v>0</v>
      </c>
      <c r="O6060" t="n">
        <v>0</v>
      </c>
      <c r="P6060" t="n">
        <v>0</v>
      </c>
      <c r="Q6060" t="n">
        <v>0</v>
      </c>
      <c r="R6060" s="2" t="inlineStr"/>
    </row>
    <row r="6061" ht="15" customHeight="1">
      <c r="A6061" t="inlineStr">
        <is>
          <t>A 8028-2024</t>
        </is>
      </c>
      <c r="B6061" s="1" t="n">
        <v>45350</v>
      </c>
      <c r="C6061" s="1" t="n">
        <v>45895</v>
      </c>
      <c r="D6061" t="inlineStr">
        <is>
          <t>NORRBOTTENS LÄN</t>
        </is>
      </c>
      <c r="E6061" t="inlineStr">
        <is>
          <t>BODEN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11901-2025</t>
        </is>
      </c>
      <c r="B6062" s="1" t="n">
        <v>45727</v>
      </c>
      <c r="C6062" s="1" t="n">
        <v>45895</v>
      </c>
      <c r="D6062" t="inlineStr">
        <is>
          <t>NORRBOTTENS LÄN</t>
        </is>
      </c>
      <c r="E6062" t="inlineStr">
        <is>
          <t>LULEÅ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8016-2025</t>
        </is>
      </c>
      <c r="B6063" s="1" t="n">
        <v>45707.5637037037</v>
      </c>
      <c r="C6063" s="1" t="n">
        <v>45895</v>
      </c>
      <c r="D6063" t="inlineStr">
        <is>
          <t>NORRBOTTENS LÄN</t>
        </is>
      </c>
      <c r="E6063" t="inlineStr">
        <is>
          <t>BODEN</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13480-2025</t>
        </is>
      </c>
      <c r="B6064" s="1" t="n">
        <v>45736</v>
      </c>
      <c r="C6064" s="1" t="n">
        <v>45895</v>
      </c>
      <c r="D6064" t="inlineStr">
        <is>
          <t>NORRBOTTENS LÄN</t>
        </is>
      </c>
      <c r="E6064" t="inlineStr">
        <is>
          <t>PAJALA</t>
        </is>
      </c>
      <c r="G6064" t="n">
        <v>11.4</v>
      </c>
      <c r="H6064" t="n">
        <v>0</v>
      </c>
      <c r="I6064" t="n">
        <v>0</v>
      </c>
      <c r="J6064" t="n">
        <v>0</v>
      </c>
      <c r="K6064" t="n">
        <v>0</v>
      </c>
      <c r="L6064" t="n">
        <v>0</v>
      </c>
      <c r="M6064" t="n">
        <v>0</v>
      </c>
      <c r="N6064" t="n">
        <v>0</v>
      </c>
      <c r="O6064" t="n">
        <v>0</v>
      </c>
      <c r="P6064" t="n">
        <v>0</v>
      </c>
      <c r="Q6064" t="n">
        <v>0</v>
      </c>
      <c r="R6064" s="2" t="inlineStr"/>
    </row>
    <row r="6065" ht="15" customHeight="1">
      <c r="A6065" t="inlineStr">
        <is>
          <t>A 59703-2024</t>
        </is>
      </c>
      <c r="B6065" s="1" t="n">
        <v>45639</v>
      </c>
      <c r="C6065" s="1" t="n">
        <v>45895</v>
      </c>
      <c r="D6065" t="inlineStr">
        <is>
          <t>NORRBOTTENS LÄN</t>
        </is>
      </c>
      <c r="E6065" t="inlineStr">
        <is>
          <t>GÄLLIVARE</t>
        </is>
      </c>
      <c r="F6065" t="inlineStr">
        <is>
          <t>Sveaskog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59736-2024</t>
        </is>
      </c>
      <c r="B6066" s="1" t="n">
        <v>45639.51585648148</v>
      </c>
      <c r="C6066" s="1" t="n">
        <v>45895</v>
      </c>
      <c r="D6066" t="inlineStr">
        <is>
          <t>NORRBOTTENS LÄN</t>
        </is>
      </c>
      <c r="E6066" t="inlineStr">
        <is>
          <t>KALIX</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45505-2022</t>
        </is>
      </c>
      <c r="B6067" s="1" t="n">
        <v>44841</v>
      </c>
      <c r="C6067" s="1" t="n">
        <v>45895</v>
      </c>
      <c r="D6067" t="inlineStr">
        <is>
          <t>NORRBOTTENS LÄN</t>
        </is>
      </c>
      <c r="E6067" t="inlineStr">
        <is>
          <t>JOKKMOKK</t>
        </is>
      </c>
      <c r="F6067" t="inlineStr">
        <is>
          <t>Övriga Aktiebolag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12532-2024</t>
        </is>
      </c>
      <c r="B6068" s="1" t="n">
        <v>45379</v>
      </c>
      <c r="C6068" s="1" t="n">
        <v>45895</v>
      </c>
      <c r="D6068" t="inlineStr">
        <is>
          <t>NORRBOTTENS LÄN</t>
        </is>
      </c>
      <c r="E6068" t="inlineStr">
        <is>
          <t>ÖVERTORNEÅ</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12552-2024</t>
        </is>
      </c>
      <c r="B6069" s="1" t="n">
        <v>45379</v>
      </c>
      <c r="C6069" s="1" t="n">
        <v>45895</v>
      </c>
      <c r="D6069" t="inlineStr">
        <is>
          <t>NORRBOTTENS LÄN</t>
        </is>
      </c>
      <c r="E6069" t="inlineStr">
        <is>
          <t>LULEÅ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12562-2024</t>
        </is>
      </c>
      <c r="B6070" s="1" t="n">
        <v>45379</v>
      </c>
      <c r="C6070" s="1" t="n">
        <v>45895</v>
      </c>
      <c r="D6070" t="inlineStr">
        <is>
          <t>NORRBOTTENS LÄN</t>
        </is>
      </c>
      <c r="E6070" t="inlineStr">
        <is>
          <t>BODEN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12202-2024</t>
        </is>
      </c>
      <c r="B6071" s="1" t="n">
        <v>45377.95069444444</v>
      </c>
      <c r="C6071" s="1" t="n">
        <v>45895</v>
      </c>
      <c r="D6071" t="inlineStr">
        <is>
          <t>NORRBOTTENS LÄN</t>
        </is>
      </c>
      <c r="E6071" t="inlineStr">
        <is>
          <t>GÄLLIVARE</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704-2025</t>
        </is>
      </c>
      <c r="B6072" s="1" t="n">
        <v>45663</v>
      </c>
      <c r="C6072" s="1" t="n">
        <v>45895</v>
      </c>
      <c r="D6072" t="inlineStr">
        <is>
          <t>NORRBOTTENS LÄN</t>
        </is>
      </c>
      <c r="E6072" t="inlineStr">
        <is>
          <t>LULEÅ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16356-2025</t>
        </is>
      </c>
      <c r="B6073" s="1" t="n">
        <v>45750</v>
      </c>
      <c r="C6073" s="1" t="n">
        <v>45895</v>
      </c>
      <c r="D6073" t="inlineStr">
        <is>
          <t>NORRBOTTENS LÄN</t>
        </is>
      </c>
      <c r="E6073" t="inlineStr">
        <is>
          <t>ÖVERTORNEÅ</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56168-2023</t>
        </is>
      </c>
      <c r="B6074" s="1" t="n">
        <v>45236</v>
      </c>
      <c r="C6074" s="1" t="n">
        <v>45895</v>
      </c>
      <c r="D6074" t="inlineStr">
        <is>
          <t>NORRBOTTENS LÄN</t>
        </is>
      </c>
      <c r="E6074" t="inlineStr">
        <is>
          <t>KIRUNA</t>
        </is>
      </c>
      <c r="F6074" t="inlineStr">
        <is>
          <t>Sveaskog</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114-2025</t>
        </is>
      </c>
      <c r="B6075" s="1" t="n">
        <v>45659.51113425926</v>
      </c>
      <c r="C6075" s="1" t="n">
        <v>45895</v>
      </c>
      <c r="D6075" t="inlineStr">
        <is>
          <t>NORRBOTTENS LÄN</t>
        </is>
      </c>
      <c r="E6075" t="inlineStr">
        <is>
          <t>LULEÅ</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57873-2021</t>
        </is>
      </c>
      <c r="B6076" s="1" t="n">
        <v>44484</v>
      </c>
      <c r="C6076" s="1" t="n">
        <v>45895</v>
      </c>
      <c r="D6076" t="inlineStr">
        <is>
          <t>NORRBOTTENS LÄN</t>
        </is>
      </c>
      <c r="E6076" t="inlineStr">
        <is>
          <t>BODEN</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57895-2021</t>
        </is>
      </c>
      <c r="B6077" s="1" t="n">
        <v>44486.60745370371</v>
      </c>
      <c r="C6077" s="1" t="n">
        <v>45895</v>
      </c>
      <c r="D6077" t="inlineStr">
        <is>
          <t>NORRBOTTENS LÄN</t>
        </is>
      </c>
      <c r="E6077" t="inlineStr">
        <is>
          <t>BODEN</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8350-2025</t>
        </is>
      </c>
      <c r="B6078" s="1" t="n">
        <v>45708</v>
      </c>
      <c r="C6078" s="1" t="n">
        <v>45895</v>
      </c>
      <c r="D6078" t="inlineStr">
        <is>
          <t>NORRBOTTENS LÄN</t>
        </is>
      </c>
      <c r="E6078" t="inlineStr">
        <is>
          <t>KIRUNA</t>
        </is>
      </c>
      <c r="F6078" t="inlineStr">
        <is>
          <t>Övriga statliga verk och myndigheter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51489-2023</t>
        </is>
      </c>
      <c r="B6079" s="1" t="n">
        <v>45222</v>
      </c>
      <c r="C6079" s="1" t="n">
        <v>45895</v>
      </c>
      <c r="D6079" t="inlineStr">
        <is>
          <t>NORRBOTTENS LÄN</t>
        </is>
      </c>
      <c r="E6079" t="inlineStr">
        <is>
          <t>PITEÅ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436-2025</t>
        </is>
      </c>
      <c r="B6080" s="1" t="n">
        <v>45659</v>
      </c>
      <c r="C6080" s="1" t="n">
        <v>45895</v>
      </c>
      <c r="D6080" t="inlineStr">
        <is>
          <t>NORRBOTTENS LÄN</t>
        </is>
      </c>
      <c r="E6080" t="inlineStr">
        <is>
          <t>BODEN</t>
        </is>
      </c>
      <c r="G6080" t="n">
        <v>15.8</v>
      </c>
      <c r="H6080" t="n">
        <v>0</v>
      </c>
      <c r="I6080" t="n">
        <v>0</v>
      </c>
      <c r="J6080" t="n">
        <v>0</v>
      </c>
      <c r="K6080" t="n">
        <v>0</v>
      </c>
      <c r="L6080" t="n">
        <v>0</v>
      </c>
      <c r="M6080" t="n">
        <v>0</v>
      </c>
      <c r="N6080" t="n">
        <v>0</v>
      </c>
      <c r="O6080" t="n">
        <v>0</v>
      </c>
      <c r="P6080" t="n">
        <v>0</v>
      </c>
      <c r="Q6080" t="n">
        <v>0</v>
      </c>
      <c r="R6080" s="2" t="inlineStr"/>
    </row>
    <row r="6081" ht="15" customHeight="1">
      <c r="A6081" t="inlineStr">
        <is>
          <t>A 479-2025</t>
        </is>
      </c>
      <c r="B6081" s="1" t="n">
        <v>45664.44930555556</v>
      </c>
      <c r="C6081" s="1" t="n">
        <v>45895</v>
      </c>
      <c r="D6081" t="inlineStr">
        <is>
          <t>NORRBOTTENS LÄN</t>
        </is>
      </c>
      <c r="E6081" t="inlineStr">
        <is>
          <t>PITEÅ</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61770-2024</t>
        </is>
      </c>
      <c r="B6082" s="1" t="n">
        <v>45649.45567129629</v>
      </c>
      <c r="C6082" s="1" t="n">
        <v>45895</v>
      </c>
      <c r="D6082" t="inlineStr">
        <is>
          <t>NORRBOTTENS LÄN</t>
        </is>
      </c>
      <c r="E6082" t="inlineStr">
        <is>
          <t>BODEN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48129-2023</t>
        </is>
      </c>
      <c r="B6083" s="1" t="n">
        <v>45205.37278935185</v>
      </c>
      <c r="C6083" s="1" t="n">
        <v>45895</v>
      </c>
      <c r="D6083" t="inlineStr">
        <is>
          <t>NORRBOTTENS LÄN</t>
        </is>
      </c>
      <c r="E6083" t="inlineStr">
        <is>
          <t>BODEN</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42148-2024</t>
        </is>
      </c>
      <c r="B6084" s="1" t="n">
        <v>45562</v>
      </c>
      <c r="C6084" s="1" t="n">
        <v>45895</v>
      </c>
      <c r="D6084" t="inlineStr">
        <is>
          <t>NORRBOTTENS LÄN</t>
        </is>
      </c>
      <c r="E6084" t="inlineStr">
        <is>
          <t>PAJALA</t>
        </is>
      </c>
      <c r="F6084" t="inlineStr">
        <is>
          <t>Sveaskog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41577-2024</t>
        </is>
      </c>
      <c r="B6085" s="1" t="n">
        <v>45560.55266203704</v>
      </c>
      <c r="C6085" s="1" t="n">
        <v>45895</v>
      </c>
      <c r="D6085" t="inlineStr">
        <is>
          <t>NORRBOTTENS LÄN</t>
        </is>
      </c>
      <c r="E6085" t="inlineStr">
        <is>
          <t>KALIX</t>
        </is>
      </c>
      <c r="F6085" t="inlineStr">
        <is>
          <t>SCA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27300-2022</t>
        </is>
      </c>
      <c r="B6086" s="1" t="n">
        <v>44741.95179398148</v>
      </c>
      <c r="C6086" s="1" t="n">
        <v>45895</v>
      </c>
      <c r="D6086" t="inlineStr">
        <is>
          <t>NORRBOTTENS LÄN</t>
        </is>
      </c>
      <c r="E6086" t="inlineStr">
        <is>
          <t>ÖVERTORNEÅ</t>
        </is>
      </c>
      <c r="F6086" t="inlineStr">
        <is>
          <t>Sveaskog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49729-2024</t>
        </is>
      </c>
      <c r="B6087" s="1" t="n">
        <v>45596</v>
      </c>
      <c r="C6087" s="1" t="n">
        <v>45895</v>
      </c>
      <c r="D6087" t="inlineStr">
        <is>
          <t>NORRBOTTENS LÄN</t>
        </is>
      </c>
      <c r="E6087" t="inlineStr">
        <is>
          <t>BODEN</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6624-2025</t>
        </is>
      </c>
      <c r="B6088" s="1" t="n">
        <v>45700.36609953704</v>
      </c>
      <c r="C6088" s="1" t="n">
        <v>45895</v>
      </c>
      <c r="D6088" t="inlineStr">
        <is>
          <t>NORRBOTTENS LÄN</t>
        </is>
      </c>
      <c r="E6088" t="inlineStr">
        <is>
          <t>KALIX</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11158-2025</t>
        </is>
      </c>
      <c r="B6089" s="1" t="n">
        <v>45723</v>
      </c>
      <c r="C6089" s="1" t="n">
        <v>45895</v>
      </c>
      <c r="D6089" t="inlineStr">
        <is>
          <t>NORRBOTTENS LÄN</t>
        </is>
      </c>
      <c r="E6089" t="inlineStr">
        <is>
          <t>BODEN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11159-2025</t>
        </is>
      </c>
      <c r="B6090" s="1" t="n">
        <v>45723</v>
      </c>
      <c r="C6090" s="1" t="n">
        <v>45895</v>
      </c>
      <c r="D6090" t="inlineStr">
        <is>
          <t>NORRBOTTENS LÄN</t>
        </is>
      </c>
      <c r="E6090" t="inlineStr">
        <is>
          <t>BODEN</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52558-2023</t>
        </is>
      </c>
      <c r="B6091" s="1" t="n">
        <v>45218</v>
      </c>
      <c r="C6091" s="1" t="n">
        <v>45895</v>
      </c>
      <c r="D6091" t="inlineStr">
        <is>
          <t>NORRBOTTENS LÄN</t>
        </is>
      </c>
      <c r="E6091" t="inlineStr">
        <is>
          <t>PAJALA</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16897-2025</t>
        </is>
      </c>
      <c r="B6092" s="1" t="n">
        <v>45755.33635416667</v>
      </c>
      <c r="C6092" s="1" t="n">
        <v>45895</v>
      </c>
      <c r="D6092" t="inlineStr">
        <is>
          <t>NORRBOTTENS LÄN</t>
        </is>
      </c>
      <c r="E6092" t="inlineStr">
        <is>
          <t>KALIX</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16972-2025</t>
        </is>
      </c>
      <c r="B6093" s="1" t="n">
        <v>45755.46942129629</v>
      </c>
      <c r="C6093" s="1" t="n">
        <v>45895</v>
      </c>
      <c r="D6093" t="inlineStr">
        <is>
          <t>NORRBOTTENS LÄN</t>
        </is>
      </c>
      <c r="E6093" t="inlineStr">
        <is>
          <t>JOKKMOKK</t>
        </is>
      </c>
      <c r="F6093" t="inlineStr">
        <is>
          <t>SCA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48057-2023</t>
        </is>
      </c>
      <c r="B6094" s="1" t="n">
        <v>45204</v>
      </c>
      <c r="C6094" s="1" t="n">
        <v>45895</v>
      </c>
      <c r="D6094" t="inlineStr">
        <is>
          <t>NORRBOTTENS LÄN</t>
        </is>
      </c>
      <c r="E6094" t="inlineStr">
        <is>
          <t>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39327-2024</t>
        </is>
      </c>
      <c r="B6095" s="1" t="n">
        <v>45551</v>
      </c>
      <c r="C6095" s="1" t="n">
        <v>45895</v>
      </c>
      <c r="D6095" t="inlineStr">
        <is>
          <t>NORRBOTTENS LÄN</t>
        </is>
      </c>
      <c r="E6095" t="inlineStr">
        <is>
          <t>ÖVERKALIX</t>
        </is>
      </c>
      <c r="F6095" t="inlineStr">
        <is>
          <t>SCA</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11511-2025</t>
        </is>
      </c>
      <c r="B6096" s="1" t="n">
        <v>45726.83957175926</v>
      </c>
      <c r="C6096" s="1" t="n">
        <v>45895</v>
      </c>
      <c r="D6096" t="inlineStr">
        <is>
          <t>NORRBOTTENS LÄN</t>
        </is>
      </c>
      <c r="E6096" t="inlineStr">
        <is>
          <t>PITEÅ</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11542-2025</t>
        </is>
      </c>
      <c r="B6097" s="1" t="n">
        <v>45726</v>
      </c>
      <c r="C6097" s="1" t="n">
        <v>45895</v>
      </c>
      <c r="D6097" t="inlineStr">
        <is>
          <t>NORRBOTTENS LÄN</t>
        </is>
      </c>
      <c r="E6097" t="inlineStr">
        <is>
          <t>ARVIDSJAUR</t>
        </is>
      </c>
      <c r="F6097" t="inlineStr">
        <is>
          <t>Allmännings- och besparingsskogar</t>
        </is>
      </c>
      <c r="G6097" t="n">
        <v>14.2</v>
      </c>
      <c r="H6097" t="n">
        <v>0</v>
      </c>
      <c r="I6097" t="n">
        <v>0</v>
      </c>
      <c r="J6097" t="n">
        <v>0</v>
      </c>
      <c r="K6097" t="n">
        <v>0</v>
      </c>
      <c r="L6097" t="n">
        <v>0</v>
      </c>
      <c r="M6097" t="n">
        <v>0</v>
      </c>
      <c r="N6097" t="n">
        <v>0</v>
      </c>
      <c r="O6097" t="n">
        <v>0</v>
      </c>
      <c r="P6097" t="n">
        <v>0</v>
      </c>
      <c r="Q6097" t="n">
        <v>0</v>
      </c>
      <c r="R6097" s="2" t="inlineStr"/>
    </row>
    <row r="6098" ht="15" customHeight="1">
      <c r="A6098" t="inlineStr">
        <is>
          <t>A 45857-2024</t>
        </is>
      </c>
      <c r="B6098" s="1" t="n">
        <v>45580.34554398148</v>
      </c>
      <c r="C6098" s="1" t="n">
        <v>45895</v>
      </c>
      <c r="D6098" t="inlineStr">
        <is>
          <t>NORRBOTTENS LÄN</t>
        </is>
      </c>
      <c r="E6098" t="inlineStr">
        <is>
          <t>LULEÅ</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10073-2025</t>
        </is>
      </c>
      <c r="B6099" s="1" t="n">
        <v>45719</v>
      </c>
      <c r="C6099" s="1" t="n">
        <v>45895</v>
      </c>
      <c r="D6099" t="inlineStr">
        <is>
          <t>NORRBOTTENS LÄN</t>
        </is>
      </c>
      <c r="E6099" t="inlineStr">
        <is>
          <t>KALIX</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3043-2025</t>
        </is>
      </c>
      <c r="B6100" s="1" t="n">
        <v>45678.60608796297</v>
      </c>
      <c r="C6100" s="1" t="n">
        <v>45895</v>
      </c>
      <c r="D6100" t="inlineStr">
        <is>
          <t>NORRBOTTENS LÄN</t>
        </is>
      </c>
      <c r="E6100" t="inlineStr">
        <is>
          <t>KALIX</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14815-2024</t>
        </is>
      </c>
      <c r="B6101" s="1" t="n">
        <v>45397.95770833334</v>
      </c>
      <c r="C6101" s="1" t="n">
        <v>45895</v>
      </c>
      <c r="D6101" t="inlineStr">
        <is>
          <t>NORRBOTTENS LÄN</t>
        </is>
      </c>
      <c r="E6101" t="inlineStr">
        <is>
          <t>JOKKMOKK</t>
        </is>
      </c>
      <c r="F6101" t="inlineStr">
        <is>
          <t>SCA</t>
        </is>
      </c>
      <c r="G6101" t="n">
        <v>54.1</v>
      </c>
      <c r="H6101" t="n">
        <v>0</v>
      </c>
      <c r="I6101" t="n">
        <v>0</v>
      </c>
      <c r="J6101" t="n">
        <v>0</v>
      </c>
      <c r="K6101" t="n">
        <v>0</v>
      </c>
      <c r="L6101" t="n">
        <v>0</v>
      </c>
      <c r="M6101" t="n">
        <v>0</v>
      </c>
      <c r="N6101" t="n">
        <v>0</v>
      </c>
      <c r="O6101" t="n">
        <v>0</v>
      </c>
      <c r="P6101" t="n">
        <v>0</v>
      </c>
      <c r="Q6101" t="n">
        <v>0</v>
      </c>
      <c r="R6101" s="2" t="inlineStr"/>
    </row>
    <row r="6102" ht="15" customHeight="1">
      <c r="A6102" t="inlineStr">
        <is>
          <t>A 50375-2023</t>
        </is>
      </c>
      <c r="B6102" s="1" t="n">
        <v>45216</v>
      </c>
      <c r="C6102" s="1" t="n">
        <v>45895</v>
      </c>
      <c r="D6102" t="inlineStr">
        <is>
          <t>NORRBOTTENS LÄN</t>
        </is>
      </c>
      <c r="E6102" t="inlineStr">
        <is>
          <t>ÄLVSBYN</t>
        </is>
      </c>
      <c r="G6102" t="n">
        <v>10.3</v>
      </c>
      <c r="H6102" t="n">
        <v>0</v>
      </c>
      <c r="I6102" t="n">
        <v>0</v>
      </c>
      <c r="J6102" t="n">
        <v>0</v>
      </c>
      <c r="K6102" t="n">
        <v>0</v>
      </c>
      <c r="L6102" t="n">
        <v>0</v>
      </c>
      <c r="M6102" t="n">
        <v>0</v>
      </c>
      <c r="N6102" t="n">
        <v>0</v>
      </c>
      <c r="O6102" t="n">
        <v>0</v>
      </c>
      <c r="P6102" t="n">
        <v>0</v>
      </c>
      <c r="Q6102" t="n">
        <v>0</v>
      </c>
      <c r="R6102" s="2" t="inlineStr"/>
    </row>
    <row r="6103" ht="15" customHeight="1">
      <c r="A6103" t="inlineStr">
        <is>
          <t>A 48914-2023</t>
        </is>
      </c>
      <c r="B6103" s="1" t="n">
        <v>45204</v>
      </c>
      <c r="C6103" s="1" t="n">
        <v>45895</v>
      </c>
      <c r="D6103" t="inlineStr">
        <is>
          <t>NORRBOTTENS LÄN</t>
        </is>
      </c>
      <c r="E6103" t="inlineStr">
        <is>
          <t>PAJALA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21854-2022</t>
        </is>
      </c>
      <c r="B6104" s="1" t="n">
        <v>44708</v>
      </c>
      <c r="C6104" s="1" t="n">
        <v>45895</v>
      </c>
      <c r="D6104" t="inlineStr">
        <is>
          <t>NORRBOTTENS LÄN</t>
        </is>
      </c>
      <c r="E6104" t="inlineStr">
        <is>
          <t>PITEÅ</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21188-2024</t>
        </is>
      </c>
      <c r="B6105" s="1" t="n">
        <v>45440.48613425926</v>
      </c>
      <c r="C6105" s="1" t="n">
        <v>45895</v>
      </c>
      <c r="D6105" t="inlineStr">
        <is>
          <t>NORRBOTTENS LÄN</t>
        </is>
      </c>
      <c r="E6105" t="inlineStr">
        <is>
          <t>PITEÅ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48391-2023</t>
        </is>
      </c>
      <c r="B6106" s="1" t="n">
        <v>45201</v>
      </c>
      <c r="C6106" s="1" t="n">
        <v>45895</v>
      </c>
      <c r="D6106" t="inlineStr">
        <is>
          <t>NORRBOTTENS LÄN</t>
        </is>
      </c>
      <c r="E6106" t="inlineStr">
        <is>
          <t>PAJALA</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25493-2024</t>
        </is>
      </c>
      <c r="B6107" s="1" t="n">
        <v>45463</v>
      </c>
      <c r="C6107" s="1" t="n">
        <v>45895</v>
      </c>
      <c r="D6107" t="inlineStr">
        <is>
          <t>NORRBOTTENS LÄN</t>
        </is>
      </c>
      <c r="E6107" t="inlineStr">
        <is>
          <t>GÄLLIVARE</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48048-2022</t>
        </is>
      </c>
      <c r="B6108" s="1" t="n">
        <v>44855</v>
      </c>
      <c r="C6108" s="1" t="n">
        <v>45895</v>
      </c>
      <c r="D6108" t="inlineStr">
        <is>
          <t>NORRBOTTENS LÄN</t>
        </is>
      </c>
      <c r="E6108" t="inlineStr">
        <is>
          <t>ARVIDSJAUR</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9450-2023</t>
        </is>
      </c>
      <c r="B6109" s="1" t="n">
        <v>44981</v>
      </c>
      <c r="C6109" s="1" t="n">
        <v>45895</v>
      </c>
      <c r="D6109" t="inlineStr">
        <is>
          <t>NORRBOTTENS LÄN</t>
        </is>
      </c>
      <c r="E6109" t="inlineStr">
        <is>
          <t>KALIX</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39560-2023</t>
        </is>
      </c>
      <c r="B6110" s="1" t="n">
        <v>45167.39181712963</v>
      </c>
      <c r="C6110" s="1" t="n">
        <v>45895</v>
      </c>
      <c r="D6110" t="inlineStr">
        <is>
          <t>NORRBOTTENS LÄN</t>
        </is>
      </c>
      <c r="E6110" t="inlineStr">
        <is>
          <t>PITEÅ</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27268-2022</t>
        </is>
      </c>
      <c r="B6111" s="1" t="n">
        <v>44741</v>
      </c>
      <c r="C6111" s="1" t="n">
        <v>45895</v>
      </c>
      <c r="D6111" t="inlineStr">
        <is>
          <t>NORRBOTTENS LÄN</t>
        </is>
      </c>
      <c r="E6111" t="inlineStr">
        <is>
          <t>PITEÅ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4661-2022</t>
        </is>
      </c>
      <c r="B6112" s="1" t="n">
        <v>44589</v>
      </c>
      <c r="C6112" s="1" t="n">
        <v>45895</v>
      </c>
      <c r="D6112" t="inlineStr">
        <is>
          <t>NORRBOTTENS LÄN</t>
        </is>
      </c>
      <c r="E6112" t="inlineStr">
        <is>
          <t>JOKKMOKK</t>
        </is>
      </c>
      <c r="G6112" t="n">
        <v>39.5</v>
      </c>
      <c r="H6112" t="n">
        <v>0</v>
      </c>
      <c r="I6112" t="n">
        <v>0</v>
      </c>
      <c r="J6112" t="n">
        <v>0</v>
      </c>
      <c r="K6112" t="n">
        <v>0</v>
      </c>
      <c r="L6112" t="n">
        <v>0</v>
      </c>
      <c r="M6112" t="n">
        <v>0</v>
      </c>
      <c r="N6112" t="n">
        <v>0</v>
      </c>
      <c r="O6112" t="n">
        <v>0</v>
      </c>
      <c r="P6112" t="n">
        <v>0</v>
      </c>
      <c r="Q6112" t="n">
        <v>0</v>
      </c>
      <c r="R6112" s="2" t="inlineStr"/>
    </row>
    <row r="6113" ht="15" customHeight="1">
      <c r="A6113" t="inlineStr">
        <is>
          <t>A 56418-2024</t>
        </is>
      </c>
      <c r="B6113" s="1" t="n">
        <v>45625.37511574074</v>
      </c>
      <c r="C6113" s="1" t="n">
        <v>45895</v>
      </c>
      <c r="D6113" t="inlineStr">
        <is>
          <t>NORRBOTTENS LÄN</t>
        </is>
      </c>
      <c r="E6113" t="inlineStr">
        <is>
          <t>PITEÅ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64238-2023</t>
        </is>
      </c>
      <c r="B6114" s="1" t="n">
        <v>45279</v>
      </c>
      <c r="C6114" s="1" t="n">
        <v>45895</v>
      </c>
      <c r="D6114" t="inlineStr">
        <is>
          <t>NORRBOTTENS LÄN</t>
        </is>
      </c>
      <c r="E6114" t="inlineStr">
        <is>
          <t>GÄLLIVARE</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64240-2023</t>
        </is>
      </c>
      <c r="B6115" s="1" t="n">
        <v>45279</v>
      </c>
      <c r="C6115" s="1" t="n">
        <v>45895</v>
      </c>
      <c r="D6115" t="inlineStr">
        <is>
          <t>NORRBOTTENS LÄN</t>
        </is>
      </c>
      <c r="E6115" t="inlineStr">
        <is>
          <t>LULEÅ</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19563-2025</t>
        </is>
      </c>
      <c r="B6116" s="1" t="n">
        <v>45770</v>
      </c>
      <c r="C6116" s="1" t="n">
        <v>45895</v>
      </c>
      <c r="D6116" t="inlineStr">
        <is>
          <t>NORRBOTTENS LÄN</t>
        </is>
      </c>
      <c r="E6116" t="inlineStr">
        <is>
          <t>ÄLVSBYN</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9225-2025</t>
        </is>
      </c>
      <c r="B6117" s="1" t="n">
        <v>45714.53447916666</v>
      </c>
      <c r="C6117" s="1" t="n">
        <v>45895</v>
      </c>
      <c r="D6117" t="inlineStr">
        <is>
          <t>NORRBOTTENS LÄN</t>
        </is>
      </c>
      <c r="E6117" t="inlineStr">
        <is>
          <t>KALIX</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50925-2024</t>
        </is>
      </c>
      <c r="B6118" s="1" t="n">
        <v>45602</v>
      </c>
      <c r="C6118" s="1" t="n">
        <v>45895</v>
      </c>
      <c r="D6118" t="inlineStr">
        <is>
          <t>NORRBOTTENS LÄN</t>
        </is>
      </c>
      <c r="E6118" t="inlineStr">
        <is>
          <t>ÖVERTORNEÅ</t>
        </is>
      </c>
      <c r="F6118" t="inlineStr">
        <is>
          <t>Sveaskog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41061-2024</t>
        </is>
      </c>
      <c r="B6119" s="1" t="n">
        <v>45558</v>
      </c>
      <c r="C6119" s="1" t="n">
        <v>45895</v>
      </c>
      <c r="D6119" t="inlineStr">
        <is>
          <t>NORRBOTTENS LÄN</t>
        </is>
      </c>
      <c r="E6119" t="inlineStr">
        <is>
          <t>ARJEPLOG</t>
        </is>
      </c>
      <c r="G6119" t="n">
        <v>23.1</v>
      </c>
      <c r="H6119" t="n">
        <v>0</v>
      </c>
      <c r="I6119" t="n">
        <v>0</v>
      </c>
      <c r="J6119" t="n">
        <v>0</v>
      </c>
      <c r="K6119" t="n">
        <v>0</v>
      </c>
      <c r="L6119" t="n">
        <v>0</v>
      </c>
      <c r="M6119" t="n">
        <v>0</v>
      </c>
      <c r="N6119" t="n">
        <v>0</v>
      </c>
      <c r="O6119" t="n">
        <v>0</v>
      </c>
      <c r="P6119" t="n">
        <v>0</v>
      </c>
      <c r="Q6119" t="n">
        <v>0</v>
      </c>
      <c r="R6119" s="2" t="inlineStr"/>
    </row>
    <row r="6120" ht="15" customHeight="1">
      <c r="A6120" t="inlineStr">
        <is>
          <t>A 4891-2025</t>
        </is>
      </c>
      <c r="B6120" s="1" t="n">
        <v>45688</v>
      </c>
      <c r="C6120" s="1" t="n">
        <v>45895</v>
      </c>
      <c r="D6120" t="inlineStr">
        <is>
          <t>NORRBOTTENS LÄN</t>
        </is>
      </c>
      <c r="E6120" t="inlineStr">
        <is>
          <t>GÄLLIVARE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47154-2024</t>
        </is>
      </c>
      <c r="B6121" s="1" t="n">
        <v>45586.5952662037</v>
      </c>
      <c r="C6121" s="1" t="n">
        <v>45895</v>
      </c>
      <c r="D6121" t="inlineStr">
        <is>
          <t>NORRBOTTENS LÄN</t>
        </is>
      </c>
      <c r="E6121" t="inlineStr">
        <is>
          <t>KALIX</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16189-2025</t>
        </is>
      </c>
      <c r="B6122" s="1" t="n">
        <v>45749</v>
      </c>
      <c r="C6122" s="1" t="n">
        <v>45895</v>
      </c>
      <c r="D6122" t="inlineStr">
        <is>
          <t>NORRBOTTENS LÄN</t>
        </is>
      </c>
      <c r="E6122" t="inlineStr">
        <is>
          <t>BODEN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21606-2023</t>
        </is>
      </c>
      <c r="B6123" s="1" t="n">
        <v>45063.62370370371</v>
      </c>
      <c r="C6123" s="1" t="n">
        <v>45895</v>
      </c>
      <c r="D6123" t="inlineStr">
        <is>
          <t>NORRBOTTENS LÄN</t>
        </is>
      </c>
      <c r="E6123" t="inlineStr">
        <is>
          <t>KALIX</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510-2025</t>
        </is>
      </c>
      <c r="B6124" s="1" t="n">
        <v>45664.47244212963</v>
      </c>
      <c r="C6124" s="1" t="n">
        <v>45895</v>
      </c>
      <c r="D6124" t="inlineStr">
        <is>
          <t>NORRBOTTENS LÄN</t>
        </is>
      </c>
      <c r="E6124" t="inlineStr">
        <is>
          <t>PITEÅ</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52355-2022</t>
        </is>
      </c>
      <c r="B6125" s="1" t="n">
        <v>44874</v>
      </c>
      <c r="C6125" s="1" t="n">
        <v>45895</v>
      </c>
      <c r="D6125" t="inlineStr">
        <is>
          <t>NORRBOTTENS LÄN</t>
        </is>
      </c>
      <c r="E6125" t="inlineStr">
        <is>
          <t>PITEÅ</t>
        </is>
      </c>
      <c r="G6125" t="n">
        <v>11.1</v>
      </c>
      <c r="H6125" t="n">
        <v>0</v>
      </c>
      <c r="I6125" t="n">
        <v>0</v>
      </c>
      <c r="J6125" t="n">
        <v>0</v>
      </c>
      <c r="K6125" t="n">
        <v>0</v>
      </c>
      <c r="L6125" t="n">
        <v>0</v>
      </c>
      <c r="M6125" t="n">
        <v>0</v>
      </c>
      <c r="N6125" t="n">
        <v>0</v>
      </c>
      <c r="O6125" t="n">
        <v>0</v>
      </c>
      <c r="P6125" t="n">
        <v>0</v>
      </c>
      <c r="Q6125" t="n">
        <v>0</v>
      </c>
      <c r="R6125" s="2" t="inlineStr"/>
    </row>
    <row r="6126" ht="15" customHeight="1">
      <c r="A6126" t="inlineStr">
        <is>
          <t>A 55319-2023</t>
        </is>
      </c>
      <c r="B6126" s="1" t="n">
        <v>45237</v>
      </c>
      <c r="C6126" s="1" t="n">
        <v>45895</v>
      </c>
      <c r="D6126" t="inlineStr">
        <is>
          <t>NORRBOTTENS LÄN</t>
        </is>
      </c>
      <c r="E6126" t="inlineStr">
        <is>
          <t>PITEÅ</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10885-2023</t>
        </is>
      </c>
      <c r="B6127" s="1" t="n">
        <v>44985</v>
      </c>
      <c r="C6127" s="1" t="n">
        <v>45895</v>
      </c>
      <c r="D6127" t="inlineStr">
        <is>
          <t>NORRBOTTENS LÄN</t>
        </is>
      </c>
      <c r="E6127" t="inlineStr">
        <is>
          <t>LULEÅ</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3704-2024</t>
        </is>
      </c>
      <c r="B6128" s="1" t="n">
        <v>45321</v>
      </c>
      <c r="C6128" s="1" t="n">
        <v>45895</v>
      </c>
      <c r="D6128" t="inlineStr">
        <is>
          <t>NORRBOTTENS LÄN</t>
        </is>
      </c>
      <c r="E6128" t="inlineStr">
        <is>
          <t>ÖVERKALIX</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17417-2023</t>
        </is>
      </c>
      <c r="B6129" s="1" t="n">
        <v>45035</v>
      </c>
      <c r="C6129" s="1" t="n">
        <v>45895</v>
      </c>
      <c r="D6129" t="inlineStr">
        <is>
          <t>NORRBOTTENS LÄN</t>
        </is>
      </c>
      <c r="E6129" t="inlineStr">
        <is>
          <t>BODEN</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29213-2024</t>
        </is>
      </c>
      <c r="B6130" s="1" t="n">
        <v>45482</v>
      </c>
      <c r="C6130" s="1" t="n">
        <v>45895</v>
      </c>
      <c r="D6130" t="inlineStr">
        <is>
          <t>NORRBOTTENS LÄN</t>
        </is>
      </c>
      <c r="E6130" t="inlineStr">
        <is>
          <t>JOKKMOKK</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26299-2024</t>
        </is>
      </c>
      <c r="B6131" s="1" t="n">
        <v>45468.93265046296</v>
      </c>
      <c r="C6131" s="1" t="n">
        <v>45895</v>
      </c>
      <c r="D6131" t="inlineStr">
        <is>
          <t>NORRBOTTENS LÄN</t>
        </is>
      </c>
      <c r="E6131" t="inlineStr">
        <is>
          <t>ÖVERTORNEÅ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48007-2024</t>
        </is>
      </c>
      <c r="B6132" s="1" t="n">
        <v>45589</v>
      </c>
      <c r="C6132" s="1" t="n">
        <v>45895</v>
      </c>
      <c r="D6132" t="inlineStr">
        <is>
          <t>NORRBOTTENS LÄN</t>
        </is>
      </c>
      <c r="E6132" t="inlineStr">
        <is>
          <t>GÄLLIVARE</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56980-2024</t>
        </is>
      </c>
      <c r="B6133" s="1" t="n">
        <v>45628</v>
      </c>
      <c r="C6133" s="1" t="n">
        <v>45895</v>
      </c>
      <c r="D6133" t="inlineStr">
        <is>
          <t>NORRBOTTENS LÄN</t>
        </is>
      </c>
      <c r="E6133" t="inlineStr">
        <is>
          <t>ARVIDSJAUR</t>
        </is>
      </c>
      <c r="F6133" t="inlineStr">
        <is>
          <t>Övriga Aktiebolag</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31902-2023</t>
        </is>
      </c>
      <c r="B6134" s="1" t="n">
        <v>45118.79663194445</v>
      </c>
      <c r="C6134" s="1" t="n">
        <v>45895</v>
      </c>
      <c r="D6134" t="inlineStr">
        <is>
          <t>NORRBOTTENS LÄN</t>
        </is>
      </c>
      <c r="E6134" t="inlineStr">
        <is>
          <t>PAJALA</t>
        </is>
      </c>
      <c r="G6134" t="n">
        <v>21.5</v>
      </c>
      <c r="H6134" t="n">
        <v>0</v>
      </c>
      <c r="I6134" t="n">
        <v>0</v>
      </c>
      <c r="J6134" t="n">
        <v>0</v>
      </c>
      <c r="K6134" t="n">
        <v>0</v>
      </c>
      <c r="L6134" t="n">
        <v>0</v>
      </c>
      <c r="M6134" t="n">
        <v>0</v>
      </c>
      <c r="N6134" t="n">
        <v>0</v>
      </c>
      <c r="O6134" t="n">
        <v>0</v>
      </c>
      <c r="P6134" t="n">
        <v>0</v>
      </c>
      <c r="Q6134" t="n">
        <v>0</v>
      </c>
      <c r="R6134" s="2" t="inlineStr"/>
    </row>
    <row r="6135" ht="15" customHeight="1">
      <c r="A6135" t="inlineStr">
        <is>
          <t>A 56470-2023</t>
        </is>
      </c>
      <c r="B6135" s="1" t="n">
        <v>45237</v>
      </c>
      <c r="C6135" s="1" t="n">
        <v>45895</v>
      </c>
      <c r="D6135" t="inlineStr">
        <is>
          <t>NORRBOTTENS LÄN</t>
        </is>
      </c>
      <c r="E6135" t="inlineStr">
        <is>
          <t>KALIX</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50747-2024</t>
        </is>
      </c>
      <c r="B6136" s="1" t="n">
        <v>45602.42299768519</v>
      </c>
      <c r="C6136" s="1" t="n">
        <v>45895</v>
      </c>
      <c r="D6136" t="inlineStr">
        <is>
          <t>NORRBOTTENS LÄN</t>
        </is>
      </c>
      <c r="E6136" t="inlineStr">
        <is>
          <t>PITEÅ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45728-2024</t>
        </is>
      </c>
      <c r="B6137" s="1" t="n">
        <v>45579.59833333334</v>
      </c>
      <c r="C6137" s="1" t="n">
        <v>45895</v>
      </c>
      <c r="D6137" t="inlineStr">
        <is>
          <t>NORRBOTTENS LÄN</t>
        </is>
      </c>
      <c r="E6137" t="inlineStr">
        <is>
          <t>PITEÅ</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41127-2023</t>
        </is>
      </c>
      <c r="B6138" s="1" t="n">
        <v>45173</v>
      </c>
      <c r="C6138" s="1" t="n">
        <v>45895</v>
      </c>
      <c r="D6138" t="inlineStr">
        <is>
          <t>NORRBOTTENS LÄN</t>
        </is>
      </c>
      <c r="E6138" t="inlineStr">
        <is>
          <t>KIRUNA</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41132-2023</t>
        </is>
      </c>
      <c r="B6139" s="1" t="n">
        <v>45173</v>
      </c>
      <c r="C6139" s="1" t="n">
        <v>45895</v>
      </c>
      <c r="D6139" t="inlineStr">
        <is>
          <t>NORRBOTTENS LÄN</t>
        </is>
      </c>
      <c r="E6139" t="inlineStr">
        <is>
          <t>KALIX</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45732-2024</t>
        </is>
      </c>
      <c r="B6140" s="1" t="n">
        <v>45579.60060185185</v>
      </c>
      <c r="C6140" s="1" t="n">
        <v>45895</v>
      </c>
      <c r="D6140" t="inlineStr">
        <is>
          <t>NORRBOTTENS LÄN</t>
        </is>
      </c>
      <c r="E6140" t="inlineStr">
        <is>
          <t>PITEÅ</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38648-2024</t>
        </is>
      </c>
      <c r="B6141" s="1" t="n">
        <v>45546.87081018519</v>
      </c>
      <c r="C6141" s="1" t="n">
        <v>45895</v>
      </c>
      <c r="D6141" t="inlineStr">
        <is>
          <t>NORRBOTTENS LÄN</t>
        </is>
      </c>
      <c r="E6141" t="inlineStr">
        <is>
          <t>JOKKMOKK</t>
        </is>
      </c>
      <c r="F6141" t="inlineStr">
        <is>
          <t>Sveaskog</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34628-2023</t>
        </is>
      </c>
      <c r="B6142" s="1" t="n">
        <v>45140</v>
      </c>
      <c r="C6142" s="1" t="n">
        <v>45895</v>
      </c>
      <c r="D6142" t="inlineStr">
        <is>
          <t>NORRBOTTENS LÄN</t>
        </is>
      </c>
      <c r="E6142" t="inlineStr">
        <is>
          <t>PITEÅ</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30598-2024</t>
        </is>
      </c>
      <c r="B6143" s="1" t="n">
        <v>45493.43340277778</v>
      </c>
      <c r="C6143" s="1" t="n">
        <v>45895</v>
      </c>
      <c r="D6143" t="inlineStr">
        <is>
          <t>NORRBOTTENS LÄN</t>
        </is>
      </c>
      <c r="E6143" t="inlineStr">
        <is>
          <t>ÖVERKALIX</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40345-2024</t>
        </is>
      </c>
      <c r="B6144" s="1" t="n">
        <v>45555.344375</v>
      </c>
      <c r="C6144" s="1" t="n">
        <v>45895</v>
      </c>
      <c r="D6144" t="inlineStr">
        <is>
          <t>NORRBOTTENS LÄN</t>
        </is>
      </c>
      <c r="E6144" t="inlineStr">
        <is>
          <t>JOKKMOKK</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53052-2024</t>
        </is>
      </c>
      <c r="B6145" s="1" t="n">
        <v>45611.45568287037</v>
      </c>
      <c r="C6145" s="1" t="n">
        <v>45895</v>
      </c>
      <c r="D6145" t="inlineStr">
        <is>
          <t>NORRBOTTENS LÄN</t>
        </is>
      </c>
      <c r="E6145" t="inlineStr">
        <is>
          <t>PAJALA</t>
        </is>
      </c>
      <c r="G6145" t="n">
        <v>9.5</v>
      </c>
      <c r="H6145" t="n">
        <v>0</v>
      </c>
      <c r="I6145" t="n">
        <v>0</v>
      </c>
      <c r="J6145" t="n">
        <v>0</v>
      </c>
      <c r="K6145" t="n">
        <v>0</v>
      </c>
      <c r="L6145" t="n">
        <v>0</v>
      </c>
      <c r="M6145" t="n">
        <v>0</v>
      </c>
      <c r="N6145" t="n">
        <v>0</v>
      </c>
      <c r="O6145" t="n">
        <v>0</v>
      </c>
      <c r="P6145" t="n">
        <v>0</v>
      </c>
      <c r="Q6145" t="n">
        <v>0</v>
      </c>
      <c r="R6145" s="2" t="inlineStr"/>
    </row>
    <row r="6146" ht="15" customHeight="1">
      <c r="A6146" t="inlineStr">
        <is>
          <t>A 58321-2024</t>
        </is>
      </c>
      <c r="B6146" s="1" t="n">
        <v>45632</v>
      </c>
      <c r="C6146" s="1" t="n">
        <v>45895</v>
      </c>
      <c r="D6146" t="inlineStr">
        <is>
          <t>NORRBOTTENS LÄN</t>
        </is>
      </c>
      <c r="E6146" t="inlineStr">
        <is>
          <t>ÄLVSBYN</t>
        </is>
      </c>
      <c r="G6146" t="n">
        <v>22.1</v>
      </c>
      <c r="H6146" t="n">
        <v>0</v>
      </c>
      <c r="I6146" t="n">
        <v>0</v>
      </c>
      <c r="J6146" t="n">
        <v>0</v>
      </c>
      <c r="K6146" t="n">
        <v>0</v>
      </c>
      <c r="L6146" t="n">
        <v>0</v>
      </c>
      <c r="M6146" t="n">
        <v>0</v>
      </c>
      <c r="N6146" t="n">
        <v>0</v>
      </c>
      <c r="O6146" t="n">
        <v>0</v>
      </c>
      <c r="P6146" t="n">
        <v>0</v>
      </c>
      <c r="Q6146" t="n">
        <v>0</v>
      </c>
      <c r="R6146" s="2" t="inlineStr"/>
    </row>
    <row r="6147" ht="15" customHeight="1">
      <c r="A6147" t="inlineStr">
        <is>
          <t>A 40412-2023</t>
        </is>
      </c>
      <c r="B6147" s="1" t="n">
        <v>45169.93895833333</v>
      </c>
      <c r="C6147" s="1" t="n">
        <v>45895</v>
      </c>
      <c r="D6147" t="inlineStr">
        <is>
          <t>NORRBOTTENS LÄN</t>
        </is>
      </c>
      <c r="E6147" t="inlineStr">
        <is>
          <t>PAJALA</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38163-2024</t>
        </is>
      </c>
      <c r="B6148" s="1" t="n">
        <v>45545</v>
      </c>
      <c r="C6148" s="1" t="n">
        <v>45895</v>
      </c>
      <c r="D6148" t="inlineStr">
        <is>
          <t>NORRBOTTENS LÄN</t>
        </is>
      </c>
      <c r="E6148" t="inlineStr">
        <is>
          <t>PAJALA</t>
        </is>
      </c>
      <c r="F6148" t="inlineStr">
        <is>
          <t>Sveaskog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4768-2023</t>
        </is>
      </c>
      <c r="B6149" s="1" t="n">
        <v>44953</v>
      </c>
      <c r="C6149" s="1" t="n">
        <v>45895</v>
      </c>
      <c r="D6149" t="inlineStr">
        <is>
          <t>NORRBOTTENS LÄN</t>
        </is>
      </c>
      <c r="E6149" t="inlineStr">
        <is>
          <t>GÄLLIVARE</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6638-2024</t>
        </is>
      </c>
      <c r="B6150" s="1" t="n">
        <v>45341</v>
      </c>
      <c r="C6150" s="1" t="n">
        <v>45895</v>
      </c>
      <c r="D6150" t="inlineStr">
        <is>
          <t>NORRBOTTENS LÄN</t>
        </is>
      </c>
      <c r="E6150" t="inlineStr">
        <is>
          <t>BODEN</t>
        </is>
      </c>
      <c r="F6150" t="inlineStr">
        <is>
          <t>Övriga statliga verk och myndigheter</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63937-2023</t>
        </is>
      </c>
      <c r="B6151" s="1" t="n">
        <v>45278.60908564815</v>
      </c>
      <c r="C6151" s="1" t="n">
        <v>45895</v>
      </c>
      <c r="D6151" t="inlineStr">
        <is>
          <t>NORRBOTTENS LÄN</t>
        </is>
      </c>
      <c r="E6151" t="inlineStr">
        <is>
          <t>PAJALA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64307-2023</t>
        </is>
      </c>
      <c r="B6152" s="1" t="n">
        <v>45279</v>
      </c>
      <c r="C6152" s="1" t="n">
        <v>45895</v>
      </c>
      <c r="D6152" t="inlineStr">
        <is>
          <t>NORRBOTTENS LÄN</t>
        </is>
      </c>
      <c r="E6152" t="inlineStr">
        <is>
          <t>PITEÅ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27625-2024</t>
        </is>
      </c>
      <c r="B6153" s="1" t="n">
        <v>45474.92802083334</v>
      </c>
      <c r="C6153" s="1" t="n">
        <v>45895</v>
      </c>
      <c r="D6153" t="inlineStr">
        <is>
          <t>NORRBOTTENS LÄN</t>
        </is>
      </c>
      <c r="E6153" t="inlineStr">
        <is>
          <t>PAJALA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9621-2024</t>
        </is>
      </c>
      <c r="B6154" s="1" t="n">
        <v>45361</v>
      </c>
      <c r="C6154" s="1" t="n">
        <v>45895</v>
      </c>
      <c r="D6154" t="inlineStr">
        <is>
          <t>NORRBOTTENS LÄN</t>
        </is>
      </c>
      <c r="E6154" t="inlineStr">
        <is>
          <t>ARVIDSJAUR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24616-2024</t>
        </is>
      </c>
      <c r="B6155" s="1" t="n">
        <v>45460</v>
      </c>
      <c r="C6155" s="1" t="n">
        <v>45895</v>
      </c>
      <c r="D6155" t="inlineStr">
        <is>
          <t>NORRBOTTENS LÄN</t>
        </is>
      </c>
      <c r="E6155" t="inlineStr">
        <is>
          <t>KALIX</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5705-2023</t>
        </is>
      </c>
      <c r="B6156" s="1" t="n">
        <v>44960</v>
      </c>
      <c r="C6156" s="1" t="n">
        <v>45895</v>
      </c>
      <c r="D6156" t="inlineStr">
        <is>
          <t>NORRBOTTENS LÄN</t>
        </is>
      </c>
      <c r="E6156" t="inlineStr">
        <is>
          <t>ÖVERKALIX</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25497-2024</t>
        </is>
      </c>
      <c r="B6157" s="1" t="n">
        <v>45463</v>
      </c>
      <c r="C6157" s="1" t="n">
        <v>45895</v>
      </c>
      <c r="D6157" t="inlineStr">
        <is>
          <t>NORRBOTTENS LÄN</t>
        </is>
      </c>
      <c r="E6157" t="inlineStr">
        <is>
          <t>PAJALA</t>
        </is>
      </c>
      <c r="F6157" t="inlineStr">
        <is>
          <t>Sveaskog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32056-2024</t>
        </is>
      </c>
      <c r="B6158" s="1" t="n">
        <v>45510.9696412037</v>
      </c>
      <c r="C6158" s="1" t="n">
        <v>45895</v>
      </c>
      <c r="D6158" t="inlineStr">
        <is>
          <t>NORRBOTTENS LÄN</t>
        </is>
      </c>
      <c r="E6158" t="inlineStr">
        <is>
          <t>KALIX</t>
        </is>
      </c>
      <c r="F6158" t="inlineStr">
        <is>
          <t>SCA</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2748-2022</t>
        </is>
      </c>
      <c r="B6159" s="1" t="n">
        <v>44580</v>
      </c>
      <c r="C6159" s="1" t="n">
        <v>45895</v>
      </c>
      <c r="D6159" t="inlineStr">
        <is>
          <t>NORRBOTTENS LÄN</t>
        </is>
      </c>
      <c r="E6159" t="inlineStr">
        <is>
          <t>LULEÅ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2925-2023</t>
        </is>
      </c>
      <c r="B6160" s="1" t="n">
        <v>44945</v>
      </c>
      <c r="C6160" s="1" t="n">
        <v>45895</v>
      </c>
      <c r="D6160" t="inlineStr">
        <is>
          <t>NORRBOTTENS LÄN</t>
        </is>
      </c>
      <c r="E6160" t="inlineStr">
        <is>
          <t>PAJALA</t>
        </is>
      </c>
      <c r="G6160" t="n">
        <v>20.2</v>
      </c>
      <c r="H6160" t="n">
        <v>0</v>
      </c>
      <c r="I6160" t="n">
        <v>0</v>
      </c>
      <c r="J6160" t="n">
        <v>0</v>
      </c>
      <c r="K6160" t="n">
        <v>0</v>
      </c>
      <c r="L6160" t="n">
        <v>0</v>
      </c>
      <c r="M6160" t="n">
        <v>0</v>
      </c>
      <c r="N6160" t="n">
        <v>0</v>
      </c>
      <c r="O6160" t="n">
        <v>0</v>
      </c>
      <c r="P6160" t="n">
        <v>0</v>
      </c>
      <c r="Q6160" t="n">
        <v>0</v>
      </c>
      <c r="R6160" s="2" t="inlineStr"/>
    </row>
    <row r="6161" ht="15" customHeight="1">
      <c r="A6161" t="inlineStr">
        <is>
          <t>A 20357-2023</t>
        </is>
      </c>
      <c r="B6161" s="1" t="n">
        <v>45058</v>
      </c>
      <c r="C6161" s="1" t="n">
        <v>45895</v>
      </c>
      <c r="D6161" t="inlineStr">
        <is>
          <t>NORRBOTTENS LÄN</t>
        </is>
      </c>
      <c r="E6161" t="inlineStr">
        <is>
          <t>KALIX</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45417-2024</t>
        </is>
      </c>
      <c r="B6162" s="1" t="n">
        <v>45576</v>
      </c>
      <c r="C6162" s="1" t="n">
        <v>45895</v>
      </c>
      <c r="D6162" t="inlineStr">
        <is>
          <t>NORRBOTTENS LÄN</t>
        </is>
      </c>
      <c r="E6162" t="inlineStr">
        <is>
          <t>ARJEPLOG</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38411-2024</t>
        </is>
      </c>
      <c r="B6163" s="1" t="n">
        <v>45546.34584490741</v>
      </c>
      <c r="C6163" s="1" t="n">
        <v>45895</v>
      </c>
      <c r="D6163" t="inlineStr">
        <is>
          <t>NORRBOTTENS LÄN</t>
        </is>
      </c>
      <c r="E6163" t="inlineStr">
        <is>
          <t>BODEN</t>
        </is>
      </c>
      <c r="F6163" t="inlineStr">
        <is>
          <t>SCA</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37872-2024</t>
        </is>
      </c>
      <c r="B6164" s="1" t="n">
        <v>45544.4128125</v>
      </c>
      <c r="C6164" s="1" t="n">
        <v>45895</v>
      </c>
      <c r="D6164" t="inlineStr">
        <is>
          <t>NORRBOTTENS LÄN</t>
        </is>
      </c>
      <c r="E6164" t="inlineStr">
        <is>
          <t>BODEN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41235-2022</t>
        </is>
      </c>
      <c r="B6165" s="1" t="n">
        <v>44825</v>
      </c>
      <c r="C6165" s="1" t="n">
        <v>45895</v>
      </c>
      <c r="D6165" t="inlineStr">
        <is>
          <t>NORRBOTTENS LÄN</t>
        </is>
      </c>
      <c r="E6165" t="inlineStr">
        <is>
          <t>ARVIDSJAUR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51457-2023</t>
        </is>
      </c>
      <c r="B6166" s="1" t="n">
        <v>45220</v>
      </c>
      <c r="C6166" s="1" t="n">
        <v>45895</v>
      </c>
      <c r="D6166" t="inlineStr">
        <is>
          <t>NORRBOTTENS LÄN</t>
        </is>
      </c>
      <c r="E6166" t="inlineStr">
        <is>
          <t>ÄLVSBYN</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42274-2022</t>
        </is>
      </c>
      <c r="B6167" s="1" t="n">
        <v>44830</v>
      </c>
      <c r="C6167" s="1" t="n">
        <v>45895</v>
      </c>
      <c r="D6167" t="inlineStr">
        <is>
          <t>NORRBOTTENS LÄN</t>
        </is>
      </c>
      <c r="E6167" t="inlineStr">
        <is>
          <t>ARJEPLOG</t>
        </is>
      </c>
      <c r="F6167" t="inlineStr">
        <is>
          <t>SCA</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61932-2024</t>
        </is>
      </c>
      <c r="B6168" s="1" t="n">
        <v>45653.46015046296</v>
      </c>
      <c r="C6168" s="1" t="n">
        <v>45895</v>
      </c>
      <c r="D6168" t="inlineStr">
        <is>
          <t>NORRBOTTENS LÄN</t>
        </is>
      </c>
      <c r="E6168" t="inlineStr">
        <is>
          <t>BODEN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61955-2024</t>
        </is>
      </c>
      <c r="B6169" s="1" t="n">
        <v>45653.51605324074</v>
      </c>
      <c r="C6169" s="1" t="n">
        <v>45895</v>
      </c>
      <c r="D6169" t="inlineStr">
        <is>
          <t>NORRBOTTENS LÄN</t>
        </is>
      </c>
      <c r="E6169" t="inlineStr">
        <is>
          <t>BODEN</t>
        </is>
      </c>
      <c r="G6169" t="n">
        <v>16.8</v>
      </c>
      <c r="H6169" t="n">
        <v>0</v>
      </c>
      <c r="I6169" t="n">
        <v>0</v>
      </c>
      <c r="J6169" t="n">
        <v>0</v>
      </c>
      <c r="K6169" t="n">
        <v>0</v>
      </c>
      <c r="L6169" t="n">
        <v>0</v>
      </c>
      <c r="M6169" t="n">
        <v>0</v>
      </c>
      <c r="N6169" t="n">
        <v>0</v>
      </c>
      <c r="O6169" t="n">
        <v>0</v>
      </c>
      <c r="P6169" t="n">
        <v>0</v>
      </c>
      <c r="Q6169" t="n">
        <v>0</v>
      </c>
      <c r="R6169" s="2" t="inlineStr"/>
    </row>
    <row r="6170" ht="15" customHeight="1">
      <c r="A6170" t="inlineStr">
        <is>
          <t>A 5502-2024</t>
        </is>
      </c>
      <c r="B6170" s="1" t="n">
        <v>45331</v>
      </c>
      <c r="C6170" s="1" t="n">
        <v>45895</v>
      </c>
      <c r="D6170" t="inlineStr">
        <is>
          <t>NORRBOTTENS LÄN</t>
        </is>
      </c>
      <c r="E6170" t="inlineStr">
        <is>
          <t>PITEÅ</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32466-2024</t>
        </is>
      </c>
      <c r="B6171" s="1" t="n">
        <v>45512.96141203704</v>
      </c>
      <c r="C6171" s="1" t="n">
        <v>45895</v>
      </c>
      <c r="D6171" t="inlineStr">
        <is>
          <t>NORRBOTTENS LÄN</t>
        </is>
      </c>
      <c r="E6171" t="inlineStr">
        <is>
          <t>PITEÅ</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41212-2023</t>
        </is>
      </c>
      <c r="B6172" s="1" t="n">
        <v>45174.4406712963</v>
      </c>
      <c r="C6172" s="1" t="n">
        <v>45895</v>
      </c>
      <c r="D6172" t="inlineStr">
        <is>
          <t>NORRBOTTENS LÄN</t>
        </is>
      </c>
      <c r="E6172" t="inlineStr">
        <is>
          <t>BODEN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57836-2022</t>
        </is>
      </c>
      <c r="B6173" s="1" t="n">
        <v>44897</v>
      </c>
      <c r="C6173" s="1" t="n">
        <v>45895</v>
      </c>
      <c r="D6173" t="inlineStr">
        <is>
          <t>NORRBOTTENS LÄN</t>
        </is>
      </c>
      <c r="E6173" t="inlineStr">
        <is>
          <t>ÖVERKALIX</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7037-2025</t>
        </is>
      </c>
      <c r="B6174" s="1" t="n">
        <v>45701.63607638889</v>
      </c>
      <c r="C6174" s="1" t="n">
        <v>45895</v>
      </c>
      <c r="D6174" t="inlineStr">
        <is>
          <t>NORRBOTTENS LÄN</t>
        </is>
      </c>
      <c r="E6174" t="inlineStr">
        <is>
          <t>LULEÅ</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1933-2025</t>
        </is>
      </c>
      <c r="B6175" s="1" t="n">
        <v>45671.86802083333</v>
      </c>
      <c r="C6175" s="1" t="n">
        <v>45895</v>
      </c>
      <c r="D6175" t="inlineStr">
        <is>
          <t>NORRBOTTENS LÄN</t>
        </is>
      </c>
      <c r="E6175" t="inlineStr">
        <is>
          <t>PAJALA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44216-2024</t>
        </is>
      </c>
      <c r="B6176" s="1" t="n">
        <v>45573.37666666666</v>
      </c>
      <c r="C6176" s="1" t="n">
        <v>45895</v>
      </c>
      <c r="D6176" t="inlineStr">
        <is>
          <t>NORRBOTTENS LÄN</t>
        </is>
      </c>
      <c r="E6176" t="inlineStr">
        <is>
          <t>PAJALA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42995-2022</t>
        </is>
      </c>
      <c r="B6177" s="1" t="n">
        <v>44833</v>
      </c>
      <c r="C6177" s="1" t="n">
        <v>45895</v>
      </c>
      <c r="D6177" t="inlineStr">
        <is>
          <t>NORRBOTTENS LÄN</t>
        </is>
      </c>
      <c r="E6177" t="inlineStr">
        <is>
          <t>BODEN</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28720-2024</t>
        </is>
      </c>
      <c r="B6178" s="1" t="n">
        <v>45478.54910879629</v>
      </c>
      <c r="C6178" s="1" t="n">
        <v>45895</v>
      </c>
      <c r="D6178" t="inlineStr">
        <is>
          <t>NORRBOTTENS LÄN</t>
        </is>
      </c>
      <c r="E6178" t="inlineStr">
        <is>
          <t>PITEÅ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52647-2024</t>
        </is>
      </c>
      <c r="B6179" s="1" t="n">
        <v>45610.34540509259</v>
      </c>
      <c r="C6179" s="1" t="n">
        <v>45895</v>
      </c>
      <c r="D6179" t="inlineStr">
        <is>
          <t>NORRBOTTENS LÄN</t>
        </is>
      </c>
      <c r="E6179" t="inlineStr">
        <is>
          <t>ÖVERKALIX</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700-2025</t>
        </is>
      </c>
      <c r="B6180" s="1" t="n">
        <v>45663</v>
      </c>
      <c r="C6180" s="1" t="n">
        <v>45895</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702-2025</t>
        </is>
      </c>
      <c r="B6181" s="1" t="n">
        <v>45663</v>
      </c>
      <c r="C6181" s="1" t="n">
        <v>45895</v>
      </c>
      <c r="D6181" t="inlineStr">
        <is>
          <t>NORRBOTTENS LÄN</t>
        </is>
      </c>
      <c r="E6181" t="inlineStr">
        <is>
          <t>LULEÅ</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15493-2025</t>
        </is>
      </c>
      <c r="B6182" s="1" t="n">
        <v>45747</v>
      </c>
      <c r="C6182" s="1" t="n">
        <v>45895</v>
      </c>
      <c r="D6182" t="inlineStr">
        <is>
          <t>NORRBOTTENS LÄN</t>
        </is>
      </c>
      <c r="E6182" t="inlineStr">
        <is>
          <t>ÖVERKALIX</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36618-2023</t>
        </is>
      </c>
      <c r="B6183" s="1" t="n">
        <v>45152</v>
      </c>
      <c r="C6183" s="1" t="n">
        <v>45895</v>
      </c>
      <c r="D6183" t="inlineStr">
        <is>
          <t>NORRBOTTENS LÄN</t>
        </is>
      </c>
      <c r="E6183" t="inlineStr">
        <is>
          <t>BODEN</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11008-2025</t>
        </is>
      </c>
      <c r="B6184" s="1" t="n">
        <v>45723</v>
      </c>
      <c r="C6184" s="1" t="n">
        <v>45895</v>
      </c>
      <c r="D6184" t="inlineStr">
        <is>
          <t>NORRBOTTENS LÄN</t>
        </is>
      </c>
      <c r="E6184" t="inlineStr">
        <is>
          <t>GÄLLIVARE</t>
        </is>
      </c>
      <c r="G6184" t="n">
        <v>20.6</v>
      </c>
      <c r="H6184" t="n">
        <v>0</v>
      </c>
      <c r="I6184" t="n">
        <v>0</v>
      </c>
      <c r="J6184" t="n">
        <v>0</v>
      </c>
      <c r="K6184" t="n">
        <v>0</v>
      </c>
      <c r="L6184" t="n">
        <v>0</v>
      </c>
      <c r="M6184" t="n">
        <v>0</v>
      </c>
      <c r="N6184" t="n">
        <v>0</v>
      </c>
      <c r="O6184" t="n">
        <v>0</v>
      </c>
      <c r="P6184" t="n">
        <v>0</v>
      </c>
      <c r="Q6184" t="n">
        <v>0</v>
      </c>
      <c r="R6184" s="2" t="inlineStr"/>
    </row>
    <row r="6185" ht="15" customHeight="1">
      <c r="A6185" t="inlineStr">
        <is>
          <t>A 59893-2023</t>
        </is>
      </c>
      <c r="B6185" s="1" t="n">
        <v>45254</v>
      </c>
      <c r="C6185" s="1" t="n">
        <v>45895</v>
      </c>
      <c r="D6185" t="inlineStr">
        <is>
          <t>NORRBOTTENS LÄN</t>
        </is>
      </c>
      <c r="E6185" t="inlineStr">
        <is>
          <t>BODEN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14392-2024</t>
        </is>
      </c>
      <c r="B6186" s="1" t="n">
        <v>45394</v>
      </c>
      <c r="C6186" s="1" t="n">
        <v>45895</v>
      </c>
      <c r="D6186" t="inlineStr">
        <is>
          <t>NORRBOTTENS LÄN</t>
        </is>
      </c>
      <c r="E6186" t="inlineStr">
        <is>
          <t>ÖVERTORNEÅ</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61632-2024</t>
        </is>
      </c>
      <c r="B6187" s="1" t="n">
        <v>45646.6669212963</v>
      </c>
      <c r="C6187" s="1" t="n">
        <v>45895</v>
      </c>
      <c r="D6187" t="inlineStr">
        <is>
          <t>NORRBOTTENS LÄN</t>
        </is>
      </c>
      <c r="E6187" t="inlineStr">
        <is>
          <t>BODEN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55466-2023</t>
        </is>
      </c>
      <c r="B6188" s="1" t="n">
        <v>45238</v>
      </c>
      <c r="C6188" s="1" t="n">
        <v>45895</v>
      </c>
      <c r="D6188" t="inlineStr">
        <is>
          <t>NORRBOTTENS LÄN</t>
        </is>
      </c>
      <c r="E6188" t="inlineStr">
        <is>
          <t>GÄLLIVARE</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43449-2024</t>
        </is>
      </c>
      <c r="B6189" s="1" t="n">
        <v>45568</v>
      </c>
      <c r="C6189" s="1" t="n">
        <v>45895</v>
      </c>
      <c r="D6189" t="inlineStr">
        <is>
          <t>NORRBOTTENS LÄN</t>
        </is>
      </c>
      <c r="E6189" t="inlineStr">
        <is>
          <t>PAJALA</t>
        </is>
      </c>
      <c r="F6189" t="inlineStr">
        <is>
          <t>Sveaskog</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46013-2024</t>
        </is>
      </c>
      <c r="B6190" s="1" t="n">
        <v>45580</v>
      </c>
      <c r="C6190" s="1" t="n">
        <v>45895</v>
      </c>
      <c r="D6190" t="inlineStr">
        <is>
          <t>NORRBOTTENS LÄN</t>
        </is>
      </c>
      <c r="E6190" t="inlineStr">
        <is>
          <t>PAJALA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1301-2025</t>
        </is>
      </c>
      <c r="B6191" s="1" t="n">
        <v>45667</v>
      </c>
      <c r="C6191" s="1" t="n">
        <v>45895</v>
      </c>
      <c r="D6191" t="inlineStr">
        <is>
          <t>NORRBOTTENS LÄN</t>
        </is>
      </c>
      <c r="E6191" t="inlineStr">
        <is>
          <t>ÖVERTORNEÅ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1310-2025</t>
        </is>
      </c>
      <c r="B6192" s="1" t="n">
        <v>45667.55340277778</v>
      </c>
      <c r="C6192" s="1" t="n">
        <v>45895</v>
      </c>
      <c r="D6192" t="inlineStr">
        <is>
          <t>NORRBOTTENS LÄN</t>
        </is>
      </c>
      <c r="E6192" t="inlineStr">
        <is>
          <t>ÖVERKALIX</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3207-2024</t>
        </is>
      </c>
      <c r="B6193" s="1" t="n">
        <v>45316</v>
      </c>
      <c r="C6193" s="1" t="n">
        <v>45895</v>
      </c>
      <c r="D6193" t="inlineStr">
        <is>
          <t>NORRBOTTENS LÄN</t>
        </is>
      </c>
      <c r="E6193" t="inlineStr">
        <is>
          <t>ARVIDSJAUR</t>
        </is>
      </c>
      <c r="F6193" t="inlineStr">
        <is>
          <t>Allmännings- och besparingsskogar</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21343-2024</t>
        </is>
      </c>
      <c r="B6194" s="1" t="n">
        <v>45440.92850694444</v>
      </c>
      <c r="C6194" s="1" t="n">
        <v>45895</v>
      </c>
      <c r="D6194" t="inlineStr">
        <is>
          <t>NORRBOTTENS LÄN</t>
        </is>
      </c>
      <c r="E6194" t="inlineStr">
        <is>
          <t>PITEÅ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1017-2023</t>
        </is>
      </c>
      <c r="B6195" s="1" t="n">
        <v>44935</v>
      </c>
      <c r="C6195" s="1" t="n">
        <v>45895</v>
      </c>
      <c r="D6195" t="inlineStr">
        <is>
          <t>NORRBOTTENS LÄN</t>
        </is>
      </c>
      <c r="E6195" t="inlineStr">
        <is>
          <t>BODEN</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31164-2021</t>
        </is>
      </c>
      <c r="B6196" s="1" t="n">
        <v>44368</v>
      </c>
      <c r="C6196" s="1" t="n">
        <v>45895</v>
      </c>
      <c r="D6196" t="inlineStr">
        <is>
          <t>NORRBOTTENS LÄN</t>
        </is>
      </c>
      <c r="E6196" t="inlineStr">
        <is>
          <t>PITEÅ</t>
        </is>
      </c>
      <c r="F6196" t="inlineStr">
        <is>
          <t>Sveaskog</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37781-2024</t>
        </is>
      </c>
      <c r="B6197" s="1" t="n">
        <v>45542</v>
      </c>
      <c r="C6197" s="1" t="n">
        <v>45895</v>
      </c>
      <c r="D6197" t="inlineStr">
        <is>
          <t>NORRBOTTENS LÄN</t>
        </is>
      </c>
      <c r="E6197" t="inlineStr">
        <is>
          <t>KALIX</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460-2024</t>
        </is>
      </c>
      <c r="B6198" s="1" t="n">
        <v>45297.46777777778</v>
      </c>
      <c r="C6198" s="1" t="n">
        <v>45895</v>
      </c>
      <c r="D6198" t="inlineStr">
        <is>
          <t>NORRBOTTENS LÄN</t>
        </is>
      </c>
      <c r="E6198" t="inlineStr">
        <is>
          <t>PAJALA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51684-2024</t>
        </is>
      </c>
      <c r="B6199" s="1" t="n">
        <v>45607</v>
      </c>
      <c r="C6199" s="1" t="n">
        <v>45895</v>
      </c>
      <c r="D6199" t="inlineStr">
        <is>
          <t>NORRBOTTENS LÄN</t>
        </is>
      </c>
      <c r="E6199" t="inlineStr">
        <is>
          <t>ÄLVSBYN</t>
        </is>
      </c>
      <c r="F6199" t="inlineStr">
        <is>
          <t>Sveaskog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62949-2023</t>
        </is>
      </c>
      <c r="B6200" s="1" t="n">
        <v>45272.54651620371</v>
      </c>
      <c r="C6200" s="1" t="n">
        <v>45895</v>
      </c>
      <c r="D6200" t="inlineStr">
        <is>
          <t>NORRBOTTENS LÄN</t>
        </is>
      </c>
      <c r="E6200" t="inlineStr">
        <is>
          <t>GÄLLIVARE</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2659-2025</t>
        </is>
      </c>
      <c r="B6201" s="1" t="n">
        <v>45676.8134375</v>
      </c>
      <c r="C6201" s="1" t="n">
        <v>45895</v>
      </c>
      <c r="D6201" t="inlineStr">
        <is>
          <t>NORRBOTTENS LÄN</t>
        </is>
      </c>
      <c r="E6201" t="inlineStr">
        <is>
          <t>LULEÅ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3836-2025</t>
        </is>
      </c>
      <c r="B6202" s="1" t="n">
        <v>45682.50773148148</v>
      </c>
      <c r="C6202" s="1" t="n">
        <v>45895</v>
      </c>
      <c r="D6202" t="inlineStr">
        <is>
          <t>NORRBOTTENS LÄN</t>
        </is>
      </c>
      <c r="E6202" t="inlineStr">
        <is>
          <t>PAJALA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8125-2025</t>
        </is>
      </c>
      <c r="B6203" s="1" t="n">
        <v>45707</v>
      </c>
      <c r="C6203" s="1" t="n">
        <v>45895</v>
      </c>
      <c r="D6203" t="inlineStr">
        <is>
          <t>NORRBOTTENS LÄN</t>
        </is>
      </c>
      <c r="E6203" t="inlineStr">
        <is>
          <t>ÖVERTORNEÅ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54755-2024</t>
        </is>
      </c>
      <c r="B6204" s="1" t="n">
        <v>45618</v>
      </c>
      <c r="C6204" s="1" t="n">
        <v>45895</v>
      </c>
      <c r="D6204" t="inlineStr">
        <is>
          <t>NORRBOTTENS LÄN</t>
        </is>
      </c>
      <c r="E6204" t="inlineStr">
        <is>
          <t>PITEÅ</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54761-2024</t>
        </is>
      </c>
      <c r="B6205" s="1" t="n">
        <v>45618.46251157407</v>
      </c>
      <c r="C6205" s="1" t="n">
        <v>45895</v>
      </c>
      <c r="D6205" t="inlineStr">
        <is>
          <t>NORRBOTTENS LÄN</t>
        </is>
      </c>
      <c r="E6205" t="inlineStr">
        <is>
          <t>PITEÅ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51451-2023</t>
        </is>
      </c>
      <c r="B6206" s="1" t="n">
        <v>45215</v>
      </c>
      <c r="C6206" s="1" t="n">
        <v>45895</v>
      </c>
      <c r="D6206" t="inlineStr">
        <is>
          <t>NORRBOTTENS LÄN</t>
        </is>
      </c>
      <c r="E6206" t="inlineStr">
        <is>
          <t>GÄLLIVARE</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4288-2025</t>
        </is>
      </c>
      <c r="B6207" s="1" t="n">
        <v>45685.65416666667</v>
      </c>
      <c r="C6207" s="1" t="n">
        <v>45895</v>
      </c>
      <c r="D6207" t="inlineStr">
        <is>
          <t>NORRBOTTENS LÄN</t>
        </is>
      </c>
      <c r="E6207" t="inlineStr">
        <is>
          <t>KALIX</t>
        </is>
      </c>
      <c r="G6207" t="n">
        <v>15.5</v>
      </c>
      <c r="H6207" t="n">
        <v>0</v>
      </c>
      <c r="I6207" t="n">
        <v>0</v>
      </c>
      <c r="J6207" t="n">
        <v>0</v>
      </c>
      <c r="K6207" t="n">
        <v>0</v>
      </c>
      <c r="L6207" t="n">
        <v>0</v>
      </c>
      <c r="M6207" t="n">
        <v>0</v>
      </c>
      <c r="N6207" t="n">
        <v>0</v>
      </c>
      <c r="O6207" t="n">
        <v>0</v>
      </c>
      <c r="P6207" t="n">
        <v>0</v>
      </c>
      <c r="Q6207" t="n">
        <v>0</v>
      </c>
      <c r="R6207" s="2" t="inlineStr"/>
    </row>
    <row r="6208" ht="15" customHeight="1">
      <c r="A6208" t="inlineStr">
        <is>
          <t>A 8672-2025</t>
        </is>
      </c>
      <c r="B6208" s="1" t="n">
        <v>45712</v>
      </c>
      <c r="C6208" s="1" t="n">
        <v>45895</v>
      </c>
      <c r="D6208" t="inlineStr">
        <is>
          <t>NORRBOTTENS LÄN</t>
        </is>
      </c>
      <c r="E6208" t="inlineStr">
        <is>
          <t>ÖVERKALIX</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35995-2023</t>
        </is>
      </c>
      <c r="B6209" s="1" t="n">
        <v>45149.3140162037</v>
      </c>
      <c r="C6209" s="1" t="n">
        <v>45895</v>
      </c>
      <c r="D6209" t="inlineStr">
        <is>
          <t>NORRBOTTENS LÄN</t>
        </is>
      </c>
      <c r="E6209" t="inlineStr">
        <is>
          <t>ÖVERTORNEÅ</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28387-2024</t>
        </is>
      </c>
      <c r="B6210" s="1" t="n">
        <v>45477.59898148148</v>
      </c>
      <c r="C6210" s="1" t="n">
        <v>45895</v>
      </c>
      <c r="D6210" t="inlineStr">
        <is>
          <t>NORRBOTTENS LÄN</t>
        </is>
      </c>
      <c r="E6210" t="inlineStr">
        <is>
          <t>PAJALA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60390-2023</t>
        </is>
      </c>
      <c r="B6211" s="1" t="n">
        <v>45259.43483796297</v>
      </c>
      <c r="C6211" s="1" t="n">
        <v>45895</v>
      </c>
      <c r="D6211" t="inlineStr">
        <is>
          <t>NORRBOTTENS LÄN</t>
        </is>
      </c>
      <c r="E6211" t="inlineStr">
        <is>
          <t>JOKKMOKK</t>
        </is>
      </c>
      <c r="F6211" t="inlineStr">
        <is>
          <t>Sveaskog</t>
        </is>
      </c>
      <c r="G6211" t="n">
        <v>10.9</v>
      </c>
      <c r="H6211" t="n">
        <v>0</v>
      </c>
      <c r="I6211" t="n">
        <v>0</v>
      </c>
      <c r="J6211" t="n">
        <v>0</v>
      </c>
      <c r="K6211" t="n">
        <v>0</v>
      </c>
      <c r="L6211" t="n">
        <v>0</v>
      </c>
      <c r="M6211" t="n">
        <v>0</v>
      </c>
      <c r="N6211" t="n">
        <v>0</v>
      </c>
      <c r="O6211" t="n">
        <v>0</v>
      </c>
      <c r="P6211" t="n">
        <v>0</v>
      </c>
      <c r="Q6211" t="n">
        <v>0</v>
      </c>
      <c r="R6211" s="2" t="inlineStr"/>
    </row>
    <row r="6212" ht="15" customHeight="1">
      <c r="A6212" t="inlineStr">
        <is>
          <t>A 454-2024</t>
        </is>
      </c>
      <c r="B6212" s="1" t="n">
        <v>45296</v>
      </c>
      <c r="C6212" s="1" t="n">
        <v>45895</v>
      </c>
      <c r="D6212" t="inlineStr">
        <is>
          <t>NORRBOTTENS LÄN</t>
        </is>
      </c>
      <c r="E6212" t="inlineStr">
        <is>
          <t>LULEÅ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22017-2024</t>
        </is>
      </c>
      <c r="B6213" s="1" t="n">
        <v>45443</v>
      </c>
      <c r="C6213" s="1" t="n">
        <v>45895</v>
      </c>
      <c r="D6213" t="inlineStr">
        <is>
          <t>NORRBOTTENS LÄN</t>
        </is>
      </c>
      <c r="E6213" t="inlineStr">
        <is>
          <t>LULEÅ</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56073-2022</t>
        </is>
      </c>
      <c r="B6214" s="1" t="n">
        <v>44889</v>
      </c>
      <c r="C6214" s="1" t="n">
        <v>45895</v>
      </c>
      <c r="D6214" t="inlineStr">
        <is>
          <t>NORRBOTTENS LÄN</t>
        </is>
      </c>
      <c r="E6214" t="inlineStr">
        <is>
          <t>PITEÅ</t>
        </is>
      </c>
      <c r="F6214" t="inlineStr">
        <is>
          <t>Sveaskog</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10730-2024</t>
        </is>
      </c>
      <c r="B6215" s="1" t="n">
        <v>45369.48284722222</v>
      </c>
      <c r="C6215" s="1" t="n">
        <v>45895</v>
      </c>
      <c r="D6215" t="inlineStr">
        <is>
          <t>NORRBOTTENS LÄN</t>
        </is>
      </c>
      <c r="E6215" t="inlineStr">
        <is>
          <t>BODEN</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3128-2023</t>
        </is>
      </c>
      <c r="B6216" s="1" t="n">
        <v>44946</v>
      </c>
      <c r="C6216" s="1" t="n">
        <v>45895</v>
      </c>
      <c r="D6216" t="inlineStr">
        <is>
          <t>NORRBOTTENS LÄN</t>
        </is>
      </c>
      <c r="E6216" t="inlineStr">
        <is>
          <t>LULEÅ</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30914-2024</t>
        </is>
      </c>
      <c r="B6217" s="1" t="n">
        <v>45498</v>
      </c>
      <c r="C6217" s="1" t="n">
        <v>45895</v>
      </c>
      <c r="D6217" t="inlineStr">
        <is>
          <t>NORRBOTTENS LÄN</t>
        </is>
      </c>
      <c r="E6217" t="inlineStr">
        <is>
          <t>PAJALA</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45949-2024</t>
        </is>
      </c>
      <c r="B6218" s="1" t="n">
        <v>45580</v>
      </c>
      <c r="C6218" s="1" t="n">
        <v>45895</v>
      </c>
      <c r="D6218" t="inlineStr">
        <is>
          <t>NORRBOTTENS LÄN</t>
        </is>
      </c>
      <c r="E6218" t="inlineStr">
        <is>
          <t>ÄLVSBYN</t>
        </is>
      </c>
      <c r="G6218" t="n">
        <v>15.2</v>
      </c>
      <c r="H6218" t="n">
        <v>0</v>
      </c>
      <c r="I6218" t="n">
        <v>0</v>
      </c>
      <c r="J6218" t="n">
        <v>0</v>
      </c>
      <c r="K6218" t="n">
        <v>0</v>
      </c>
      <c r="L6218" t="n">
        <v>0</v>
      </c>
      <c r="M6218" t="n">
        <v>0</v>
      </c>
      <c r="N6218" t="n">
        <v>0</v>
      </c>
      <c r="O6218" t="n">
        <v>0</v>
      </c>
      <c r="P6218" t="n">
        <v>0</v>
      </c>
      <c r="Q6218" t="n">
        <v>0</v>
      </c>
      <c r="R6218" s="2" t="inlineStr"/>
    </row>
    <row r="6219" ht="15" customHeight="1">
      <c r="A6219" t="inlineStr">
        <is>
          <t>A 56449-2022</t>
        </is>
      </c>
      <c r="B6219" s="1" t="n">
        <v>44892</v>
      </c>
      <c r="C6219" s="1" t="n">
        <v>45895</v>
      </c>
      <c r="D6219" t="inlineStr">
        <is>
          <t>NORRBOTTENS LÄN</t>
        </is>
      </c>
      <c r="E6219" t="inlineStr">
        <is>
          <t>PAJALA</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57823-2022</t>
        </is>
      </c>
      <c r="B6220" s="1" t="n">
        <v>44897</v>
      </c>
      <c r="C6220" s="1" t="n">
        <v>45895</v>
      </c>
      <c r="D6220" t="inlineStr">
        <is>
          <t>NORRBOTTENS LÄN</t>
        </is>
      </c>
      <c r="E6220" t="inlineStr">
        <is>
          <t>LULEÅ</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57825-2022</t>
        </is>
      </c>
      <c r="B6221" s="1" t="n">
        <v>44897</v>
      </c>
      <c r="C6221" s="1" t="n">
        <v>45895</v>
      </c>
      <c r="D6221" t="inlineStr">
        <is>
          <t>NORRBOTTENS LÄN</t>
        </is>
      </c>
      <c r="E6221" t="inlineStr">
        <is>
          <t>LULEÅ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16971-2024</t>
        </is>
      </c>
      <c r="B6222" s="1" t="n">
        <v>45411.96709490741</v>
      </c>
      <c r="C6222" s="1" t="n">
        <v>45895</v>
      </c>
      <c r="D6222" t="inlineStr">
        <is>
          <t>NORRBOTTENS LÄN</t>
        </is>
      </c>
      <c r="E6222" t="inlineStr">
        <is>
          <t>KALIX</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5184-2025</t>
        </is>
      </c>
      <c r="B6223" s="1" t="n">
        <v>45691.64054398148</v>
      </c>
      <c r="C6223" s="1" t="n">
        <v>45895</v>
      </c>
      <c r="D6223" t="inlineStr">
        <is>
          <t>NORRBOTTENS LÄN</t>
        </is>
      </c>
      <c r="E6223" t="inlineStr">
        <is>
          <t>PITEÅ</t>
        </is>
      </c>
      <c r="F6223" t="inlineStr">
        <is>
          <t>Övriga Aktiebolag</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25697-2024</t>
        </is>
      </c>
      <c r="B6224" s="1" t="n">
        <v>45463</v>
      </c>
      <c r="C6224" s="1" t="n">
        <v>45895</v>
      </c>
      <c r="D6224" t="inlineStr">
        <is>
          <t>NORRBOTTENS LÄN</t>
        </is>
      </c>
      <c r="E6224" t="inlineStr">
        <is>
          <t>ÖVERKALIX</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41195-2024</t>
        </is>
      </c>
      <c r="B6225" s="1" t="n">
        <v>45559.51078703703</v>
      </c>
      <c r="C6225" s="1" t="n">
        <v>45895</v>
      </c>
      <c r="D6225" t="inlineStr">
        <is>
          <t>NORRBOTTENS LÄN</t>
        </is>
      </c>
      <c r="E6225" t="inlineStr">
        <is>
          <t>PITEÅ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25239-2023</t>
        </is>
      </c>
      <c r="B6226" s="1" t="n">
        <v>45079</v>
      </c>
      <c r="C6226" s="1" t="n">
        <v>45895</v>
      </c>
      <c r="D6226" t="inlineStr">
        <is>
          <t>NORRBOTTENS LÄN</t>
        </is>
      </c>
      <c r="E6226" t="inlineStr">
        <is>
          <t>ARJEPLOG</t>
        </is>
      </c>
      <c r="F6226" t="inlineStr">
        <is>
          <t>Övriga statliga verk och myndigheter</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38603-2023</t>
        </is>
      </c>
      <c r="B6227" s="1" t="n">
        <v>45162.64967592592</v>
      </c>
      <c r="C6227" s="1" t="n">
        <v>45895</v>
      </c>
      <c r="D6227" t="inlineStr">
        <is>
          <t>NORRBOTTENS LÄN</t>
        </is>
      </c>
      <c r="E6227" t="inlineStr">
        <is>
          <t>KALIX</t>
        </is>
      </c>
      <c r="F6227" t="inlineStr">
        <is>
          <t>Sveaskog</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6917-2023</t>
        </is>
      </c>
      <c r="B6228" s="1" t="n">
        <v>44964</v>
      </c>
      <c r="C6228" s="1" t="n">
        <v>45895</v>
      </c>
      <c r="D6228" t="inlineStr">
        <is>
          <t>NORRBOTTENS LÄN</t>
        </is>
      </c>
      <c r="E6228" t="inlineStr">
        <is>
          <t>ÖVERKALIX</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43751-2022</t>
        </is>
      </c>
      <c r="B6229" s="1" t="n">
        <v>44837</v>
      </c>
      <c r="C6229" s="1" t="n">
        <v>45895</v>
      </c>
      <c r="D6229" t="inlineStr">
        <is>
          <t>NORRBOTTENS LÄN</t>
        </is>
      </c>
      <c r="E6229" t="inlineStr">
        <is>
          <t>PAJALA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7186-2023</t>
        </is>
      </c>
      <c r="B6230" s="1" t="n">
        <v>44970</v>
      </c>
      <c r="C6230" s="1" t="n">
        <v>45895</v>
      </c>
      <c r="D6230" t="inlineStr">
        <is>
          <t>NORRBOTTENS LÄN</t>
        </is>
      </c>
      <c r="E6230" t="inlineStr">
        <is>
          <t>KALIX</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59920-2024</t>
        </is>
      </c>
      <c r="B6231" s="1" t="n">
        <v>45641.89890046296</v>
      </c>
      <c r="C6231" s="1" t="n">
        <v>45895</v>
      </c>
      <c r="D6231" t="inlineStr">
        <is>
          <t>NORRBOTTENS LÄN</t>
        </is>
      </c>
      <c r="E6231" t="inlineStr">
        <is>
          <t>PITEÅ</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12447-2025</t>
        </is>
      </c>
      <c r="B6232" s="1" t="n">
        <v>45730.48715277778</v>
      </c>
      <c r="C6232" s="1" t="n">
        <v>45895</v>
      </c>
      <c r="D6232" t="inlineStr">
        <is>
          <t>NORRBOTTENS LÄN</t>
        </is>
      </c>
      <c r="E6232" t="inlineStr">
        <is>
          <t>ARJEPLOG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55083-2024</t>
        </is>
      </c>
      <c r="B6233" s="1" t="n">
        <v>45621.42998842592</v>
      </c>
      <c r="C6233" s="1" t="n">
        <v>45895</v>
      </c>
      <c r="D6233" t="inlineStr">
        <is>
          <t>NORRBOTTENS LÄN</t>
        </is>
      </c>
      <c r="E6233" t="inlineStr">
        <is>
          <t>LULEÅ</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6245-2023</t>
        </is>
      </c>
      <c r="B6234" s="1" t="n">
        <v>44964.9444212963</v>
      </c>
      <c r="C6234" s="1" t="n">
        <v>45895</v>
      </c>
      <c r="D6234" t="inlineStr">
        <is>
          <t>NORRBOTTENS LÄN</t>
        </is>
      </c>
      <c r="E6234" t="inlineStr">
        <is>
          <t>KALIX</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63875-2023</t>
        </is>
      </c>
      <c r="B6235" s="1" t="n">
        <v>45278.52131944444</v>
      </c>
      <c r="C6235" s="1" t="n">
        <v>45895</v>
      </c>
      <c r="D6235" t="inlineStr">
        <is>
          <t>NORRBOTTENS LÄN</t>
        </is>
      </c>
      <c r="E6235" t="inlineStr">
        <is>
          <t>PITEÅ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57331-2022</t>
        </is>
      </c>
      <c r="B6236" s="1" t="n">
        <v>44889</v>
      </c>
      <c r="C6236" s="1" t="n">
        <v>45895</v>
      </c>
      <c r="D6236" t="inlineStr">
        <is>
          <t>NORRBOTTENS LÄN</t>
        </is>
      </c>
      <c r="E6236" t="inlineStr">
        <is>
          <t>PAJALA</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25342-2024</t>
        </is>
      </c>
      <c r="B6237" s="1" t="n">
        <v>45462</v>
      </c>
      <c r="C6237" s="1" t="n">
        <v>45895</v>
      </c>
      <c r="D6237" t="inlineStr">
        <is>
          <t>NORRBOTTENS LÄN</t>
        </is>
      </c>
      <c r="E6237" t="inlineStr">
        <is>
          <t>PITEÅ</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12881-2024</t>
        </is>
      </c>
      <c r="B6238" s="1" t="n">
        <v>45385.33399305555</v>
      </c>
      <c r="C6238" s="1" t="n">
        <v>45895</v>
      </c>
      <c r="D6238" t="inlineStr">
        <is>
          <t>NORRBOTTENS LÄN</t>
        </is>
      </c>
      <c r="E6238" t="inlineStr">
        <is>
          <t>PAJALA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2840-2025</t>
        </is>
      </c>
      <c r="B6239" s="1" t="n">
        <v>45677.64444444444</v>
      </c>
      <c r="C6239" s="1" t="n">
        <v>45895</v>
      </c>
      <c r="D6239" t="inlineStr">
        <is>
          <t>NORRBOTTENS LÄN</t>
        </is>
      </c>
      <c r="E6239" t="inlineStr">
        <is>
          <t>PAJALA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44403-2024</t>
        </is>
      </c>
      <c r="B6240" s="1" t="n">
        <v>45573.71189814815</v>
      </c>
      <c r="C6240" s="1" t="n">
        <v>45895</v>
      </c>
      <c r="D6240" t="inlineStr">
        <is>
          <t>NORRBOTTENS LÄN</t>
        </is>
      </c>
      <c r="E6240" t="inlineStr">
        <is>
          <t>PITEÅ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22911-2024</t>
        </is>
      </c>
      <c r="B6241" s="1" t="n">
        <v>45448</v>
      </c>
      <c r="C6241" s="1" t="n">
        <v>45895</v>
      </c>
      <c r="D6241" t="inlineStr">
        <is>
          <t>NORRBOTTENS LÄN</t>
        </is>
      </c>
      <c r="E6241" t="inlineStr">
        <is>
          <t>ÖVERTORNEÅ</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14246-2025</t>
        </is>
      </c>
      <c r="B6242" s="1" t="n">
        <v>45740</v>
      </c>
      <c r="C6242" s="1" t="n">
        <v>45895</v>
      </c>
      <c r="D6242" t="inlineStr">
        <is>
          <t>NORRBOTTENS LÄN</t>
        </is>
      </c>
      <c r="E6242" t="inlineStr">
        <is>
          <t>PAJALA</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40155-2024</t>
        </is>
      </c>
      <c r="B6243" s="1" t="n">
        <v>45554</v>
      </c>
      <c r="C6243" s="1" t="n">
        <v>45895</v>
      </c>
      <c r="D6243" t="inlineStr">
        <is>
          <t>NORRBOTTENS LÄN</t>
        </is>
      </c>
      <c r="E6243" t="inlineStr">
        <is>
          <t>ÖVERKALIX</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17068-2024</t>
        </is>
      </c>
      <c r="B6244" s="1" t="n">
        <v>45412</v>
      </c>
      <c r="C6244" s="1" t="n">
        <v>45895</v>
      </c>
      <c r="D6244" t="inlineStr">
        <is>
          <t>NORRBOTTENS LÄN</t>
        </is>
      </c>
      <c r="E6244" t="inlineStr">
        <is>
          <t>ÖVERTORNEÅ</t>
        </is>
      </c>
      <c r="F6244" t="inlineStr">
        <is>
          <t>Naturvårdsverket</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64571-2023</t>
        </is>
      </c>
      <c r="B6245" s="1" t="n">
        <v>45281.434375</v>
      </c>
      <c r="C6245" s="1" t="n">
        <v>45895</v>
      </c>
      <c r="D6245" t="inlineStr">
        <is>
          <t>NORRBOTTENS LÄN</t>
        </is>
      </c>
      <c r="E6245" t="inlineStr">
        <is>
          <t>PITEÅ</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50553-2024</t>
        </is>
      </c>
      <c r="B6246" s="1" t="n">
        <v>45601.59490740741</v>
      </c>
      <c r="C6246" s="1" t="n">
        <v>45895</v>
      </c>
      <c r="D6246" t="inlineStr">
        <is>
          <t>NORRBOTTENS LÄN</t>
        </is>
      </c>
      <c r="E6246" t="inlineStr">
        <is>
          <t>GÄLLIVARE</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50640-2024</t>
        </is>
      </c>
      <c r="B6247" s="1" t="n">
        <v>45601.67827546296</v>
      </c>
      <c r="C6247" s="1" t="n">
        <v>45895</v>
      </c>
      <c r="D6247" t="inlineStr">
        <is>
          <t>NORRBOTTENS LÄN</t>
        </is>
      </c>
      <c r="E6247" t="inlineStr">
        <is>
          <t>LULEÅ</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51048-2024</t>
        </is>
      </c>
      <c r="B6248" s="1" t="n">
        <v>45603.44631944445</v>
      </c>
      <c r="C6248" s="1" t="n">
        <v>45895</v>
      </c>
      <c r="D6248" t="inlineStr">
        <is>
          <t>NORRBOTTENS LÄN</t>
        </is>
      </c>
      <c r="E6248" t="inlineStr">
        <is>
          <t>PAJALA</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30313-2024</t>
        </is>
      </c>
      <c r="B6249" s="1" t="n">
        <v>45490</v>
      </c>
      <c r="C6249" s="1" t="n">
        <v>45895</v>
      </c>
      <c r="D6249" t="inlineStr">
        <is>
          <t>NORRBOTTENS LÄN</t>
        </is>
      </c>
      <c r="E6249" t="inlineStr">
        <is>
          <t>JOKKMOKK</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57908-2024</t>
        </is>
      </c>
      <c r="B6250" s="1" t="n">
        <v>45631.49189814815</v>
      </c>
      <c r="C6250" s="1" t="n">
        <v>45895</v>
      </c>
      <c r="D6250" t="inlineStr">
        <is>
          <t>NORRBOTTENS LÄN</t>
        </is>
      </c>
      <c r="E6250" t="inlineStr">
        <is>
          <t>PITEÅ</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52882-2023</t>
        </is>
      </c>
      <c r="B6251" s="1" t="n">
        <v>45222</v>
      </c>
      <c r="C6251" s="1" t="n">
        <v>45895</v>
      </c>
      <c r="D6251" t="inlineStr">
        <is>
          <t>NORRBOTTENS LÄN</t>
        </is>
      </c>
      <c r="E6251" t="inlineStr">
        <is>
          <t>JOKKMOKK</t>
        </is>
      </c>
      <c r="G6251" t="n">
        <v>56.1</v>
      </c>
      <c r="H6251" t="n">
        <v>0</v>
      </c>
      <c r="I6251" t="n">
        <v>0</v>
      </c>
      <c r="J6251" t="n">
        <v>0</v>
      </c>
      <c r="K6251" t="n">
        <v>0</v>
      </c>
      <c r="L6251" t="n">
        <v>0</v>
      </c>
      <c r="M6251" t="n">
        <v>0</v>
      </c>
      <c r="N6251" t="n">
        <v>0</v>
      </c>
      <c r="O6251" t="n">
        <v>0</v>
      </c>
      <c r="P6251" t="n">
        <v>0</v>
      </c>
      <c r="Q6251" t="n">
        <v>0</v>
      </c>
      <c r="R6251" s="2" t="inlineStr"/>
    </row>
    <row r="6252" ht="15" customHeight="1">
      <c r="A6252" t="inlineStr">
        <is>
          <t>A 59557-2024</t>
        </is>
      </c>
      <c r="B6252" s="1" t="n">
        <v>45638.63635416667</v>
      </c>
      <c r="C6252" s="1" t="n">
        <v>45895</v>
      </c>
      <c r="D6252" t="inlineStr">
        <is>
          <t>NORRBOTTENS LÄN</t>
        </is>
      </c>
      <c r="E6252" t="inlineStr">
        <is>
          <t>KALIX</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12164-2024</t>
        </is>
      </c>
      <c r="B6253" s="1" t="n">
        <v>45377</v>
      </c>
      <c r="C6253" s="1" t="n">
        <v>45895</v>
      </c>
      <c r="D6253" t="inlineStr">
        <is>
          <t>NORRBOTTENS LÄN</t>
        </is>
      </c>
      <c r="E6253" t="inlineStr">
        <is>
          <t>ÖVERTORNEÅ</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47240-2024</t>
        </is>
      </c>
      <c r="B6254" s="1" t="n">
        <v>45586.69385416667</v>
      </c>
      <c r="C6254" s="1" t="n">
        <v>45895</v>
      </c>
      <c r="D6254" t="inlineStr">
        <is>
          <t>NORRBOTTENS LÄN</t>
        </is>
      </c>
      <c r="E6254" t="inlineStr">
        <is>
          <t>HAPARANDA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56837-2023</t>
        </is>
      </c>
      <c r="B6255" s="1" t="n">
        <v>45244</v>
      </c>
      <c r="C6255" s="1" t="n">
        <v>45895</v>
      </c>
      <c r="D6255" t="inlineStr">
        <is>
          <t>NORRBOTTENS LÄN</t>
        </is>
      </c>
      <c r="E6255" t="inlineStr">
        <is>
          <t>BODEN</t>
        </is>
      </c>
      <c r="F6255" t="inlineStr">
        <is>
          <t>Övriga statliga verk och myndigheter</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17304-2025</t>
        </is>
      </c>
      <c r="B6256" s="1" t="n">
        <v>45756</v>
      </c>
      <c r="C6256" s="1" t="n">
        <v>45895</v>
      </c>
      <c r="D6256" t="inlineStr">
        <is>
          <t>NORRBOTTENS LÄN</t>
        </is>
      </c>
      <c r="E6256" t="inlineStr">
        <is>
          <t>LULEÅ</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17306-2025</t>
        </is>
      </c>
      <c r="B6257" s="1" t="n">
        <v>45756.60434027778</v>
      </c>
      <c r="C6257" s="1" t="n">
        <v>45895</v>
      </c>
      <c r="D6257" t="inlineStr">
        <is>
          <t>NORRBOTTENS LÄN</t>
        </is>
      </c>
      <c r="E6257" t="inlineStr">
        <is>
          <t>LULEÅ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60661-2024</t>
        </is>
      </c>
      <c r="B6258" s="1" t="n">
        <v>45644.44634259259</v>
      </c>
      <c r="C6258" s="1" t="n">
        <v>45895</v>
      </c>
      <c r="D6258" t="inlineStr">
        <is>
          <t>NORRBOTTENS LÄN</t>
        </is>
      </c>
      <c r="E6258" t="inlineStr">
        <is>
          <t>KALIX</t>
        </is>
      </c>
      <c r="G6258" t="n">
        <v>8.5</v>
      </c>
      <c r="H6258" t="n">
        <v>0</v>
      </c>
      <c r="I6258" t="n">
        <v>0</v>
      </c>
      <c r="J6258" t="n">
        <v>0</v>
      </c>
      <c r="K6258" t="n">
        <v>0</v>
      </c>
      <c r="L6258" t="n">
        <v>0</v>
      </c>
      <c r="M6258" t="n">
        <v>0</v>
      </c>
      <c r="N6258" t="n">
        <v>0</v>
      </c>
      <c r="O6258" t="n">
        <v>0</v>
      </c>
      <c r="P6258" t="n">
        <v>0</v>
      </c>
      <c r="Q6258" t="n">
        <v>0</v>
      </c>
      <c r="R6258" s="2" t="inlineStr"/>
    </row>
    <row r="6259" ht="15" customHeight="1">
      <c r="A6259" t="inlineStr">
        <is>
          <t>A 30866-2024</t>
        </is>
      </c>
      <c r="B6259" s="1" t="n">
        <v>45497</v>
      </c>
      <c r="C6259" s="1" t="n">
        <v>45895</v>
      </c>
      <c r="D6259" t="inlineStr">
        <is>
          <t>NORRBOTTENS LÄN</t>
        </is>
      </c>
      <c r="E6259" t="inlineStr">
        <is>
          <t>PAJALA</t>
        </is>
      </c>
      <c r="G6259" t="n">
        <v>84.3</v>
      </c>
      <c r="H6259" t="n">
        <v>0</v>
      </c>
      <c r="I6259" t="n">
        <v>0</v>
      </c>
      <c r="J6259" t="n">
        <v>0</v>
      </c>
      <c r="K6259" t="n">
        <v>0</v>
      </c>
      <c r="L6259" t="n">
        <v>0</v>
      </c>
      <c r="M6259" t="n">
        <v>0</v>
      </c>
      <c r="N6259" t="n">
        <v>0</v>
      </c>
      <c r="O6259" t="n">
        <v>0</v>
      </c>
      <c r="P6259" t="n">
        <v>0</v>
      </c>
      <c r="Q6259" t="n">
        <v>0</v>
      </c>
      <c r="R6259" s="2" t="inlineStr"/>
    </row>
    <row r="6260" ht="15" customHeight="1">
      <c r="A6260" t="inlineStr">
        <is>
          <t>A 47206-2024</t>
        </is>
      </c>
      <c r="B6260" s="1" t="n">
        <v>45586.63793981481</v>
      </c>
      <c r="C6260" s="1" t="n">
        <v>45895</v>
      </c>
      <c r="D6260" t="inlineStr">
        <is>
          <t>NORRBOTTENS LÄN</t>
        </is>
      </c>
      <c r="E6260" t="inlineStr">
        <is>
          <t>PAJALA</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91-2025</t>
        </is>
      </c>
      <c r="B6261" s="1" t="n">
        <v>45659.46702546296</v>
      </c>
      <c r="C6261" s="1" t="n">
        <v>45895</v>
      </c>
      <c r="D6261" t="inlineStr">
        <is>
          <t>NORRBOTTENS LÄN</t>
        </is>
      </c>
      <c r="E6261" t="inlineStr">
        <is>
          <t>KALIX</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58500-2024</t>
        </is>
      </c>
      <c r="B6262" s="1" t="n">
        <v>45635.41246527778</v>
      </c>
      <c r="C6262" s="1" t="n">
        <v>45895</v>
      </c>
      <c r="D6262" t="inlineStr">
        <is>
          <t>NORRBOTTENS LÄN</t>
        </is>
      </c>
      <c r="E6262" t="inlineStr">
        <is>
          <t>BODEN</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61969-2024</t>
        </is>
      </c>
      <c r="B6263" s="1" t="n">
        <v>45653.59047453704</v>
      </c>
      <c r="C6263" s="1" t="n">
        <v>45895</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37572-2024</t>
        </is>
      </c>
      <c r="B6264" s="1" t="n">
        <v>45541</v>
      </c>
      <c r="C6264" s="1" t="n">
        <v>45895</v>
      </c>
      <c r="D6264" t="inlineStr">
        <is>
          <t>NORRBOTTENS LÄN</t>
        </is>
      </c>
      <c r="E6264" t="inlineStr">
        <is>
          <t>KALIX</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56300-2024</t>
        </is>
      </c>
      <c r="B6265" s="1" t="n">
        <v>45624</v>
      </c>
      <c r="C6265" s="1" t="n">
        <v>45895</v>
      </c>
      <c r="D6265" t="inlineStr">
        <is>
          <t>NORRBOTTENS LÄN</t>
        </is>
      </c>
      <c r="E6265" t="inlineStr">
        <is>
          <t>PAJALA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11120-2024</t>
        </is>
      </c>
      <c r="B6266" s="1" t="n">
        <v>45371</v>
      </c>
      <c r="C6266" s="1" t="n">
        <v>45895</v>
      </c>
      <c r="D6266" t="inlineStr">
        <is>
          <t>NORRBOTTENS LÄN</t>
        </is>
      </c>
      <c r="E6266" t="inlineStr">
        <is>
          <t>PAJALA</t>
        </is>
      </c>
      <c r="F6266" t="inlineStr">
        <is>
          <t>Allmännings- och besparingsskogar</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50519-2024</t>
        </is>
      </c>
      <c r="B6267" s="1" t="n">
        <v>45601</v>
      </c>
      <c r="C6267" s="1" t="n">
        <v>45895</v>
      </c>
      <c r="D6267" t="inlineStr">
        <is>
          <t>NORRBOTTENS LÄN</t>
        </is>
      </c>
      <c r="E6267" t="inlineStr">
        <is>
          <t>PAJALA</t>
        </is>
      </c>
      <c r="F6267" t="inlineStr">
        <is>
          <t>Sveaskog</t>
        </is>
      </c>
      <c r="G6267" t="n">
        <v>31.8</v>
      </c>
      <c r="H6267" t="n">
        <v>0</v>
      </c>
      <c r="I6267" t="n">
        <v>0</v>
      </c>
      <c r="J6267" t="n">
        <v>0</v>
      </c>
      <c r="K6267" t="n">
        <v>0</v>
      </c>
      <c r="L6267" t="n">
        <v>0</v>
      </c>
      <c r="M6267" t="n">
        <v>0</v>
      </c>
      <c r="N6267" t="n">
        <v>0</v>
      </c>
      <c r="O6267" t="n">
        <v>0</v>
      </c>
      <c r="P6267" t="n">
        <v>0</v>
      </c>
      <c r="Q6267" t="n">
        <v>0</v>
      </c>
      <c r="R6267" s="2" t="inlineStr"/>
    </row>
    <row r="6268" ht="15" customHeight="1">
      <c r="A6268" t="inlineStr">
        <is>
          <t>A 31579-2023</t>
        </is>
      </c>
      <c r="B6268" s="1" t="n">
        <v>45117.44940972222</v>
      </c>
      <c r="C6268" s="1" t="n">
        <v>45895</v>
      </c>
      <c r="D6268" t="inlineStr">
        <is>
          <t>NORRBOTTENS LÄN</t>
        </is>
      </c>
      <c r="E6268" t="inlineStr">
        <is>
          <t>KALIX</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263-2025</t>
        </is>
      </c>
      <c r="B6269" s="1" t="n">
        <v>45660.45284722222</v>
      </c>
      <c r="C6269" s="1" t="n">
        <v>45895</v>
      </c>
      <c r="D6269" t="inlineStr">
        <is>
          <t>NORRBOTTENS LÄN</t>
        </is>
      </c>
      <c r="E6269" t="inlineStr">
        <is>
          <t>KALIX</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45724-2024</t>
        </is>
      </c>
      <c r="B6270" s="1" t="n">
        <v>45579.5946875</v>
      </c>
      <c r="C6270" s="1" t="n">
        <v>45895</v>
      </c>
      <c r="D6270" t="inlineStr">
        <is>
          <t>NORRBOTTENS LÄN</t>
        </is>
      </c>
      <c r="E6270" t="inlineStr">
        <is>
          <t>ÄLVSBYN</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8232-2024</t>
        </is>
      </c>
      <c r="B6271" s="1" t="n">
        <v>45351</v>
      </c>
      <c r="C6271" s="1" t="n">
        <v>45895</v>
      </c>
      <c r="D6271" t="inlineStr">
        <is>
          <t>NORRBOTTENS LÄN</t>
        </is>
      </c>
      <c r="E6271" t="inlineStr">
        <is>
          <t>BODEN</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21559-2024</t>
        </is>
      </c>
      <c r="B6272" s="1" t="n">
        <v>45441</v>
      </c>
      <c r="C6272" s="1" t="n">
        <v>45895</v>
      </c>
      <c r="D6272" t="inlineStr">
        <is>
          <t>NORRBOTTENS LÄN</t>
        </is>
      </c>
      <c r="E6272" t="inlineStr">
        <is>
          <t>ÖVERTORNEÅ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50569-2024</t>
        </is>
      </c>
      <c r="B6273" s="1" t="n">
        <v>45601.60356481482</v>
      </c>
      <c r="C6273" s="1" t="n">
        <v>45895</v>
      </c>
      <c r="D6273" t="inlineStr">
        <is>
          <t>NORRBOTTENS LÄN</t>
        </is>
      </c>
      <c r="E6273" t="inlineStr">
        <is>
          <t>PAJALA</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53094-2023</t>
        </is>
      </c>
      <c r="B6274" s="1" t="n">
        <v>45227.72846064815</v>
      </c>
      <c r="C6274" s="1" t="n">
        <v>45895</v>
      </c>
      <c r="D6274" t="inlineStr">
        <is>
          <t>NORRBOTTENS LÄN</t>
        </is>
      </c>
      <c r="E6274" t="inlineStr">
        <is>
          <t>PAJALA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51261-2024</t>
        </is>
      </c>
      <c r="B6275" s="1" t="n">
        <v>45603.69465277778</v>
      </c>
      <c r="C6275" s="1" t="n">
        <v>45895</v>
      </c>
      <c r="D6275" t="inlineStr">
        <is>
          <t>NORRBOTTENS LÄN</t>
        </is>
      </c>
      <c r="E6275" t="inlineStr">
        <is>
          <t>JOKKMOKK</t>
        </is>
      </c>
      <c r="F6275" t="inlineStr">
        <is>
          <t>Allmännings- och besparingsskogar</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59609-2024</t>
        </is>
      </c>
      <c r="B6276" s="1" t="n">
        <v>45638.75081018519</v>
      </c>
      <c r="C6276" s="1" t="n">
        <v>45895</v>
      </c>
      <c r="D6276" t="inlineStr">
        <is>
          <t>NORRBOTTENS LÄN</t>
        </is>
      </c>
      <c r="E6276" t="inlineStr">
        <is>
          <t>LULEÅ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20392-2025</t>
        </is>
      </c>
      <c r="B6277" s="1" t="n">
        <v>45775.44878472222</v>
      </c>
      <c r="C6277" s="1" t="n">
        <v>45895</v>
      </c>
      <c r="D6277" t="inlineStr">
        <is>
          <t>NORRBOTTENS LÄN</t>
        </is>
      </c>
      <c r="E6277" t="inlineStr">
        <is>
          <t>ÖVERKALIX</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20393-2025</t>
        </is>
      </c>
      <c r="B6278" s="1" t="n">
        <v>45775.44886574074</v>
      </c>
      <c r="C6278" s="1" t="n">
        <v>45895</v>
      </c>
      <c r="D6278" t="inlineStr">
        <is>
          <t>NORRBOTTENS LÄN</t>
        </is>
      </c>
      <c r="E6278" t="inlineStr">
        <is>
          <t>ARVIDSJAUR</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5058-2025</t>
        </is>
      </c>
      <c r="B6279" s="1" t="n">
        <v>45691.46903935185</v>
      </c>
      <c r="C6279" s="1" t="n">
        <v>45895</v>
      </c>
      <c r="D6279" t="inlineStr">
        <is>
          <t>NORRBOTTENS LÄN</t>
        </is>
      </c>
      <c r="E6279" t="inlineStr">
        <is>
          <t>LULEÅ</t>
        </is>
      </c>
      <c r="G6279" t="n">
        <v>1.2</v>
      </c>
      <c r="H6279" t="n">
        <v>0</v>
      </c>
      <c r="I6279" t="n">
        <v>0</v>
      </c>
      <c r="J6279" t="n">
        <v>0</v>
      </c>
      <c r="K6279" t="n">
        <v>0</v>
      </c>
      <c r="L6279" t="n">
        <v>0</v>
      </c>
      <c r="M6279" t="n">
        <v>0</v>
      </c>
      <c r="N6279" t="n">
        <v>0</v>
      </c>
      <c r="O6279" t="n">
        <v>0</v>
      </c>
      <c r="P6279" t="n">
        <v>0</v>
      </c>
      <c r="Q6279" t="n">
        <v>0</v>
      </c>
      <c r="R6279" s="2" t="inlineStr"/>
    </row>
    <row r="6280">
      <c r="A6280" t="inlineStr">
        <is>
          <t>A 12612-2025</t>
        </is>
      </c>
      <c r="B6280" s="1" t="n">
        <v>45732</v>
      </c>
      <c r="C6280" s="1" t="n">
        <v>45895</v>
      </c>
      <c r="D6280" t="inlineStr">
        <is>
          <t>NORRBOTTENS LÄN</t>
        </is>
      </c>
      <c r="E6280" t="inlineStr">
        <is>
          <t>BODEN</t>
        </is>
      </c>
      <c r="G6280" t="n">
        <v>4.3</v>
      </c>
      <c r="H6280" t="n">
        <v>0</v>
      </c>
      <c r="I6280" t="n">
        <v>0</v>
      </c>
      <c r="J6280" t="n">
        <v>0</v>
      </c>
      <c r="K6280" t="n">
        <v>0</v>
      </c>
      <c r="L6280" t="n">
        <v>0</v>
      </c>
      <c r="M6280" t="n">
        <v>0</v>
      </c>
      <c r="N6280" t="n">
        <v>0</v>
      </c>
      <c r="O6280" t="n">
        <v>0</v>
      </c>
      <c r="P6280" t="n">
        <v>0</v>
      </c>
      <c r="Q6280" t="n">
        <v>0</v>
      </c>
      <c r="R6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2025-08-26T08:32:31Z</dcterms:created>
  <dcterms:modified xmlns:dcterms="http://purl.org/dc/terms/" xmlns:xsi="http://www.w3.org/2001/XMLSchema-instance" xsi:type="dcterms:W3CDTF">2025-08-26T08:32:36Z</dcterms:modified>
</cp:coreProperties>
</file>